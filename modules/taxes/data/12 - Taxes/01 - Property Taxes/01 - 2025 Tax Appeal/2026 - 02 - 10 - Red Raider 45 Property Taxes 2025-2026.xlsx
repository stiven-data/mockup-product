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udio/Library/CloudStorage/GoogleDrive-claudio@valoriscapitalpartners.com/My Drive/Valoris Capital Partners Root/200-Assets Under Management/Park at Pottsburg Creek (128) - Jacksonville, FL/Ownership/Asset Management/Property Taxes/2025 Tax Appeal/"/>
    </mc:Choice>
  </mc:AlternateContent>
  <xr:revisionPtr revIDLastSave="0" documentId="13_ncr:1_{9984DDAB-DDEC-ED4B-BCCD-30709735166B}" xr6:coauthVersionLast="47" xr6:coauthVersionMax="47" xr10:uidLastSave="{00000000-0000-0000-0000-000000000000}"/>
  <bookViews>
    <workbookView xWindow="-39560" yWindow="2100" windowWidth="31780" windowHeight="23240" activeTab="1" xr2:uid="{E6074661-FA07-614E-834B-3503F0E7FE5A}"/>
  </bookViews>
  <sheets>
    <sheet name="2025" sheetId="1" r:id="rId1"/>
    <sheet name="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2" l="1"/>
  <c r="I11" i="2"/>
  <c r="I10" i="2"/>
  <c r="I9" i="2"/>
  <c r="I8" i="2"/>
  <c r="I7" i="2"/>
  <c r="I6" i="2"/>
  <c r="I5" i="2"/>
  <c r="I4" i="2"/>
  <c r="H5" i="2"/>
  <c r="H6" i="2" s="1"/>
  <c r="H7" i="2" s="1"/>
  <c r="H8" i="2" s="1"/>
  <c r="H9" i="2" s="1"/>
  <c r="H10" i="2" s="1"/>
  <c r="H11" i="2" s="1"/>
  <c r="J3" i="2"/>
  <c r="J4" i="2" s="1"/>
  <c r="J5" i="2" s="1"/>
  <c r="J6" i="2" s="1"/>
  <c r="J7" i="2" s="1"/>
  <c r="J8" i="2" s="1"/>
  <c r="J9" i="2" s="1"/>
  <c r="J10" i="2" s="1"/>
  <c r="J11" i="2" s="1"/>
  <c r="F12" i="2"/>
  <c r="E12" i="2"/>
  <c r="F11" i="2"/>
  <c r="F10" i="2"/>
  <c r="F9" i="2"/>
  <c r="F8" i="2"/>
  <c r="F7" i="2"/>
  <c r="F6" i="2"/>
  <c r="F5" i="2"/>
  <c r="D7" i="2"/>
  <c r="D8" i="2" s="1"/>
  <c r="D9" i="2" s="1"/>
  <c r="D10" i="2" s="1"/>
  <c r="D11" i="2" s="1"/>
  <c r="D12" i="2" s="1"/>
  <c r="D5" i="2"/>
  <c r="D6" i="2" s="1"/>
  <c r="F3" i="2"/>
  <c r="F4" i="2" s="1"/>
  <c r="B12" i="2"/>
  <c r="B8" i="2"/>
  <c r="B6" i="2"/>
  <c r="B3" i="2"/>
  <c r="D5" i="1"/>
  <c r="D4" i="1"/>
  <c r="D6" i="1" s="1"/>
  <c r="B6" i="1"/>
  <c r="J12" i="2" l="1"/>
  <c r="B9" i="2"/>
  <c r="B10" i="2" s="1"/>
  <c r="D7" i="1"/>
  <c r="D8" i="1" s="1"/>
  <c r="B7" i="1"/>
  <c r="B8" i="1" s="1"/>
  <c r="D11" i="1" s="1"/>
</calcChain>
</file>

<file path=xl/sharedStrings.xml><?xml version="1.0" encoding="utf-8"?>
<sst xmlns="http://schemas.openxmlformats.org/spreadsheetml/2006/main" count="34" uniqueCount="20">
  <si>
    <t>Original 2025 Taxes</t>
  </si>
  <si>
    <t>Ad-valorem</t>
  </si>
  <si>
    <t>Non-Ad valorem</t>
  </si>
  <si>
    <t>Total Taxes</t>
  </si>
  <si>
    <t>(-) 4% Discount</t>
  </si>
  <si>
    <t>Payable</t>
  </si>
  <si>
    <t>Adjusted 2025 Taxes</t>
  </si>
  <si>
    <t>Payment made by CBRE on Nov 4, 2025</t>
  </si>
  <si>
    <t>Excess Taxes paid</t>
  </si>
  <si>
    <t>2026 Taxes</t>
  </si>
  <si>
    <t>2026 Taxable Value</t>
  </si>
  <si>
    <t>Milleage Rate</t>
  </si>
  <si>
    <t>Monthly Escrow</t>
  </si>
  <si>
    <t>Escrow Balance (as of 2/10/2026)</t>
  </si>
  <si>
    <t>Description</t>
  </si>
  <si>
    <t>Amount</t>
  </si>
  <si>
    <t>Balance</t>
  </si>
  <si>
    <t>Current Escrow Projections</t>
  </si>
  <si>
    <t>Adjusted Escrow Projections</t>
  </si>
  <si>
    <t>2026 Tax 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</si>
</sst>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"/>
    </font>
    <font>
      <b/>
      <sz val="12"/>
      <color theme="1"/>
      <name val="Aptos Narrow"/>
      <scheme val="minor"/>
    </font>
    <font>
      <b/>
      <sz val="12"/>
      <color rgb="FF000000"/>
      <name val="Helvetica"/>
      <family val="2"/>
    </font>
    <font>
      <sz val="12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44" fontId="2" fillId="0" borderId="0" xfId="1" applyFont="1"/>
    <xf numFmtId="44" fontId="0" fillId="0" borderId="0" xfId="1" applyFont="1"/>
    <xf numFmtId="44" fontId="0" fillId="0" borderId="1" xfId="1" applyFont="1" applyBorder="1"/>
    <xf numFmtId="44" fontId="3" fillId="0" borderId="0" xfId="0" applyNumberFormat="1" applyFont="1"/>
    <xf numFmtId="44" fontId="3" fillId="2" borderId="2" xfId="0" applyNumberFormat="1" applyFont="1" applyFill="1" applyBorder="1"/>
    <xf numFmtId="0" fontId="3" fillId="0" borderId="0" xfId="0" applyFont="1"/>
    <xf numFmtId="0" fontId="3" fillId="0" borderId="0" xfId="0" applyFont="1" applyAlignment="1">
      <alignment wrapText="1"/>
    </xf>
    <xf numFmtId="44" fontId="3" fillId="0" borderId="0" xfId="1" applyFont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44" fontId="4" fillId="0" borderId="0" xfId="1" applyFont="1"/>
    <xf numFmtId="17" fontId="0" fillId="0" borderId="0" xfId="0" applyNumberFormat="1"/>
    <xf numFmtId="17" fontId="3" fillId="0" borderId="0" xfId="0" applyNumberFormat="1" applyFont="1"/>
    <xf numFmtId="0" fontId="5" fillId="0" borderId="0" xfId="0" applyFont="1"/>
    <xf numFmtId="44" fontId="1" fillId="0" borderId="0" xfId="1" applyFont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F7C7-7383-BA4C-9C80-C1835DB1466A}">
  <dimension ref="A3:D11"/>
  <sheetViews>
    <sheetView workbookViewId="0">
      <selection activeCell="D8" sqref="D8"/>
    </sheetView>
  </sheetViews>
  <sheetFormatPr baseColWidth="10" defaultRowHeight="16" x14ac:dyDescent="0.2"/>
  <cols>
    <col min="1" max="1" width="29" customWidth="1"/>
    <col min="2" max="2" width="34.83203125" customWidth="1"/>
    <col min="3" max="3" width="18.5" customWidth="1"/>
    <col min="4" max="4" width="22.1640625" customWidth="1"/>
  </cols>
  <sheetData>
    <row r="3" spans="1:4" x14ac:dyDescent="0.2">
      <c r="A3" s="10" t="s">
        <v>0</v>
      </c>
      <c r="B3" s="10"/>
      <c r="C3" s="11" t="s">
        <v>6</v>
      </c>
      <c r="D3" s="11"/>
    </row>
    <row r="4" spans="1:4" x14ac:dyDescent="0.2">
      <c r="A4" t="s">
        <v>1</v>
      </c>
      <c r="B4" s="2">
        <v>162207.79</v>
      </c>
      <c r="C4" t="s">
        <v>1</v>
      </c>
      <c r="D4" s="2">
        <f>152574.32</f>
        <v>152574.32</v>
      </c>
    </row>
    <row r="5" spans="1:4" x14ac:dyDescent="0.2">
      <c r="A5" s="1" t="s">
        <v>2</v>
      </c>
      <c r="B5" s="3">
        <v>3379.2</v>
      </c>
      <c r="C5" s="1" t="s">
        <v>2</v>
      </c>
      <c r="D5" s="3">
        <f>B5</f>
        <v>3379.2</v>
      </c>
    </row>
    <row r="6" spans="1:4" x14ac:dyDescent="0.2">
      <c r="A6" t="s">
        <v>3</v>
      </c>
      <c r="B6" s="4">
        <f>SUM(B4:B5)</f>
        <v>165586.99000000002</v>
      </c>
      <c r="C6" t="s">
        <v>3</v>
      </c>
      <c r="D6" s="4">
        <f>SUM(D4:D5)</f>
        <v>155953.52000000002</v>
      </c>
    </row>
    <row r="7" spans="1:4" x14ac:dyDescent="0.2">
      <c r="A7" t="s">
        <v>4</v>
      </c>
      <c r="B7" s="3">
        <f>B6*-4%</f>
        <v>-6623.4796000000006</v>
      </c>
      <c r="C7" t="s">
        <v>4</v>
      </c>
      <c r="D7" s="3">
        <f>D6*-4%</f>
        <v>-6238.140800000001</v>
      </c>
    </row>
    <row r="8" spans="1:4" ht="17" thickBot="1" x14ac:dyDescent="0.25">
      <c r="A8" t="s">
        <v>5</v>
      </c>
      <c r="B8" s="6">
        <f>B6+B7</f>
        <v>158963.51040000003</v>
      </c>
      <c r="C8" t="s">
        <v>5</v>
      </c>
      <c r="D8" s="6">
        <f>D6+D7</f>
        <v>149715.37920000002</v>
      </c>
    </row>
    <row r="9" spans="1:4" ht="17" thickTop="1" x14ac:dyDescent="0.2"/>
    <row r="11" spans="1:4" ht="42" customHeight="1" x14ac:dyDescent="0.2">
      <c r="A11" s="8" t="s">
        <v>7</v>
      </c>
      <c r="B11" s="9">
        <v>-158963.51</v>
      </c>
      <c r="C11" s="7" t="s">
        <v>8</v>
      </c>
      <c r="D11" s="5">
        <f>B8-D8</f>
        <v>9248.1312000000034</v>
      </c>
    </row>
  </sheetData>
  <mergeCells count="2">
    <mergeCell ref="A3:B3"/>
    <mergeCell ref="C3:D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230B9-1BA9-4643-892A-34675647AB39}">
  <dimension ref="A1:J49"/>
  <sheetViews>
    <sheetView tabSelected="1" workbookViewId="0">
      <selection activeCell="J12" sqref="J12"/>
    </sheetView>
  </sheetViews>
  <sheetFormatPr baseColWidth="10" defaultRowHeight="16" x14ac:dyDescent="0.2"/>
  <cols>
    <col min="1" max="1" width="28.33203125" customWidth="1"/>
    <col min="2" max="2" width="16" bestFit="1" customWidth="1"/>
    <col min="3" max="3" width="20" customWidth="1"/>
    <col min="4" max="4" width="29" bestFit="1" customWidth="1"/>
    <col min="5" max="5" width="13.1640625" bestFit="1" customWidth="1"/>
    <col min="6" max="6" width="12.5" bestFit="1" customWidth="1"/>
    <col min="8" max="8" width="30" customWidth="1"/>
    <col min="9" max="9" width="13.1640625" bestFit="1" customWidth="1"/>
    <col min="10" max="10" width="12.5" bestFit="1" customWidth="1"/>
  </cols>
  <sheetData>
    <row r="1" spans="1:10" x14ac:dyDescent="0.2">
      <c r="A1" s="10" t="s">
        <v>9</v>
      </c>
      <c r="B1" s="10"/>
      <c r="D1" s="17" t="s">
        <v>17</v>
      </c>
      <c r="E1" s="17"/>
      <c r="F1" s="17"/>
      <c r="H1" s="17" t="s">
        <v>18</v>
      </c>
      <c r="I1" s="17"/>
      <c r="J1" s="17"/>
    </row>
    <row r="2" spans="1:10" x14ac:dyDescent="0.2">
      <c r="A2" t="s">
        <v>10</v>
      </c>
      <c r="B2" s="2">
        <v>9151600</v>
      </c>
      <c r="D2" s="7" t="s">
        <v>14</v>
      </c>
      <c r="E2" s="7" t="s">
        <v>15</v>
      </c>
      <c r="F2" s="7" t="s">
        <v>16</v>
      </c>
      <c r="H2" s="7" t="s">
        <v>14</v>
      </c>
      <c r="I2" s="7" t="s">
        <v>15</v>
      </c>
      <c r="J2" s="7" t="s">
        <v>16</v>
      </c>
    </row>
    <row r="3" spans="1:10" x14ac:dyDescent="0.2">
      <c r="A3" t="s">
        <v>11</v>
      </c>
      <c r="B3">
        <f>17.7412</f>
        <v>17.741199999999999</v>
      </c>
      <c r="D3" s="15" t="s">
        <v>13</v>
      </c>
      <c r="E3" s="16">
        <v>71091.259999999995</v>
      </c>
      <c r="F3" s="16">
        <f>E3</f>
        <v>71091.259999999995</v>
      </c>
      <c r="H3" s="15" t="s">
        <v>13</v>
      </c>
      <c r="I3" s="16">
        <v>71091.259999999995</v>
      </c>
      <c r="J3" s="16">
        <f>I3</f>
        <v>71091.259999999995</v>
      </c>
    </row>
    <row r="4" spans="1:10" x14ac:dyDescent="0.2">
      <c r="D4" s="13">
        <v>46082</v>
      </c>
      <c r="E4" s="16">
        <v>14572.46</v>
      </c>
      <c r="F4" s="16">
        <f>F3+E4</f>
        <v>85663.72</v>
      </c>
      <c r="H4" s="14">
        <v>46082</v>
      </c>
      <c r="I4" s="16">
        <f>13259.17</f>
        <v>13259.17</v>
      </c>
      <c r="J4" s="16">
        <f>J3+I4</f>
        <v>84350.43</v>
      </c>
    </row>
    <row r="5" spans="1:10" x14ac:dyDescent="0.2">
      <c r="D5" s="13">
        <f>EDATE(D4, 1)</f>
        <v>46113</v>
      </c>
      <c r="E5" s="16">
        <v>14572.46</v>
      </c>
      <c r="F5" s="16">
        <f>F4+E5</f>
        <v>100236.18</v>
      </c>
      <c r="H5" s="14">
        <f>EDATE(H4, 1)</f>
        <v>46113</v>
      </c>
      <c r="I5" s="16">
        <f t="shared" ref="I5:I11" si="0">13259.17</f>
        <v>13259.17</v>
      </c>
      <c r="J5" s="16">
        <f>J4+I5</f>
        <v>97609.599999999991</v>
      </c>
    </row>
    <row r="6" spans="1:10" x14ac:dyDescent="0.2">
      <c r="A6" t="s">
        <v>1</v>
      </c>
      <c r="B6" s="2">
        <f>B2*(B3/1000)</f>
        <v>162360.36591999998</v>
      </c>
      <c r="D6" s="14">
        <f>EDATE(D5, 1)</f>
        <v>46143</v>
      </c>
      <c r="E6" s="16">
        <v>14572.46</v>
      </c>
      <c r="F6" s="16">
        <f>F5+E6</f>
        <v>114808.63999999998</v>
      </c>
      <c r="H6" s="14">
        <f>EDATE(H5, 1)</f>
        <v>46143</v>
      </c>
      <c r="I6" s="16">
        <f t="shared" si="0"/>
        <v>13259.17</v>
      </c>
      <c r="J6" s="16">
        <f>J5+I6</f>
        <v>110868.76999999999</v>
      </c>
    </row>
    <row r="7" spans="1:10" x14ac:dyDescent="0.2">
      <c r="A7" s="1" t="s">
        <v>2</v>
      </c>
      <c r="B7" s="3">
        <v>3379.2</v>
      </c>
      <c r="D7" s="14">
        <f t="shared" ref="D7:D14" si="1">EDATE(D6, 1)</f>
        <v>46174</v>
      </c>
      <c r="E7" s="16">
        <v>14572.46</v>
      </c>
      <c r="F7" s="16">
        <f>F6+E7</f>
        <v>129381.09999999998</v>
      </c>
      <c r="H7" s="14">
        <f t="shared" ref="H7:H12" si="2">EDATE(H6, 1)</f>
        <v>46174</v>
      </c>
      <c r="I7" s="16">
        <f t="shared" si="0"/>
        <v>13259.17</v>
      </c>
      <c r="J7" s="16">
        <f>J6+I7</f>
        <v>124127.93999999999</v>
      </c>
    </row>
    <row r="8" spans="1:10" x14ac:dyDescent="0.2">
      <c r="A8" t="s">
        <v>3</v>
      </c>
      <c r="B8" s="4">
        <f>SUM(B6:B7)</f>
        <v>165739.56591999999</v>
      </c>
      <c r="D8" s="14">
        <f t="shared" si="1"/>
        <v>46204</v>
      </c>
      <c r="E8" s="16">
        <v>14572.46</v>
      </c>
      <c r="F8" s="16">
        <f>F7+E8</f>
        <v>143953.55999999997</v>
      </c>
      <c r="H8" s="14">
        <f t="shared" si="2"/>
        <v>46204</v>
      </c>
      <c r="I8" s="16">
        <f t="shared" si="0"/>
        <v>13259.17</v>
      </c>
      <c r="J8" s="16">
        <f>J7+I8</f>
        <v>137387.10999999999</v>
      </c>
    </row>
    <row r="9" spans="1:10" x14ac:dyDescent="0.2">
      <c r="A9" t="s">
        <v>4</v>
      </c>
      <c r="B9" s="3">
        <f>B8*-4%</f>
        <v>-6629.5826367999998</v>
      </c>
      <c r="D9" s="14">
        <f t="shared" si="1"/>
        <v>46235</v>
      </c>
      <c r="E9" s="16">
        <v>14572.46</v>
      </c>
      <c r="F9" s="16">
        <f>F8+E9</f>
        <v>158526.01999999996</v>
      </c>
      <c r="H9" s="14">
        <f t="shared" si="2"/>
        <v>46235</v>
      </c>
      <c r="I9" s="16">
        <f t="shared" si="0"/>
        <v>13259.17</v>
      </c>
      <c r="J9" s="16">
        <f>J8+I9</f>
        <v>150646.28</v>
      </c>
    </row>
    <row r="10" spans="1:10" ht="17" thickBot="1" x14ac:dyDescent="0.25">
      <c r="A10" t="s">
        <v>5</v>
      </c>
      <c r="B10" s="6">
        <f>B8+B9</f>
        <v>159109.98328319998</v>
      </c>
      <c r="D10" s="14">
        <f t="shared" si="1"/>
        <v>46266</v>
      </c>
      <c r="E10" s="16">
        <v>14572.46</v>
      </c>
      <c r="F10" s="16">
        <f>F9+E10</f>
        <v>173098.47999999995</v>
      </c>
      <c r="H10" s="14">
        <f t="shared" si="2"/>
        <v>46266</v>
      </c>
      <c r="I10" s="16">
        <f t="shared" si="0"/>
        <v>13259.17</v>
      </c>
      <c r="J10" s="16">
        <f>J9+I10</f>
        <v>163905.45000000001</v>
      </c>
    </row>
    <row r="11" spans="1:10" ht="17" thickTop="1" x14ac:dyDescent="0.2">
      <c r="D11" s="14">
        <f t="shared" si="1"/>
        <v>46296</v>
      </c>
      <c r="E11" s="16">
        <v>14572.46</v>
      </c>
      <c r="F11" s="16">
        <f>F10+E11</f>
        <v>187670.93999999994</v>
      </c>
      <c r="H11" s="14">
        <f t="shared" si="2"/>
        <v>46296</v>
      </c>
      <c r="I11" s="16">
        <f t="shared" si="0"/>
        <v>13259.17</v>
      </c>
      <c r="J11" s="16">
        <f>J10+I11</f>
        <v>177164.62000000002</v>
      </c>
    </row>
    <row r="12" spans="1:10" x14ac:dyDescent="0.2">
      <c r="A12" t="s">
        <v>12</v>
      </c>
      <c r="B12" s="5">
        <f>B10/12</f>
        <v>13259.165273599998</v>
      </c>
      <c r="D12" s="14">
        <f t="shared" si="1"/>
        <v>46327</v>
      </c>
      <c r="E12" s="16">
        <f>-B10</f>
        <v>-159109.98328319998</v>
      </c>
      <c r="F12" s="16">
        <f>F11+E12</f>
        <v>28560.956716799963</v>
      </c>
      <c r="H12" s="14" t="s">
        <v>19</v>
      </c>
      <c r="I12" s="16">
        <f>-B10</f>
        <v>-159109.98328319998</v>
      </c>
      <c r="J12" s="9">
        <f>J11+I12</f>
        <v>18054.636716800043</v>
      </c>
    </row>
    <row r="13" spans="1:10" x14ac:dyDescent="0.2">
      <c r="D13" s="14"/>
      <c r="E13" s="16"/>
      <c r="F13" s="16"/>
    </row>
    <row r="14" spans="1:10" x14ac:dyDescent="0.2">
      <c r="D14" s="14"/>
      <c r="E14" s="16"/>
      <c r="F14" s="16"/>
    </row>
    <row r="15" spans="1:10" x14ac:dyDescent="0.2">
      <c r="A15" s="7"/>
      <c r="B15" s="12"/>
      <c r="E15" s="16"/>
      <c r="F15" s="16"/>
    </row>
    <row r="16" spans="1:10" x14ac:dyDescent="0.2">
      <c r="A16" s="13"/>
      <c r="E16" s="16"/>
      <c r="F16" s="16"/>
    </row>
    <row r="17" spans="1:6" x14ac:dyDescent="0.2">
      <c r="A17" s="13"/>
      <c r="E17" s="16"/>
      <c r="F17" s="16"/>
    </row>
    <row r="18" spans="1:6" x14ac:dyDescent="0.2">
      <c r="A18" s="14"/>
      <c r="E18" s="16"/>
      <c r="F18" s="16"/>
    </row>
    <row r="19" spans="1:6" x14ac:dyDescent="0.2">
      <c r="E19" s="16"/>
      <c r="F19" s="16"/>
    </row>
    <row r="20" spans="1:6" x14ac:dyDescent="0.2">
      <c r="E20" s="16"/>
      <c r="F20" s="16"/>
    </row>
    <row r="21" spans="1:6" x14ac:dyDescent="0.2">
      <c r="E21" s="16"/>
      <c r="F21" s="16"/>
    </row>
    <row r="22" spans="1:6" x14ac:dyDescent="0.2">
      <c r="E22" s="16"/>
      <c r="F22" s="16"/>
    </row>
    <row r="23" spans="1:6" x14ac:dyDescent="0.2">
      <c r="E23" s="16"/>
      <c r="F23" s="16"/>
    </row>
    <row r="24" spans="1:6" x14ac:dyDescent="0.2">
      <c r="E24" s="16"/>
      <c r="F24" s="16"/>
    </row>
    <row r="25" spans="1:6" x14ac:dyDescent="0.2">
      <c r="E25" s="16"/>
      <c r="F25" s="16"/>
    </row>
    <row r="26" spans="1:6" x14ac:dyDescent="0.2">
      <c r="E26" s="16"/>
      <c r="F26" s="16"/>
    </row>
    <row r="27" spans="1:6" x14ac:dyDescent="0.2">
      <c r="E27" s="16"/>
      <c r="F27" s="16"/>
    </row>
    <row r="28" spans="1:6" x14ac:dyDescent="0.2">
      <c r="E28" s="16"/>
      <c r="F28" s="16"/>
    </row>
    <row r="29" spans="1:6" x14ac:dyDescent="0.2">
      <c r="E29" s="16"/>
      <c r="F29" s="16"/>
    </row>
    <row r="30" spans="1:6" x14ac:dyDescent="0.2">
      <c r="E30" s="16"/>
      <c r="F30" s="16"/>
    </row>
    <row r="31" spans="1:6" x14ac:dyDescent="0.2">
      <c r="E31" s="16"/>
      <c r="F31" s="16"/>
    </row>
    <row r="32" spans="1:6" x14ac:dyDescent="0.2">
      <c r="E32" s="16"/>
      <c r="F32" s="16"/>
    </row>
    <row r="33" spans="5:6" x14ac:dyDescent="0.2">
      <c r="E33" s="16"/>
      <c r="F33" s="16"/>
    </row>
    <row r="34" spans="5:6" x14ac:dyDescent="0.2">
      <c r="E34" s="16"/>
      <c r="F34" s="16"/>
    </row>
    <row r="35" spans="5:6" x14ac:dyDescent="0.2">
      <c r="E35" s="16"/>
      <c r="F35" s="16"/>
    </row>
    <row r="36" spans="5:6" x14ac:dyDescent="0.2">
      <c r="E36" s="16"/>
      <c r="F36" s="16"/>
    </row>
    <row r="37" spans="5:6" x14ac:dyDescent="0.2">
      <c r="E37" s="16"/>
      <c r="F37" s="16"/>
    </row>
    <row r="38" spans="5:6" x14ac:dyDescent="0.2">
      <c r="E38" s="16"/>
      <c r="F38" s="16"/>
    </row>
    <row r="39" spans="5:6" x14ac:dyDescent="0.2">
      <c r="E39" s="16"/>
      <c r="F39" s="16"/>
    </row>
    <row r="40" spans="5:6" x14ac:dyDescent="0.2">
      <c r="E40" s="16"/>
      <c r="F40" s="16"/>
    </row>
    <row r="41" spans="5:6" x14ac:dyDescent="0.2">
      <c r="E41" s="16"/>
      <c r="F41" s="16"/>
    </row>
    <row r="42" spans="5:6" x14ac:dyDescent="0.2">
      <c r="E42" s="16"/>
      <c r="F42" s="16"/>
    </row>
    <row r="43" spans="5:6" x14ac:dyDescent="0.2">
      <c r="E43" s="16"/>
      <c r="F43" s="16"/>
    </row>
    <row r="44" spans="5:6" x14ac:dyDescent="0.2">
      <c r="E44" s="16"/>
      <c r="F44" s="16"/>
    </row>
    <row r="45" spans="5:6" x14ac:dyDescent="0.2">
      <c r="E45" s="16"/>
      <c r="F45" s="16"/>
    </row>
    <row r="46" spans="5:6" x14ac:dyDescent="0.2">
      <c r="E46" s="16"/>
      <c r="F46" s="16"/>
    </row>
    <row r="47" spans="5:6" x14ac:dyDescent="0.2">
      <c r="E47" s="16"/>
      <c r="F47" s="16"/>
    </row>
    <row r="48" spans="5:6" x14ac:dyDescent="0.2">
      <c r="E48" s="16"/>
      <c r="F48" s="16"/>
    </row>
    <row r="49" spans="5:6" x14ac:dyDescent="0.2">
      <c r="E49" s="16"/>
      <c r="F49" s="16"/>
    </row>
  </sheetData>
  <mergeCells count="3">
    <mergeCell ref="A1:B1"/>
    <mergeCell ref="D1:F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Sanchez - New</dc:creator>
  <cp:lastModifiedBy>Claudio Sanchez - New</cp:lastModifiedBy>
  <dcterms:created xsi:type="dcterms:W3CDTF">2026-02-10T16:49:22Z</dcterms:created>
  <dcterms:modified xsi:type="dcterms:W3CDTF">2026-02-10T18:07:21Z</dcterms:modified>
</cp:coreProperties>
</file>