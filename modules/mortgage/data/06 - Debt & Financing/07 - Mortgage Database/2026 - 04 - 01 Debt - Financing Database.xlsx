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Debt" sheetId="1" r:id="rId4"/>
    <sheet state="visible" name="Monthly Statement" sheetId="2" r:id="rId5"/>
    <sheet state="visible" name="PPC Promissory Notes" sheetId="3" r:id="rId6"/>
    <sheet state="visible" name="Refinancing Proposals" sheetId="4" r:id="rId7"/>
  </sheets>
  <definedNames/>
  <calcPr/>
  <extLst>
    <ext uri="GoogleSheetsCustomDataVersion2">
      <go:sheetsCustomData xmlns:go="http://customooxmlschemas.google.com/" r:id="rId8" roundtripDataChecksum="ROggb/5tQSqrncmjBZRk3autNwUQwnr20nbwilwBm7E="/>
    </ext>
  </extLst>
</workbook>
</file>

<file path=xl/sharedStrings.xml><?xml version="1.0" encoding="utf-8"?>
<sst xmlns="http://schemas.openxmlformats.org/spreadsheetml/2006/main" count="274" uniqueCount="186">
  <si>
    <t>CURRENT DEBT  ·  Park at Pottsburg (Oasis at San Marco)  ·  Jacksonville, FL</t>
  </si>
  <si>
    <t>Lender</t>
  </si>
  <si>
    <t>Servicer</t>
  </si>
  <si>
    <t>Loan Number</t>
  </si>
  <si>
    <t>Principal Balance
(Jan 2026)</t>
  </si>
  <si>
    <t>Interest Rate</t>
  </si>
  <si>
    <t>Loan Type</t>
  </si>
  <si>
    <t>Monthly Payment
(IO Only)</t>
  </si>
  <si>
    <t>Monthly Payment
(w/ Escrow)</t>
  </si>
  <si>
    <t>The Bancorp Bank, N.A.</t>
  </si>
  <si>
    <t>CBRE Loan Services, Inc.</t>
  </si>
  <si>
    <t>01-0718075</t>
  </si>
  <si>
    <t>Interest-Only</t>
  </si>
  <si>
    <t xml:space="preserve">  Additional Details</t>
  </si>
  <si>
    <t>Property Address</t>
  </si>
  <si>
    <t>4800 Atlantic Blvd., Jacksonville, FL 32207</t>
  </si>
  <si>
    <t>Borrower Entity</t>
  </si>
  <si>
    <t>Red Raider 45, LLC</t>
  </si>
  <si>
    <t>Maturity Date</t>
  </si>
  <si>
    <t>N/A — see original loan documents</t>
  </si>
  <si>
    <t>Remaining Term</t>
  </si>
  <si>
    <t>Escrow Amount</t>
  </si>
  <si>
    <t>$32,719.00 / mo  (taxes + insurance impound)</t>
  </si>
  <si>
    <t>Statement Date</t>
  </si>
  <si>
    <t>January 2026</t>
  </si>
  <si>
    <t>Source: CBRE Loan Services Monthly Statement, January 2026, Loan #01-0718075</t>
  </si>
  <si>
    <t>Due Date</t>
  </si>
  <si>
    <t>Principal Balance</t>
  </si>
  <si>
    <t>Pay Rate (%)</t>
  </si>
  <si>
    <t>Interest Paid YTD</t>
  </si>
  <si>
    <t>Billing Cycle Days</t>
  </si>
  <si>
    <t>Tax Escrow Balance</t>
  </si>
  <si>
    <t>Insurance Escrow Balance</t>
  </si>
  <si>
    <t>Other Escrow Balance</t>
  </si>
  <si>
    <t>Tax Escrow Disbursed YTD</t>
  </si>
  <si>
    <t>M1</t>
  </si>
  <si>
    <t>Other Escrow Disbursed YTD</t>
  </si>
  <si>
    <t>Current Interest Due</t>
  </si>
  <si>
    <t>Current Principal Due</t>
  </si>
  <si>
    <t>Late Charge</t>
  </si>
  <si>
    <t>Current Tax Due</t>
  </si>
  <si>
    <t>Current Insurance Due</t>
  </si>
  <si>
    <t>Current Other Escrow Due</t>
  </si>
  <si>
    <t>Current Misc Due</t>
  </si>
  <si>
    <t>Total Due</t>
  </si>
  <si>
    <t>Past Due Total</t>
  </si>
  <si>
    <t>Late Charge If Unpaid</t>
  </si>
  <si>
    <t>Activity Payment Received Date</t>
  </si>
  <si>
    <t>Activity Payment Received Amount</t>
  </si>
  <si>
    <t>Activity Interest Component</t>
  </si>
  <si>
    <t>Activity Escrow Component</t>
  </si>
  <si>
    <t>Ending Escrow Balance</t>
  </si>
  <si>
    <t>Source File</t>
  </si>
  <si>
    <t>2024-03-09</t>
  </si>
  <si>
    <t>010718075</t>
  </si>
  <si>
    <t>CBRE March 2024 Statement.pdf / Manual</t>
  </si>
  <si>
    <t>2024-04-01</t>
  </si>
  <si>
    <t>2024-04-09</t>
  </si>
  <si>
    <t>CBRE April Statement 2024.pdf</t>
  </si>
  <si>
    <t>2024-04-24</t>
  </si>
  <si>
    <t>2024-05-09</t>
  </si>
  <si>
    <t>CBRE May Statement 2024.pdf</t>
  </si>
  <si>
    <t>2024-05-23</t>
  </si>
  <si>
    <t>2024-06-09</t>
  </si>
  <si>
    <t>CBRE June Statement 2024.pdf</t>
  </si>
  <si>
    <t>2024-06-24</t>
  </si>
  <si>
    <t>2024-07-09</t>
  </si>
  <si>
    <t>2024-06-10</t>
  </si>
  <si>
    <t>2024.06- June Statement.pdf / CBRE June Statement 2024.pdf</t>
  </si>
  <si>
    <t>2024-07-24</t>
  </si>
  <si>
    <t>2024-08-09</t>
  </si>
  <si>
    <t>2024.07 - July Statement.pdf / CBRE July Statement 2024.pdf</t>
  </si>
  <si>
    <t>2024-08-23</t>
  </si>
  <si>
    <t>2024-09-09</t>
  </si>
  <si>
    <t>2024.08 - August Statement.pdf / CBRE August Statement 2024.pdf</t>
  </si>
  <si>
    <t>2024-09-24</t>
  </si>
  <si>
    <t>2024-10-09</t>
  </si>
  <si>
    <t>2024.09 - September Statement.pdf / CBRE September Statement 2024.pdf</t>
  </si>
  <si>
    <t>2024-10-24</t>
  </si>
  <si>
    <t>2024-11-09</t>
  </si>
  <si>
    <t>2024.10 - October Statement.pdf / CBRE October Statement 2024.pdf</t>
  </si>
  <si>
    <t>2024-11-22</t>
  </si>
  <si>
    <t>2024-12-09</t>
  </si>
  <si>
    <t>2024-11-12</t>
  </si>
  <si>
    <t>2024.11 - November Statement.pdf / CBRE November Statement 2024.pdf</t>
  </si>
  <si>
    <t>2024-12-23</t>
  </si>
  <si>
    <t>2025-01-09</t>
  </si>
  <si>
    <t>2024.12 - December Statement.pdf / 2025-01- January Statement.pdf</t>
  </si>
  <si>
    <t>2025-02-21</t>
  </si>
  <si>
    <t>2025-03-09</t>
  </si>
  <si>
    <t>2025-02-10</t>
  </si>
  <si>
    <t>2025-02-February Statement.pdf</t>
  </si>
  <si>
    <t>2025-03-24</t>
  </si>
  <si>
    <t>2025-04-09</t>
  </si>
  <si>
    <t>2025-03-10</t>
  </si>
  <si>
    <t>2025-03- March Statement.pdf</t>
  </si>
  <si>
    <t>2025-04-22</t>
  </si>
  <si>
    <t>2025-05-09</t>
  </si>
  <si>
    <t>2025-04-  April Statement.pdf</t>
  </si>
  <si>
    <t>2025-05-23</t>
  </si>
  <si>
    <t>2025-06-09</t>
  </si>
  <si>
    <t>2025-05-May Statement.pdf</t>
  </si>
  <si>
    <t>2025-06-26</t>
  </si>
  <si>
    <t>2025-07-09</t>
  </si>
  <si>
    <t>2025-06-June Statement.pdf</t>
  </si>
  <si>
    <t>2025-07-24</t>
  </si>
  <si>
    <t>2025-08-09</t>
  </si>
  <si>
    <t>2025-07- July Statement.pdf</t>
  </si>
  <si>
    <t>2025-08-25</t>
  </si>
  <si>
    <t>2025-09-09</t>
  </si>
  <si>
    <t>2025-08-11</t>
  </si>
  <si>
    <t>2025-08-August Statement.pdf</t>
  </si>
  <si>
    <t>2025-09-24</t>
  </si>
  <si>
    <t>2025-10-09</t>
  </si>
  <si>
    <t>2025-09 - September Statement.pdf</t>
  </si>
  <si>
    <t>2025-10-23</t>
  </si>
  <si>
    <t>2025-11-09</t>
  </si>
  <si>
    <t>2025-10-October Statement.pdf</t>
  </si>
  <si>
    <t>2025-11-21</t>
  </si>
  <si>
    <t>2025-12-09</t>
  </si>
  <si>
    <t>2025-11-10</t>
  </si>
  <si>
    <t>2025-11- November Statement.pdf</t>
  </si>
  <si>
    <t>2025-12-23</t>
  </si>
  <si>
    <t>2026-01-09</t>
  </si>
  <si>
    <t>2025-12-  December Statement.pdf / 2026-01- January Statement.pdf</t>
  </si>
  <si>
    <t>2026-01-23</t>
  </si>
  <si>
    <t>2026-02-09</t>
  </si>
  <si>
    <t>2026-02- February Statement.pdf</t>
  </si>
  <si>
    <t>PROMISSORY NOTES  ·  Preferred Partnership Capital (PPC)  ·  Red Raider 45, LLC</t>
  </si>
  <si>
    <t>Note Type</t>
  </si>
  <si>
    <t>Lender / Noteholder</t>
  </si>
  <si>
    <t>Borrower</t>
  </si>
  <si>
    <t>Principal Amount</t>
  </si>
  <si>
    <t>Issuance Date</t>
  </si>
  <si>
    <t>Maturity / Repayment Trigger</t>
  </si>
  <si>
    <t>Seniority</t>
  </si>
  <si>
    <t>FE - PPC</t>
  </si>
  <si>
    <t>Bliss Group, LLC</t>
  </si>
  <si>
    <t>2025-12-18</t>
  </si>
  <si>
    <t>Earlier of next capital event or 12 months from issuance</t>
  </si>
  <si>
    <t>Subordinate</t>
  </si>
  <si>
    <t>CRRE, LLC</t>
  </si>
  <si>
    <t>Severn Consulting Solutions, LLC</t>
  </si>
  <si>
    <t>PPC</t>
  </si>
  <si>
    <t>Jayant Patel</t>
  </si>
  <si>
    <t>2025-12-22</t>
  </si>
  <si>
    <t>ETC Custodian FBO Paul Landman IRA</t>
  </si>
  <si>
    <t>Virendra "Vinnie" Patel</t>
  </si>
  <si>
    <t>TOTAL PRINCIPAL</t>
  </si>
  <si>
    <t>Source: PPC Promissory Notes — 04 - Promissory Notes folder, dated 2025-12-18 and 2025-12-22</t>
  </si>
  <si>
    <t>REFINANCING PROPOSALS  ·  Oasis at San Marco  ·  Jacksonville, FL</t>
  </si>
  <si>
    <t xml:space="preserve">  CBRE Capital Markets — Quote dated December 2025</t>
  </si>
  <si>
    <t>Property</t>
  </si>
  <si>
    <t>Proposed Loan
Amount</t>
  </si>
  <si>
    <t>LTV</t>
  </si>
  <si>
    <t>Index</t>
  </si>
  <si>
    <t>Index Rate
(as of 11/11/25)</t>
  </si>
  <si>
    <t>Spread</t>
  </si>
  <si>
    <t>Face Rate
(Note Rate)</t>
  </si>
  <si>
    <t>IO DSCR</t>
  </si>
  <si>
    <t>Payoff
Existing Loan</t>
  </si>
  <si>
    <t>CBRE Capital Markets</t>
  </si>
  <si>
    <t>Oasis at San Marco
4800 Atlantic Blvd., Jacksonville, FL</t>
  </si>
  <si>
    <t>3-Yr UST</t>
  </si>
  <si>
    <t>Interest-Only (proposed)</t>
  </si>
  <si>
    <t>1.48x</t>
  </si>
  <si>
    <t>Source: 05 - Refinancing / 01 - Debt Quotes / 01 - CBRE / Oasis at San Marco Workbook_20251216.xlsx (Sources &amp; Uses tab)</t>
  </si>
  <si>
    <t xml:space="preserve">  LUMENT — Quote Matrix dated January 23, 2026  (FNMA Fixed, 360-mo amortization, Max LTV 75%, Min DSCR 1.25x)</t>
  </si>
  <si>
    <t>Execution
(Product)</t>
  </si>
  <si>
    <t>Term
(months)</t>
  </si>
  <si>
    <t>Proceeds</t>
  </si>
  <si>
    <t>Index Rate</t>
  </si>
  <si>
    <t>Note Rate</t>
  </si>
  <si>
    <t>IO Period</t>
  </si>
  <si>
    <t>Approx. Annual
IO Payment</t>
  </si>
  <si>
    <t>Max LTV</t>
  </si>
  <si>
    <t>LUMENT</t>
  </si>
  <si>
    <t>FNMA Fixed</t>
  </si>
  <si>
    <t>5-Yr UST</t>
  </si>
  <si>
    <t>Up to 2 Years</t>
  </si>
  <si>
    <t>7-Yr UST</t>
  </si>
  <si>
    <t>Up to 3 Years</t>
  </si>
  <si>
    <t>10-Yr UST</t>
  </si>
  <si>
    <t>Up to 5 Years</t>
  </si>
  <si>
    <t>Source: 05 - Refinancing / 01 - Debt Quotes / 02 - LUMENT / Quote Matrix_Oasis at San Marco_1.23.2025.pdf</t>
  </si>
  <si>
    <t>Note: LUMENT note rates for options B (5-yr), B (7-yr) are derived from Approx. Annual IO Payment ÷ Proceeds. Max Buydown Rate: 2.00% on all options. All figures subject to Agency approval at time of application.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</si>
</sst>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.00"/>
    <numFmt numFmtId="165" formatCode="yyyy-mm-dd"/>
    <numFmt numFmtId="166" formatCode="$#,##0"/>
    <numFmt numFmtId="167" formatCode="\$#,##0"/>
    <numFmt numFmtId="168" formatCode="0.0%"/>
    <numFmt numFmtId="169" formatCode="0.000%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sz val="9.0"/>
      <color rgb="FF0000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i/>
      <sz val="8.0"/>
      <color rgb="FF595959"/>
      <name val="Arial"/>
    </font>
    <font>
      <sz val="10.0"/>
      <color theme="1"/>
      <name val="Arial"/>
    </font>
    <font>
      <sz val="11.0"/>
      <color theme="1"/>
      <name val="Carlito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2E75B6"/>
        <bgColor rgb="FF2E75B6"/>
      </patternFill>
    </fill>
    <fill>
      <patternFill patternType="solid">
        <fgColor rgb="FFEBF1F7"/>
        <bgColor rgb="FFEBF1F7"/>
      </patternFill>
    </fill>
    <fill>
      <patternFill patternType="solid">
        <fgColor rgb="FF073763"/>
        <bgColor rgb="FF073763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5" numFmtId="164" xfId="0" applyAlignment="1" applyBorder="1" applyFont="1" applyNumberFormat="1">
      <alignment horizontal="left" shrinkToFit="0" vertical="center" wrapText="1"/>
    </xf>
    <xf borderId="4" fillId="3" fontId="5" numFmtId="10" xfId="0" applyAlignment="1" applyBorder="1" applyFont="1" applyNumberForma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0"/>
    </xf>
    <xf borderId="0" fillId="0" fontId="7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4" fillId="5" fontId="7" numFmtId="0" xfId="0" applyAlignment="1" applyBorder="1" applyFill="1" applyFont="1">
      <alignment shrinkToFit="0" vertical="center" wrapText="1"/>
    </xf>
    <xf borderId="1" fillId="5" fontId="4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6" fontId="3" numFmtId="0" xfId="0" applyAlignment="1" applyFill="1" applyFont="1">
      <alignment horizontal="center" readingOrder="0" shrinkToFit="0" vertical="center" wrapText="0"/>
    </xf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4" fillId="5" fontId="4" numFmtId="0" xfId="0" applyAlignment="1" applyBorder="1" applyFont="1">
      <alignment horizontal="left" shrinkToFit="0" vertical="center" wrapText="1"/>
    </xf>
    <xf borderId="4" fillId="5" fontId="5" numFmtId="167" xfId="0" applyAlignment="1" applyBorder="1" applyFont="1" applyNumberFormat="1">
      <alignment horizontal="left" shrinkToFit="0" vertical="center" wrapText="1"/>
    </xf>
    <xf borderId="4" fillId="5" fontId="5" numFmtId="10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167" xfId="0" applyAlignment="1" applyFont="1" applyNumberFormat="1">
      <alignment horizontal="left" shrinkToFit="0" vertical="center" wrapText="1"/>
    </xf>
    <xf borderId="0" fillId="0" fontId="5" numFmtId="10" xfId="0" applyAlignment="1" applyFont="1" applyNumberFormat="1">
      <alignment horizontal="left" shrinkToFit="0" vertical="center" wrapText="1"/>
    </xf>
    <xf borderId="1" fillId="2" fontId="6" numFmtId="0" xfId="0" applyAlignment="1" applyBorder="1" applyFont="1">
      <alignment shrinkToFit="0" vertical="bottom" wrapText="0"/>
    </xf>
    <xf borderId="4" fillId="7" fontId="7" numFmtId="167" xfId="0" applyAlignment="1" applyBorder="1" applyFill="1" applyFont="1" applyNumberFormat="1">
      <alignment shrinkToFit="0" vertical="bottom" wrapText="0"/>
    </xf>
    <xf borderId="4" fillId="7" fontId="11" numFmtId="0" xfId="0" applyAlignment="1" applyBorder="1" applyFont="1">
      <alignment shrinkToFit="0" vertical="bottom" wrapText="0"/>
    </xf>
    <xf borderId="4" fillId="3" fontId="5" numFmtId="167" xfId="0" applyAlignment="1" applyBorder="1" applyFont="1" applyNumberFormat="1">
      <alignment horizontal="center" shrinkToFit="0" vertical="center" wrapText="1"/>
    </xf>
    <xf borderId="4" fillId="3" fontId="5" numFmtId="168" xfId="0" applyAlignment="1" applyBorder="1" applyFont="1" applyNumberFormat="1">
      <alignment horizontal="center" shrinkToFit="0" vertical="center" wrapText="1"/>
    </xf>
    <xf borderId="4" fillId="3" fontId="5" numFmtId="169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5" fontId="5" numFmtId="167" xfId="0" applyAlignment="1" applyBorder="1" applyFont="1" applyNumberFormat="1">
      <alignment horizontal="center" shrinkToFit="0" vertical="center" wrapText="1"/>
    </xf>
    <xf borderId="4" fillId="5" fontId="5" numFmtId="169" xfId="0" applyAlignment="1" applyBorder="1" applyFont="1" applyNumberFormat="1">
      <alignment horizontal="center" shrinkToFit="0" vertical="center" wrapText="1"/>
    </xf>
    <xf borderId="4" fillId="5" fontId="5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0" fillId="0" fontId="5" numFmtId="169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8.0"/>
    <col customWidth="1" min="3" max="3" width="18.0"/>
    <col customWidth="1" min="4" max="4" width="14.0"/>
    <col customWidth="1" min="5" max="6" width="18.0"/>
    <col customWidth="1" min="7" max="7" width="16.0"/>
    <col customWidth="1" min="8" max="8" width="22.0"/>
    <col customWidth="1" min="9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6.0" customHeight="1"/>
    <row r="3" ht="36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21.75" customHeight="1">
      <c r="A4" s="5" t="s">
        <v>9</v>
      </c>
      <c r="B4" s="5" t="s">
        <v>10</v>
      </c>
      <c r="C4" s="5" t="s">
        <v>11</v>
      </c>
      <c r="D4" s="6">
        <v>1.085317639E7</v>
      </c>
      <c r="E4" s="7">
        <v>0.085</v>
      </c>
      <c r="F4" s="5" t="s">
        <v>12</v>
      </c>
      <c r="G4" s="6">
        <v>79439.22</v>
      </c>
      <c r="H4" s="6">
        <v>112158.22</v>
      </c>
    </row>
    <row r="5" ht="6.0" customHeight="1"/>
    <row r="6" ht="15.75" customHeight="1">
      <c r="A6" s="8" t="s">
        <v>13</v>
      </c>
      <c r="B6" s="2"/>
      <c r="C6" s="2"/>
      <c r="D6" s="2"/>
      <c r="E6" s="2"/>
      <c r="F6" s="2"/>
      <c r="G6" s="2"/>
      <c r="H6" s="3"/>
    </row>
    <row r="7" ht="18.0" customHeight="1">
      <c r="A7" s="9" t="s">
        <v>14</v>
      </c>
      <c r="B7" s="10" t="s">
        <v>15</v>
      </c>
    </row>
    <row r="8" ht="18.0" customHeight="1">
      <c r="A8" s="11" t="s">
        <v>16</v>
      </c>
      <c r="B8" s="12" t="s">
        <v>17</v>
      </c>
      <c r="C8" s="2"/>
      <c r="D8" s="2"/>
      <c r="E8" s="2"/>
      <c r="F8" s="2"/>
      <c r="G8" s="2"/>
      <c r="H8" s="3"/>
    </row>
    <row r="9" ht="18.0" customHeight="1">
      <c r="A9" s="9" t="s">
        <v>18</v>
      </c>
      <c r="B9" s="10" t="s">
        <v>19</v>
      </c>
    </row>
    <row r="10" ht="18.0" customHeight="1">
      <c r="A10" s="11" t="s">
        <v>20</v>
      </c>
      <c r="B10" s="12" t="s">
        <v>19</v>
      </c>
      <c r="C10" s="2"/>
      <c r="D10" s="2"/>
      <c r="E10" s="2"/>
      <c r="F10" s="2"/>
      <c r="G10" s="2"/>
      <c r="H10" s="3"/>
    </row>
    <row r="11" ht="18.0" customHeight="1">
      <c r="A11" s="9" t="s">
        <v>21</v>
      </c>
      <c r="B11" s="10" t="s">
        <v>22</v>
      </c>
    </row>
    <row r="12" ht="18.0" customHeight="1">
      <c r="A12" s="11" t="s">
        <v>23</v>
      </c>
      <c r="B12" s="12" t="s">
        <v>24</v>
      </c>
      <c r="C12" s="2"/>
      <c r="D12" s="2"/>
      <c r="E12" s="2"/>
      <c r="F12" s="2"/>
      <c r="G12" s="2"/>
      <c r="H12" s="3"/>
    </row>
    <row r="14" ht="13.5" customHeight="1">
      <c r="A14" s="13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1:H11"/>
    <mergeCell ref="B12:H12"/>
    <mergeCell ref="B10:H10"/>
    <mergeCell ref="B9:H9"/>
    <mergeCell ref="B8:H8"/>
    <mergeCell ref="B7:H7"/>
    <mergeCell ref="A6:H6"/>
    <mergeCell ref="A1:H1"/>
    <mergeCell ref="A14:H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0.86"/>
    <col customWidth="1" min="3" max="3" width="12.86"/>
    <col customWidth="1" min="4" max="4" width="16.57"/>
    <col customWidth="1" min="5" max="5" width="12.57"/>
    <col customWidth="1" min="6" max="6" width="16.86"/>
    <col customWidth="1" min="7" max="7" width="17.71"/>
    <col customWidth="1" min="8" max="8" width="19.43"/>
    <col customWidth="1" min="9" max="9" width="24.57"/>
    <col customWidth="1" min="10" max="10" width="21.0"/>
    <col customWidth="1" min="11" max="11" width="25.71"/>
    <col customWidth="1" min="12" max="12" width="31.57"/>
    <col customWidth="1" min="13" max="13" width="26.43"/>
    <col customWidth="1" min="14" max="14" width="19.57"/>
    <col customWidth="1" min="15" max="15" width="20.43"/>
    <col customWidth="1" min="16" max="16" width="11.29"/>
    <col customWidth="1" min="17" max="17" width="15.57"/>
    <col customWidth="1" min="18" max="18" width="21.29"/>
    <col customWidth="1" min="19" max="19" width="24.86"/>
    <col customWidth="1" min="20" max="20" width="16.86"/>
    <col customWidth="1" min="21" max="21" width="11.71"/>
    <col customWidth="1" min="22" max="22" width="14.29"/>
    <col customWidth="1" min="23" max="23" width="20.57"/>
    <col customWidth="1" min="24" max="24" width="29.57"/>
    <col customWidth="1" min="25" max="25" width="32.57"/>
    <col customWidth="1" min="26" max="26" width="26.29"/>
    <col customWidth="1" min="27" max="27" width="25.71"/>
    <col customWidth="1" min="28" max="28" width="22.14"/>
    <col customWidth="1" min="29" max="29" width="65.14"/>
  </cols>
  <sheetData>
    <row r="1" ht="24.75" customHeight="1">
      <c r="A1" s="14" t="s">
        <v>23</v>
      </c>
      <c r="B1" s="14" t="s">
        <v>26</v>
      </c>
      <c r="C1" s="14" t="s">
        <v>3</v>
      </c>
      <c r="D1" s="14" t="s">
        <v>27</v>
      </c>
      <c r="E1" s="14" t="s">
        <v>28</v>
      </c>
      <c r="F1" s="14" t="s">
        <v>29</v>
      </c>
      <c r="G1" s="14" t="s">
        <v>30</v>
      </c>
      <c r="H1" s="14" t="s">
        <v>31</v>
      </c>
      <c r="I1" s="14" t="s">
        <v>32</v>
      </c>
      <c r="J1" s="14" t="s">
        <v>33</v>
      </c>
      <c r="K1" s="14" t="s">
        <v>34</v>
      </c>
      <c r="L1" s="14" t="s">
        <v>35</v>
      </c>
      <c r="M1" s="14" t="s">
        <v>36</v>
      </c>
      <c r="N1" s="14" t="s">
        <v>37</v>
      </c>
      <c r="O1" s="14" t="s">
        <v>38</v>
      </c>
      <c r="P1" s="14" t="s">
        <v>39</v>
      </c>
      <c r="Q1" s="14" t="s">
        <v>40</v>
      </c>
      <c r="R1" s="14" t="s">
        <v>41</v>
      </c>
      <c r="S1" s="14" t="s">
        <v>42</v>
      </c>
      <c r="T1" s="14" t="s">
        <v>43</v>
      </c>
      <c r="U1" s="14" t="s">
        <v>44</v>
      </c>
      <c r="V1" s="14" t="s">
        <v>45</v>
      </c>
      <c r="W1" s="14" t="s">
        <v>46</v>
      </c>
      <c r="X1" s="14" t="s">
        <v>47</v>
      </c>
      <c r="Y1" s="14" t="s">
        <v>48</v>
      </c>
      <c r="Z1" s="14" t="s">
        <v>49</v>
      </c>
      <c r="AA1" s="14" t="s">
        <v>50</v>
      </c>
      <c r="AB1" s="14" t="s">
        <v>51</v>
      </c>
      <c r="AC1" s="14" t="s">
        <v>52</v>
      </c>
    </row>
    <row r="2">
      <c r="A2" s="15" t="s">
        <v>53</v>
      </c>
      <c r="B2" s="15" t="s">
        <v>53</v>
      </c>
      <c r="C2" s="16" t="s">
        <v>54</v>
      </c>
      <c r="D2" s="17">
        <v>1.013E7</v>
      </c>
      <c r="E2" s="18">
        <v>8.5</v>
      </c>
      <c r="F2" s="17">
        <v>43052.5</v>
      </c>
      <c r="G2" s="19">
        <v>29.0</v>
      </c>
      <c r="H2" s="17">
        <v>66224.54</v>
      </c>
      <c r="I2" s="17">
        <v>57173.96</v>
      </c>
      <c r="J2" s="17">
        <v>602715.14</v>
      </c>
      <c r="K2" s="17">
        <v>0.0</v>
      </c>
      <c r="L2" s="17">
        <v>0.0</v>
      </c>
      <c r="M2" s="17">
        <v>0.0</v>
      </c>
      <c r="N2" s="17">
        <v>69362.36</v>
      </c>
      <c r="O2" s="17">
        <v>0.0</v>
      </c>
      <c r="P2" s="17">
        <v>0.0</v>
      </c>
      <c r="Q2" s="17">
        <v>13244.91</v>
      </c>
      <c r="R2" s="17">
        <v>19057.99</v>
      </c>
      <c r="S2" s="17">
        <v>0.0</v>
      </c>
      <c r="T2" s="17">
        <v>0.0</v>
      </c>
      <c r="U2" s="17">
        <v>101665.26</v>
      </c>
      <c r="V2" s="17">
        <v>0.0</v>
      </c>
      <c r="W2" s="17">
        <v>3468.19</v>
      </c>
      <c r="X2" s="15"/>
      <c r="Y2" s="17"/>
      <c r="Z2" s="17"/>
      <c r="AA2" s="17"/>
      <c r="AB2" s="17"/>
      <c r="AC2" s="16" t="s">
        <v>55</v>
      </c>
    </row>
    <row r="3">
      <c r="A3" s="15" t="s">
        <v>56</v>
      </c>
      <c r="B3" s="15" t="s">
        <v>57</v>
      </c>
      <c r="C3" s="16" t="s">
        <v>54</v>
      </c>
      <c r="D3" s="17">
        <v>1.013E7</v>
      </c>
      <c r="E3" s="18">
        <v>8.5</v>
      </c>
      <c r="F3" s="17">
        <v>117198.47</v>
      </c>
      <c r="G3" s="19">
        <v>31.0</v>
      </c>
      <c r="H3" s="17">
        <v>66224.54</v>
      </c>
      <c r="I3" s="17">
        <v>57173.96</v>
      </c>
      <c r="J3" s="17">
        <v>518574.22</v>
      </c>
      <c r="K3" s="17">
        <v>0.0</v>
      </c>
      <c r="L3" s="17">
        <v>0.0</v>
      </c>
      <c r="M3" s="17">
        <v>79670.0</v>
      </c>
      <c r="N3" s="17">
        <v>69362.36</v>
      </c>
      <c r="O3" s="17">
        <v>0.0</v>
      </c>
      <c r="P3" s="17">
        <v>0.0</v>
      </c>
      <c r="Q3" s="17">
        <v>13244.91</v>
      </c>
      <c r="R3" s="17">
        <v>19057.99</v>
      </c>
      <c r="S3" s="17">
        <v>0.0</v>
      </c>
      <c r="T3" s="17">
        <v>0.0</v>
      </c>
      <c r="U3" s="17">
        <v>101665.26</v>
      </c>
      <c r="V3" s="17">
        <v>0.0</v>
      </c>
      <c r="W3" s="17">
        <v>3468.12</v>
      </c>
      <c r="X3" s="15" t="s">
        <v>57</v>
      </c>
      <c r="Y3" s="17">
        <v>101665.26</v>
      </c>
      <c r="Z3" s="17">
        <v>69362.36</v>
      </c>
      <c r="AA3" s="17">
        <v>32302.9</v>
      </c>
      <c r="AB3" s="17">
        <v>641972.72</v>
      </c>
      <c r="AC3" s="16" t="s">
        <v>58</v>
      </c>
    </row>
    <row r="4">
      <c r="A4" s="15" t="s">
        <v>59</v>
      </c>
      <c r="B4" s="15" t="s">
        <v>60</v>
      </c>
      <c r="C4" s="16" t="s">
        <v>54</v>
      </c>
      <c r="D4" s="17">
        <v>1.013E7</v>
      </c>
      <c r="E4" s="18">
        <v>8.5</v>
      </c>
      <c r="F4" s="17">
        <v>186560.83</v>
      </c>
      <c r="G4" s="19">
        <v>30.0</v>
      </c>
      <c r="H4" s="17">
        <v>79469.45</v>
      </c>
      <c r="I4" s="17">
        <v>76231.95</v>
      </c>
      <c r="J4" s="17">
        <v>518394.76</v>
      </c>
      <c r="K4" s="17">
        <v>0.0</v>
      </c>
      <c r="L4" s="17">
        <v>0.0</v>
      </c>
      <c r="M4" s="17">
        <v>79670.0</v>
      </c>
      <c r="N4" s="17">
        <v>71754.17</v>
      </c>
      <c r="O4" s="17">
        <v>0.0</v>
      </c>
      <c r="P4" s="17">
        <v>0.0</v>
      </c>
      <c r="Q4" s="17">
        <v>13244.91</v>
      </c>
      <c r="R4" s="17">
        <v>19057.99</v>
      </c>
      <c r="S4" s="17">
        <v>0.0</v>
      </c>
      <c r="T4" s="17">
        <v>0.0</v>
      </c>
      <c r="U4" s="17">
        <v>104057.07</v>
      </c>
      <c r="V4" s="17">
        <v>0.0</v>
      </c>
      <c r="W4" s="17">
        <v>3587.71</v>
      </c>
      <c r="X4" s="15" t="s">
        <v>57</v>
      </c>
      <c r="Y4" s="17">
        <v>101665.26</v>
      </c>
      <c r="Z4" s="17">
        <v>69362.36</v>
      </c>
      <c r="AA4" s="17">
        <v>32302.9</v>
      </c>
      <c r="AB4" s="17">
        <v>674096.16</v>
      </c>
      <c r="AC4" s="16" t="s">
        <v>61</v>
      </c>
    </row>
    <row r="5">
      <c r="A5" s="15" t="s">
        <v>62</v>
      </c>
      <c r="B5" s="15" t="s">
        <v>63</v>
      </c>
      <c r="C5" s="16" t="s">
        <v>54</v>
      </c>
      <c r="D5" s="17">
        <v>1.013E7</v>
      </c>
      <c r="E5" s="18">
        <v>8.5</v>
      </c>
      <c r="F5" s="17">
        <v>258315.0</v>
      </c>
      <c r="G5" s="19">
        <v>31.0</v>
      </c>
      <c r="H5" s="17">
        <v>92714.36</v>
      </c>
      <c r="I5" s="17">
        <v>95289.94</v>
      </c>
      <c r="J5" s="17">
        <v>518675.08</v>
      </c>
      <c r="K5" s="17">
        <v>0.0</v>
      </c>
      <c r="L5" s="17">
        <v>0.0</v>
      </c>
      <c r="M5" s="17">
        <v>79670.0</v>
      </c>
      <c r="N5" s="17">
        <v>74145.97</v>
      </c>
      <c r="O5" s="17">
        <v>0.0</v>
      </c>
      <c r="P5" s="17">
        <v>0.0</v>
      </c>
      <c r="Q5" s="17">
        <v>13244.91</v>
      </c>
      <c r="R5" s="17">
        <v>19057.99</v>
      </c>
      <c r="S5" s="17">
        <v>0.0</v>
      </c>
      <c r="T5" s="17">
        <v>0.0</v>
      </c>
      <c r="U5" s="17">
        <v>106448.87</v>
      </c>
      <c r="V5" s="17">
        <v>0.0</v>
      </c>
      <c r="W5" s="17">
        <v>3707.3</v>
      </c>
      <c r="X5" s="15" t="s">
        <v>60</v>
      </c>
      <c r="Y5" s="17">
        <v>104057.07</v>
      </c>
      <c r="Z5" s="17">
        <v>71754.17</v>
      </c>
      <c r="AA5" s="17">
        <v>32302.9</v>
      </c>
      <c r="AB5" s="17">
        <v>706679.38</v>
      </c>
      <c r="AC5" s="16" t="s">
        <v>64</v>
      </c>
    </row>
    <row r="6">
      <c r="A6" s="15" t="s">
        <v>65</v>
      </c>
      <c r="B6" s="15" t="s">
        <v>66</v>
      </c>
      <c r="C6" s="16" t="s">
        <v>54</v>
      </c>
      <c r="D6" s="17">
        <v>1.013E7</v>
      </c>
      <c r="E6" s="18">
        <v>8.5</v>
      </c>
      <c r="F6" s="17">
        <v>332460.97</v>
      </c>
      <c r="G6" s="19">
        <v>30.0</v>
      </c>
      <c r="H6" s="17">
        <v>105959.27</v>
      </c>
      <c r="I6" s="17">
        <v>114347.93</v>
      </c>
      <c r="J6" s="17">
        <v>518973.82</v>
      </c>
      <c r="K6" s="17">
        <v>0.0</v>
      </c>
      <c r="L6" s="17">
        <v>0.0</v>
      </c>
      <c r="M6" s="17">
        <v>79670.0</v>
      </c>
      <c r="N6" s="17">
        <v>71754.17</v>
      </c>
      <c r="O6" s="17">
        <v>0.0</v>
      </c>
      <c r="P6" s="17">
        <v>0.0</v>
      </c>
      <c r="Q6" s="17">
        <v>13244.91</v>
      </c>
      <c r="R6" s="17">
        <v>19057.99</v>
      </c>
      <c r="S6" s="17">
        <v>0.0</v>
      </c>
      <c r="T6" s="17">
        <v>0.0</v>
      </c>
      <c r="U6" s="17">
        <v>104057.07</v>
      </c>
      <c r="V6" s="17">
        <v>0.0</v>
      </c>
      <c r="W6" s="17">
        <v>3587.71</v>
      </c>
      <c r="X6" s="15" t="s">
        <v>67</v>
      </c>
      <c r="Y6" s="17">
        <v>106448.87</v>
      </c>
      <c r="Z6" s="17">
        <v>74145.97</v>
      </c>
      <c r="AA6" s="17">
        <v>32302.9</v>
      </c>
      <c r="AB6" s="17">
        <v>739281.02</v>
      </c>
      <c r="AC6" s="16" t="s">
        <v>68</v>
      </c>
    </row>
    <row r="7">
      <c r="A7" s="15" t="s">
        <v>69</v>
      </c>
      <c r="B7" s="15" t="s">
        <v>70</v>
      </c>
      <c r="C7" s="16" t="s">
        <v>54</v>
      </c>
      <c r="D7" s="17">
        <v>1.013E7</v>
      </c>
      <c r="E7" s="18">
        <v>8.5</v>
      </c>
      <c r="F7" s="17">
        <v>404215.14</v>
      </c>
      <c r="G7" s="19">
        <v>31.0</v>
      </c>
      <c r="H7" s="17">
        <v>119204.18</v>
      </c>
      <c r="I7" s="17">
        <v>133405.92</v>
      </c>
      <c r="J7" s="17">
        <v>519258.83</v>
      </c>
      <c r="K7" s="17">
        <v>0.0</v>
      </c>
      <c r="L7" s="17">
        <v>0.0</v>
      </c>
      <c r="M7" s="17">
        <v>79670.0</v>
      </c>
      <c r="N7" s="17">
        <v>74145.97</v>
      </c>
      <c r="O7" s="17">
        <v>0.0</v>
      </c>
      <c r="P7" s="17">
        <v>0.0</v>
      </c>
      <c r="Q7" s="17">
        <v>13244.91</v>
      </c>
      <c r="R7" s="17">
        <v>19057.99</v>
      </c>
      <c r="S7" s="17">
        <v>0.0</v>
      </c>
      <c r="T7" s="17">
        <v>0.0</v>
      </c>
      <c r="U7" s="17">
        <v>106448.87</v>
      </c>
      <c r="V7" s="17">
        <v>0.0</v>
      </c>
      <c r="W7" s="17">
        <v>3707.3</v>
      </c>
      <c r="X7" s="15" t="s">
        <v>66</v>
      </c>
      <c r="Y7" s="17">
        <v>104057.07</v>
      </c>
      <c r="Z7" s="17">
        <v>71754.17</v>
      </c>
      <c r="AA7" s="17">
        <v>32302.9</v>
      </c>
      <c r="AB7" s="17">
        <v>771868.93</v>
      </c>
      <c r="AC7" s="16" t="s">
        <v>71</v>
      </c>
    </row>
    <row r="8">
      <c r="A8" s="15" t="s">
        <v>72</v>
      </c>
      <c r="B8" s="15" t="s">
        <v>73</v>
      </c>
      <c r="C8" s="16" t="s">
        <v>54</v>
      </c>
      <c r="D8" s="17">
        <v>1.014317639E7</v>
      </c>
      <c r="E8" s="18">
        <v>8.5</v>
      </c>
      <c r="F8" s="17">
        <v>478361.11</v>
      </c>
      <c r="G8" s="19">
        <v>31.0</v>
      </c>
      <c r="H8" s="17">
        <v>132449.09</v>
      </c>
      <c r="I8" s="17">
        <v>152463.91</v>
      </c>
      <c r="J8" s="17">
        <v>327076.83</v>
      </c>
      <c r="K8" s="17">
        <v>0.0</v>
      </c>
      <c r="L8" s="17">
        <v>0.0</v>
      </c>
      <c r="M8" s="17">
        <v>272131.86</v>
      </c>
      <c r="N8" s="17">
        <v>74275.53</v>
      </c>
      <c r="O8" s="17">
        <v>0.0</v>
      </c>
      <c r="P8" s="17">
        <v>0.0</v>
      </c>
      <c r="Q8" s="17">
        <v>13244.91</v>
      </c>
      <c r="R8" s="17">
        <v>19057.99</v>
      </c>
      <c r="S8" s="17">
        <v>0.0</v>
      </c>
      <c r="T8" s="17">
        <v>0.0</v>
      </c>
      <c r="U8" s="17">
        <v>106578.43</v>
      </c>
      <c r="V8" s="17">
        <v>0.0</v>
      </c>
      <c r="W8" s="17">
        <v>3713.78</v>
      </c>
      <c r="X8" s="15" t="s">
        <v>70</v>
      </c>
      <c r="Y8" s="17">
        <v>106448.87</v>
      </c>
      <c r="Z8" s="17">
        <v>74145.97</v>
      </c>
      <c r="AA8" s="17">
        <v>32302.9</v>
      </c>
      <c r="AB8" s="17">
        <v>611989.83</v>
      </c>
      <c r="AC8" s="16" t="s">
        <v>74</v>
      </c>
    </row>
    <row r="9">
      <c r="A9" s="15" t="s">
        <v>75</v>
      </c>
      <c r="B9" s="15" t="s">
        <v>76</v>
      </c>
      <c r="C9" s="16" t="s">
        <v>54</v>
      </c>
      <c r="D9" s="17">
        <v>1.014306486E7</v>
      </c>
      <c r="E9" s="18">
        <v>8.5</v>
      </c>
      <c r="F9" s="17">
        <v>552636.64</v>
      </c>
      <c r="G9" s="19">
        <v>30.0</v>
      </c>
      <c r="H9" s="17">
        <v>145694.0</v>
      </c>
      <c r="I9" s="17">
        <v>171521.9</v>
      </c>
      <c r="J9" s="17">
        <v>327254.13</v>
      </c>
      <c r="K9" s="17">
        <v>0.0</v>
      </c>
      <c r="L9" s="17">
        <v>0.0</v>
      </c>
      <c r="M9" s="17">
        <v>272131.86</v>
      </c>
      <c r="N9" s="17">
        <v>71846.71</v>
      </c>
      <c r="O9" s="17">
        <v>0.0</v>
      </c>
      <c r="P9" s="17">
        <v>0.0</v>
      </c>
      <c r="Q9" s="17">
        <v>13244.91</v>
      </c>
      <c r="R9" s="17">
        <v>19057.99</v>
      </c>
      <c r="S9" s="17">
        <v>0.0</v>
      </c>
      <c r="T9" s="17">
        <v>0.0</v>
      </c>
      <c r="U9" s="17">
        <v>104149.61</v>
      </c>
      <c r="V9" s="17">
        <v>0.0</v>
      </c>
      <c r="W9" s="17">
        <v>3592.34</v>
      </c>
      <c r="X9" s="15" t="s">
        <v>73</v>
      </c>
      <c r="Y9" s="17">
        <v>106578.43</v>
      </c>
      <c r="Z9" s="17">
        <v>74275.53</v>
      </c>
      <c r="AA9" s="17">
        <v>32302.9</v>
      </c>
      <c r="AB9" s="17">
        <v>644470.03</v>
      </c>
      <c r="AC9" s="16" t="s">
        <v>77</v>
      </c>
    </row>
    <row r="10">
      <c r="A10" s="15" t="s">
        <v>78</v>
      </c>
      <c r="B10" s="15" t="s">
        <v>79</v>
      </c>
      <c r="C10" s="16" t="s">
        <v>54</v>
      </c>
      <c r="D10" s="17">
        <v>1.014306486E7</v>
      </c>
      <c r="E10" s="18">
        <v>8.5</v>
      </c>
      <c r="F10" s="17">
        <v>624483.35</v>
      </c>
      <c r="G10" s="19">
        <v>31.0</v>
      </c>
      <c r="H10" s="17">
        <v>158938.91</v>
      </c>
      <c r="I10" s="17">
        <v>190579.89</v>
      </c>
      <c r="J10" s="17">
        <v>327425.8</v>
      </c>
      <c r="K10" s="17">
        <v>0.0</v>
      </c>
      <c r="L10" s="17">
        <v>0.0</v>
      </c>
      <c r="M10" s="17">
        <v>272131.86</v>
      </c>
      <c r="N10" s="17">
        <v>74241.6</v>
      </c>
      <c r="O10" s="17">
        <v>0.0</v>
      </c>
      <c r="P10" s="17">
        <v>0.0</v>
      </c>
      <c r="Q10" s="17">
        <v>13244.91</v>
      </c>
      <c r="R10" s="17">
        <v>19057.99</v>
      </c>
      <c r="S10" s="17">
        <v>0.0</v>
      </c>
      <c r="T10" s="17">
        <v>0.0</v>
      </c>
      <c r="U10" s="17">
        <v>106544.5</v>
      </c>
      <c r="V10" s="17">
        <v>0.0</v>
      </c>
      <c r="W10" s="17">
        <v>3712.08</v>
      </c>
      <c r="X10" s="15" t="s">
        <v>76</v>
      </c>
      <c r="Y10" s="17">
        <v>104149.61</v>
      </c>
      <c r="Z10" s="17">
        <v>71846.71</v>
      </c>
      <c r="AA10" s="17">
        <v>32302.9</v>
      </c>
      <c r="AB10" s="17">
        <v>676944.6</v>
      </c>
      <c r="AC10" s="16" t="s">
        <v>80</v>
      </c>
    </row>
    <row r="11">
      <c r="A11" s="15" t="s">
        <v>81</v>
      </c>
      <c r="B11" s="15" t="s">
        <v>82</v>
      </c>
      <c r="C11" s="16" t="s">
        <v>54</v>
      </c>
      <c r="D11" s="17">
        <v>1.014306486E7</v>
      </c>
      <c r="E11" s="18">
        <v>8.5</v>
      </c>
      <c r="F11" s="17">
        <v>698724.95</v>
      </c>
      <c r="G11" s="19">
        <v>30.0</v>
      </c>
      <c r="H11" s="17">
        <v>15303.08</v>
      </c>
      <c r="I11" s="17">
        <v>209637.88</v>
      </c>
      <c r="J11" s="17">
        <v>327594.97</v>
      </c>
      <c r="K11" s="17">
        <v>156880.74</v>
      </c>
      <c r="L11" s="17">
        <v>0.0</v>
      </c>
      <c r="M11" s="17">
        <v>272131.86</v>
      </c>
      <c r="N11" s="17">
        <v>71846.71</v>
      </c>
      <c r="O11" s="17">
        <v>0.0</v>
      </c>
      <c r="P11" s="17">
        <v>0.0</v>
      </c>
      <c r="Q11" s="17">
        <v>13244.91</v>
      </c>
      <c r="R11" s="17">
        <v>19057.99</v>
      </c>
      <c r="S11" s="17">
        <v>0.0</v>
      </c>
      <c r="T11" s="17">
        <v>0.0</v>
      </c>
      <c r="U11" s="17">
        <v>104149.61</v>
      </c>
      <c r="V11" s="17">
        <v>0.0</v>
      </c>
      <c r="W11" s="17">
        <v>5207.48</v>
      </c>
      <c r="X11" s="15" t="s">
        <v>83</v>
      </c>
      <c r="Y11" s="17">
        <v>106544.5</v>
      </c>
      <c r="Z11" s="17">
        <v>74241.6</v>
      </c>
      <c r="AA11" s="17">
        <v>32302.9</v>
      </c>
      <c r="AB11" s="17">
        <v>552535.93</v>
      </c>
      <c r="AC11" s="16" t="s">
        <v>84</v>
      </c>
    </row>
    <row r="12">
      <c r="A12" s="15" t="s">
        <v>85</v>
      </c>
      <c r="B12" s="15" t="s">
        <v>86</v>
      </c>
      <c r="C12" s="16" t="s">
        <v>54</v>
      </c>
      <c r="D12" s="17">
        <v>1.014306486E7</v>
      </c>
      <c r="E12" s="18">
        <v>8.5</v>
      </c>
      <c r="F12" s="17">
        <v>844813.26</v>
      </c>
      <c r="G12" s="19">
        <v>31.0</v>
      </c>
      <c r="H12" s="17">
        <v>28547.99</v>
      </c>
      <c r="I12" s="17">
        <v>228695.87</v>
      </c>
      <c r="J12" s="17">
        <v>253514.48</v>
      </c>
      <c r="K12" s="17">
        <v>156880.74</v>
      </c>
      <c r="L12" s="17">
        <v>0.0</v>
      </c>
      <c r="M12" s="17">
        <v>272131.86</v>
      </c>
      <c r="N12" s="17">
        <v>0.0</v>
      </c>
      <c r="O12" s="17">
        <v>0.0</v>
      </c>
      <c r="P12" s="17">
        <v>0.0</v>
      </c>
      <c r="Q12" s="17">
        <v>13244.91</v>
      </c>
      <c r="R12" s="17">
        <v>19057.99</v>
      </c>
      <c r="S12" s="17">
        <v>0.0</v>
      </c>
      <c r="T12" s="17">
        <v>0.0</v>
      </c>
      <c r="U12" s="17">
        <v>32302.9</v>
      </c>
      <c r="V12" s="17">
        <v>0.0</v>
      </c>
      <c r="W12" s="17">
        <v>1615.15</v>
      </c>
      <c r="X12" s="15" t="s">
        <v>82</v>
      </c>
      <c r="Y12" s="17">
        <v>104149.61</v>
      </c>
      <c r="Z12" s="17">
        <v>71846.71</v>
      </c>
      <c r="AA12" s="17">
        <v>32302.9</v>
      </c>
      <c r="AB12" s="17">
        <v>510758.34</v>
      </c>
      <c r="AC12" s="16" t="s">
        <v>87</v>
      </c>
    </row>
    <row r="13">
      <c r="A13" s="15" t="s">
        <v>88</v>
      </c>
      <c r="B13" s="15" t="s">
        <v>89</v>
      </c>
      <c r="C13" s="16" t="s">
        <v>54</v>
      </c>
      <c r="D13" s="17">
        <v>1.040140281E7</v>
      </c>
      <c r="E13" s="18">
        <v>8.5</v>
      </c>
      <c r="F13" s="17">
        <v>74241.6</v>
      </c>
      <c r="G13" s="19">
        <v>28.0</v>
      </c>
      <c r="H13" s="17">
        <v>57481.71</v>
      </c>
      <c r="I13" s="17">
        <v>70144.87</v>
      </c>
      <c r="J13" s="17">
        <v>209686.31</v>
      </c>
      <c r="K13" s="17">
        <v>0.0</v>
      </c>
      <c r="L13" s="17">
        <v>197962.18</v>
      </c>
      <c r="M13" s="17">
        <v>0.0</v>
      </c>
      <c r="N13" s="17">
        <v>69923.76</v>
      </c>
      <c r="O13" s="17">
        <v>0.0</v>
      </c>
      <c r="P13" s="17">
        <v>0.0</v>
      </c>
      <c r="Q13" s="17">
        <v>15688.46</v>
      </c>
      <c r="R13" s="17">
        <v>18146.54</v>
      </c>
      <c r="S13" s="17">
        <v>0.0</v>
      </c>
      <c r="T13" s="17">
        <v>0.0</v>
      </c>
      <c r="U13" s="17">
        <v>103758.76</v>
      </c>
      <c r="V13" s="17">
        <v>0.0</v>
      </c>
      <c r="W13" s="17">
        <v>5187.94</v>
      </c>
      <c r="X13" s="15" t="s">
        <v>90</v>
      </c>
      <c r="Y13" s="17">
        <v>66164.98</v>
      </c>
      <c r="Z13" s="17">
        <v>30122.98</v>
      </c>
      <c r="AA13" s="17">
        <v>36042.0</v>
      </c>
      <c r="AB13" s="17">
        <v>337312.89</v>
      </c>
      <c r="AC13" s="16" t="s">
        <v>91</v>
      </c>
    </row>
    <row r="14">
      <c r="A14" s="15" t="s">
        <v>92</v>
      </c>
      <c r="B14" s="15" t="s">
        <v>93</v>
      </c>
      <c r="C14" s="16" t="s">
        <v>54</v>
      </c>
      <c r="D14" s="17">
        <v>1.040140281E7</v>
      </c>
      <c r="E14" s="18">
        <v>8.5</v>
      </c>
      <c r="F14" s="17">
        <v>144165.36</v>
      </c>
      <c r="G14" s="19">
        <v>31.0</v>
      </c>
      <c r="H14" s="17">
        <v>73170.17</v>
      </c>
      <c r="I14" s="17">
        <v>88291.41</v>
      </c>
      <c r="J14" s="17">
        <v>165403.71</v>
      </c>
      <c r="K14" s="17">
        <v>0.0</v>
      </c>
      <c r="L14" s="17">
        <v>197962.18</v>
      </c>
      <c r="M14" s="17">
        <v>0.0</v>
      </c>
      <c r="N14" s="17">
        <v>76132.49</v>
      </c>
      <c r="O14" s="17">
        <v>0.0</v>
      </c>
      <c r="P14" s="17">
        <v>0.0</v>
      </c>
      <c r="Q14" s="17">
        <v>15688.46</v>
      </c>
      <c r="R14" s="17">
        <v>18146.54</v>
      </c>
      <c r="S14" s="17">
        <v>0.0</v>
      </c>
      <c r="T14" s="17">
        <v>0.0</v>
      </c>
      <c r="U14" s="17">
        <v>109967.49</v>
      </c>
      <c r="V14" s="17">
        <v>0.0</v>
      </c>
      <c r="W14" s="17">
        <v>5498.37</v>
      </c>
      <c r="X14" s="15" t="s">
        <v>94</v>
      </c>
      <c r="Y14" s="17">
        <v>59375.55</v>
      </c>
      <c r="Z14" s="17">
        <v>25540.55</v>
      </c>
      <c r="AA14" s="17">
        <v>33835.0</v>
      </c>
      <c r="AB14" s="17">
        <v>326865.29</v>
      </c>
      <c r="AC14" s="16" t="s">
        <v>95</v>
      </c>
    </row>
    <row r="15">
      <c r="A15" s="15" t="s">
        <v>96</v>
      </c>
      <c r="B15" s="15" t="s">
        <v>97</v>
      </c>
      <c r="C15" s="16" t="s">
        <v>54</v>
      </c>
      <c r="D15" s="17">
        <v>1.040140281E7</v>
      </c>
      <c r="E15" s="18">
        <v>8.5</v>
      </c>
      <c r="F15" s="17">
        <v>220297.85</v>
      </c>
      <c r="G15" s="19">
        <v>30.0</v>
      </c>
      <c r="H15" s="17">
        <v>88858.63</v>
      </c>
      <c r="I15" s="17">
        <v>106437.95</v>
      </c>
      <c r="J15" s="17">
        <v>163018.54</v>
      </c>
      <c r="K15" s="17">
        <v>0.0</v>
      </c>
      <c r="L15" s="17">
        <v>197962.18</v>
      </c>
      <c r="M15" s="17">
        <v>0.0</v>
      </c>
      <c r="N15" s="17">
        <v>73676.6</v>
      </c>
      <c r="O15" s="17">
        <v>0.0</v>
      </c>
      <c r="P15" s="17">
        <v>0.0</v>
      </c>
      <c r="Q15" s="17">
        <v>15688.46</v>
      </c>
      <c r="R15" s="17">
        <v>18146.54</v>
      </c>
      <c r="S15" s="17">
        <v>0.0</v>
      </c>
      <c r="T15" s="17">
        <v>0.0</v>
      </c>
      <c r="U15" s="17">
        <v>107511.6</v>
      </c>
      <c r="V15" s="17">
        <v>0.0</v>
      </c>
      <c r="W15" s="17">
        <v>5375.58</v>
      </c>
      <c r="X15" s="15" t="s">
        <v>93</v>
      </c>
      <c r="Y15" s="17">
        <v>107493.82</v>
      </c>
      <c r="Z15" s="17">
        <v>73658.82</v>
      </c>
      <c r="AA15" s="17">
        <v>33835.0</v>
      </c>
      <c r="AB15" s="17">
        <v>358315.12</v>
      </c>
      <c r="AC15" s="16" t="s">
        <v>98</v>
      </c>
    </row>
    <row r="16">
      <c r="A16" s="15" t="s">
        <v>99</v>
      </c>
      <c r="B16" s="15" t="s">
        <v>100</v>
      </c>
      <c r="C16" s="16" t="s">
        <v>54</v>
      </c>
      <c r="D16" s="17">
        <v>1.076485441E7</v>
      </c>
      <c r="E16" s="18">
        <v>8.5</v>
      </c>
      <c r="F16" s="17">
        <v>293974.45</v>
      </c>
      <c r="G16" s="19">
        <v>31.0</v>
      </c>
      <c r="H16" s="17">
        <v>104547.09</v>
      </c>
      <c r="I16" s="17">
        <v>64627.13</v>
      </c>
      <c r="J16" s="17">
        <v>163101.66</v>
      </c>
      <c r="K16" s="17">
        <v>0.0</v>
      </c>
      <c r="L16" s="17">
        <v>197962.18</v>
      </c>
      <c r="M16" s="17">
        <v>0.0</v>
      </c>
      <c r="N16" s="17">
        <v>78964.38</v>
      </c>
      <c r="O16" s="17">
        <v>0.0</v>
      </c>
      <c r="P16" s="17">
        <v>0.0</v>
      </c>
      <c r="Q16" s="17">
        <v>15688.46</v>
      </c>
      <c r="R16" s="17">
        <v>18146.54</v>
      </c>
      <c r="S16" s="17">
        <v>0.0</v>
      </c>
      <c r="T16" s="17">
        <v>0.0</v>
      </c>
      <c r="U16" s="17">
        <v>112799.38</v>
      </c>
      <c r="V16" s="17">
        <v>0.0</v>
      </c>
      <c r="W16" s="17">
        <v>5639.97</v>
      </c>
      <c r="X16" s="15" t="s">
        <v>97</v>
      </c>
      <c r="Y16" s="17">
        <v>47554.24</v>
      </c>
      <c r="Z16" s="17">
        <v>13719.24</v>
      </c>
      <c r="AA16" s="17">
        <v>33835.0</v>
      </c>
      <c r="AB16" s="17">
        <v>332275.88</v>
      </c>
      <c r="AC16" s="16" t="s">
        <v>101</v>
      </c>
    </row>
    <row r="17">
      <c r="A17" s="15" t="s">
        <v>102</v>
      </c>
      <c r="B17" s="15" t="s">
        <v>103</v>
      </c>
      <c r="C17" s="16" t="s">
        <v>54</v>
      </c>
      <c r="D17" s="17">
        <v>1.076485441E7</v>
      </c>
      <c r="E17" s="18">
        <v>8.5</v>
      </c>
      <c r="F17" s="17">
        <v>372938.83</v>
      </c>
      <c r="G17" s="19">
        <v>30.0</v>
      </c>
      <c r="H17" s="17">
        <v>120235.55</v>
      </c>
      <c r="I17" s="17">
        <v>82773.67</v>
      </c>
      <c r="J17" s="17">
        <v>163187.54</v>
      </c>
      <c r="K17" s="17">
        <v>0.0</v>
      </c>
      <c r="L17" s="17">
        <v>197962.18</v>
      </c>
      <c r="M17" s="17">
        <v>0.0</v>
      </c>
      <c r="N17" s="17">
        <v>76251.05</v>
      </c>
      <c r="O17" s="17">
        <v>0.0</v>
      </c>
      <c r="P17" s="17">
        <v>0.0</v>
      </c>
      <c r="Q17" s="17">
        <v>15688.46</v>
      </c>
      <c r="R17" s="17">
        <v>18146.54</v>
      </c>
      <c r="S17" s="17">
        <v>0.0</v>
      </c>
      <c r="T17" s="17">
        <v>0.0</v>
      </c>
      <c r="U17" s="17">
        <v>110086.05</v>
      </c>
      <c r="V17" s="17">
        <v>0.0</v>
      </c>
      <c r="W17" s="17">
        <v>5504.3</v>
      </c>
      <c r="X17" s="15" t="s">
        <v>100</v>
      </c>
      <c r="Y17" s="17">
        <v>112799.38</v>
      </c>
      <c r="Z17" s="17">
        <v>78964.38</v>
      </c>
      <c r="AA17" s="17">
        <v>33835.0</v>
      </c>
      <c r="AB17" s="17">
        <v>366196.76</v>
      </c>
      <c r="AC17" s="16" t="s">
        <v>104</v>
      </c>
    </row>
    <row r="18">
      <c r="A18" s="15" t="s">
        <v>105</v>
      </c>
      <c r="B18" s="15" t="s">
        <v>106</v>
      </c>
      <c r="C18" s="16" t="s">
        <v>54</v>
      </c>
      <c r="D18" s="17">
        <v>1.085317639E7</v>
      </c>
      <c r="E18" s="18">
        <v>8.5</v>
      </c>
      <c r="F18" s="17">
        <v>449189.88</v>
      </c>
      <c r="G18" s="19">
        <v>31.0</v>
      </c>
      <c r="H18" s="17">
        <v>135924.01</v>
      </c>
      <c r="I18" s="17">
        <v>100920.21</v>
      </c>
      <c r="J18" s="17">
        <v>163007.64</v>
      </c>
      <c r="K18" s="17">
        <v>0.0</v>
      </c>
      <c r="L18" s="17">
        <v>197962.18</v>
      </c>
      <c r="M18" s="17">
        <v>0.0</v>
      </c>
      <c r="N18" s="17">
        <v>79710.32</v>
      </c>
      <c r="O18" s="17">
        <v>0.0</v>
      </c>
      <c r="P18" s="17">
        <v>0.0</v>
      </c>
      <c r="Q18" s="17">
        <v>15688.46</v>
      </c>
      <c r="R18" s="17">
        <v>18146.54</v>
      </c>
      <c r="S18" s="17">
        <v>0.0</v>
      </c>
      <c r="T18" s="17">
        <v>0.0</v>
      </c>
      <c r="U18" s="17">
        <v>113545.32</v>
      </c>
      <c r="V18" s="17">
        <v>0.0</v>
      </c>
      <c r="W18" s="17">
        <v>5677.27</v>
      </c>
      <c r="X18" s="15" t="s">
        <v>103</v>
      </c>
      <c r="Y18" s="17">
        <v>109827.02</v>
      </c>
      <c r="Z18" s="17">
        <v>75992.02</v>
      </c>
      <c r="AA18" s="17">
        <v>33835.0</v>
      </c>
      <c r="AB18" s="17">
        <v>399851.86</v>
      </c>
      <c r="AC18" s="16" t="s">
        <v>107</v>
      </c>
    </row>
    <row r="19">
      <c r="A19" s="15" t="s">
        <v>108</v>
      </c>
      <c r="B19" s="15" t="s">
        <v>109</v>
      </c>
      <c r="C19" s="16" t="s">
        <v>54</v>
      </c>
      <c r="D19" s="17">
        <v>1.085317639E7</v>
      </c>
      <c r="E19" s="18">
        <v>8.5</v>
      </c>
      <c r="F19" s="17">
        <v>528900.2</v>
      </c>
      <c r="G19" s="19">
        <v>31.0</v>
      </c>
      <c r="H19" s="17">
        <v>151612.47</v>
      </c>
      <c r="I19" s="17">
        <v>119066.75</v>
      </c>
      <c r="J19" s="17">
        <v>123222.64</v>
      </c>
      <c r="K19" s="17">
        <v>0.0</v>
      </c>
      <c r="L19" s="17">
        <v>197962.18</v>
      </c>
      <c r="M19" s="17">
        <v>0.0</v>
      </c>
      <c r="N19" s="17">
        <v>79439.22</v>
      </c>
      <c r="O19" s="17">
        <v>0.0</v>
      </c>
      <c r="P19" s="17">
        <v>0.0</v>
      </c>
      <c r="Q19" s="17">
        <v>15688.46</v>
      </c>
      <c r="R19" s="17">
        <v>18146.54</v>
      </c>
      <c r="S19" s="17">
        <v>0.0</v>
      </c>
      <c r="T19" s="17">
        <v>0.0</v>
      </c>
      <c r="U19" s="17">
        <v>113274.22</v>
      </c>
      <c r="V19" s="17">
        <v>0.0</v>
      </c>
      <c r="W19" s="17">
        <v>5663.71</v>
      </c>
      <c r="X19" s="15" t="s">
        <v>110</v>
      </c>
      <c r="Y19" s="17">
        <v>73678.64</v>
      </c>
      <c r="Z19" s="17">
        <v>39843.64</v>
      </c>
      <c r="AA19" s="17">
        <v>33835.0</v>
      </c>
      <c r="AB19" s="17">
        <v>393901.86</v>
      </c>
      <c r="AC19" s="16" t="s">
        <v>111</v>
      </c>
    </row>
    <row r="20">
      <c r="A20" s="15" t="s">
        <v>112</v>
      </c>
      <c r="B20" s="15" t="s">
        <v>113</v>
      </c>
      <c r="C20" s="16" t="s">
        <v>54</v>
      </c>
      <c r="D20" s="17">
        <v>1.085317639E7</v>
      </c>
      <c r="E20" s="18">
        <v>8.5</v>
      </c>
      <c r="F20" s="17">
        <v>608339.42</v>
      </c>
      <c r="G20" s="19">
        <v>30.0</v>
      </c>
      <c r="H20" s="17">
        <v>167300.93</v>
      </c>
      <c r="I20" s="17">
        <v>137213.29</v>
      </c>
      <c r="J20" s="17">
        <v>83957.11</v>
      </c>
      <c r="K20" s="17">
        <v>0.0</v>
      </c>
      <c r="L20" s="17">
        <v>197962.18</v>
      </c>
      <c r="M20" s="17">
        <v>0.0</v>
      </c>
      <c r="N20" s="17">
        <v>76876.67</v>
      </c>
      <c r="O20" s="17">
        <v>0.0</v>
      </c>
      <c r="P20" s="17">
        <v>0.0</v>
      </c>
      <c r="Q20" s="17">
        <v>15688.46</v>
      </c>
      <c r="R20" s="17">
        <v>18146.54</v>
      </c>
      <c r="S20" s="17">
        <v>0.0</v>
      </c>
      <c r="T20" s="17">
        <v>0.0</v>
      </c>
      <c r="U20" s="17">
        <v>110711.67</v>
      </c>
      <c r="V20" s="17">
        <v>0.0</v>
      </c>
      <c r="W20" s="17">
        <v>5535.58</v>
      </c>
      <c r="X20" s="15" t="s">
        <v>109</v>
      </c>
      <c r="Y20" s="17">
        <v>73946.92</v>
      </c>
      <c r="Z20" s="17">
        <v>40111.92</v>
      </c>
      <c r="AA20" s="17">
        <v>33835.0</v>
      </c>
      <c r="AB20" s="17">
        <v>388471.33</v>
      </c>
      <c r="AC20" s="16" t="s">
        <v>114</v>
      </c>
    </row>
    <row r="21">
      <c r="A21" s="15" t="s">
        <v>115</v>
      </c>
      <c r="B21" s="15" t="s">
        <v>116</v>
      </c>
      <c r="C21" s="16" t="s">
        <v>54</v>
      </c>
      <c r="D21" s="17">
        <v>1.085317639E7</v>
      </c>
      <c r="E21" s="18">
        <v>8.5</v>
      </c>
      <c r="F21" s="17">
        <v>685216.09</v>
      </c>
      <c r="G21" s="19">
        <v>31.0</v>
      </c>
      <c r="H21" s="17">
        <v>182989.39</v>
      </c>
      <c r="I21" s="17">
        <v>155359.83</v>
      </c>
      <c r="J21" s="17">
        <v>83997.82</v>
      </c>
      <c r="K21" s="17">
        <v>0.0</v>
      </c>
      <c r="L21" s="17">
        <v>197962.18</v>
      </c>
      <c r="M21" s="17">
        <v>0.0</v>
      </c>
      <c r="N21" s="17">
        <v>79439.22</v>
      </c>
      <c r="O21" s="17">
        <v>0.0</v>
      </c>
      <c r="P21" s="17">
        <v>0.0</v>
      </c>
      <c r="Q21" s="17">
        <v>15688.46</v>
      </c>
      <c r="R21" s="17">
        <v>18146.54</v>
      </c>
      <c r="S21" s="17">
        <v>0.0</v>
      </c>
      <c r="T21" s="17">
        <v>0.0</v>
      </c>
      <c r="U21" s="17">
        <v>113274.22</v>
      </c>
      <c r="V21" s="17">
        <v>0.0</v>
      </c>
      <c r="W21" s="17">
        <v>5663.71</v>
      </c>
      <c r="X21" s="15" t="s">
        <v>113</v>
      </c>
      <c r="Y21" s="17">
        <v>110711.67</v>
      </c>
      <c r="Z21" s="17">
        <v>76876.67</v>
      </c>
      <c r="AA21" s="17">
        <v>33835.0</v>
      </c>
      <c r="AB21" s="17">
        <v>422347.04</v>
      </c>
      <c r="AC21" s="16" t="s">
        <v>117</v>
      </c>
    </row>
    <row r="22">
      <c r="A22" s="15" t="s">
        <v>118</v>
      </c>
      <c r="B22" s="15" t="s">
        <v>119</v>
      </c>
      <c r="C22" s="16" t="s">
        <v>54</v>
      </c>
      <c r="D22" s="17">
        <v>1.085317639E7</v>
      </c>
      <c r="E22" s="18">
        <v>8.5</v>
      </c>
      <c r="F22" s="17">
        <v>764655.31</v>
      </c>
      <c r="G22" s="19">
        <v>30.0</v>
      </c>
      <c r="H22" s="17">
        <v>39714.34</v>
      </c>
      <c r="I22" s="17">
        <v>173506.37</v>
      </c>
      <c r="J22" s="17">
        <v>1031.27</v>
      </c>
      <c r="K22" s="17">
        <v>158963.51</v>
      </c>
      <c r="L22" s="17">
        <v>197962.18</v>
      </c>
      <c r="M22" s="17">
        <v>50764.3</v>
      </c>
      <c r="N22" s="17">
        <v>76876.67</v>
      </c>
      <c r="O22" s="17">
        <v>0.0</v>
      </c>
      <c r="P22" s="17">
        <v>0.0</v>
      </c>
      <c r="Q22" s="17">
        <v>15688.46</v>
      </c>
      <c r="R22" s="17">
        <v>18146.54</v>
      </c>
      <c r="S22" s="17">
        <v>0.0</v>
      </c>
      <c r="T22" s="17">
        <v>0.0</v>
      </c>
      <c r="U22" s="17">
        <v>110711.67</v>
      </c>
      <c r="V22" s="17">
        <v>0.0</v>
      </c>
      <c r="W22" s="17">
        <v>5535.58</v>
      </c>
      <c r="X22" s="15" t="s">
        <v>120</v>
      </c>
      <c r="Y22" s="17">
        <v>81040.7</v>
      </c>
      <c r="Z22" s="17">
        <v>47205.7</v>
      </c>
      <c r="AA22" s="17">
        <v>33835.0</v>
      </c>
      <c r="AB22" s="17">
        <v>214251.98</v>
      </c>
      <c r="AC22" s="16" t="s">
        <v>121</v>
      </c>
    </row>
    <row r="23">
      <c r="A23" s="15" t="s">
        <v>122</v>
      </c>
      <c r="B23" s="15" t="s">
        <v>123</v>
      </c>
      <c r="C23" s="16" t="s">
        <v>54</v>
      </c>
      <c r="D23" s="17">
        <v>1.085317639E7</v>
      </c>
      <c r="E23" s="18">
        <v>8.5</v>
      </c>
      <c r="F23" s="17">
        <v>841531.98</v>
      </c>
      <c r="G23" s="19">
        <v>31.0</v>
      </c>
      <c r="H23" s="17">
        <v>55402.8</v>
      </c>
      <c r="I23" s="17">
        <v>191652.91</v>
      </c>
      <c r="J23" s="17">
        <v>1031.76</v>
      </c>
      <c r="K23" s="17">
        <v>158963.51</v>
      </c>
      <c r="L23" s="17">
        <v>197962.18</v>
      </c>
      <c r="M23" s="17">
        <v>50764.3</v>
      </c>
      <c r="N23" s="17">
        <v>79439.22</v>
      </c>
      <c r="O23" s="17">
        <v>0.0</v>
      </c>
      <c r="P23" s="17">
        <v>0.0</v>
      </c>
      <c r="Q23" s="17">
        <v>15688.46</v>
      </c>
      <c r="R23" s="17">
        <v>18146.54</v>
      </c>
      <c r="S23" s="17">
        <v>0.0</v>
      </c>
      <c r="T23" s="17">
        <v>0.0</v>
      </c>
      <c r="U23" s="17">
        <v>113274.22</v>
      </c>
      <c r="V23" s="17">
        <v>0.0</v>
      </c>
      <c r="W23" s="17">
        <v>5663.71</v>
      </c>
      <c r="X23" s="15" t="s">
        <v>119</v>
      </c>
      <c r="Y23" s="17">
        <v>110711.67</v>
      </c>
      <c r="Z23" s="17">
        <v>76876.67</v>
      </c>
      <c r="AA23" s="17">
        <v>33835.0</v>
      </c>
      <c r="AB23" s="17">
        <v>248087.47</v>
      </c>
      <c r="AC23" s="16" t="s">
        <v>124</v>
      </c>
    </row>
    <row r="24">
      <c r="A24" s="15" t="s">
        <v>125</v>
      </c>
      <c r="B24" s="15" t="s">
        <v>126</v>
      </c>
      <c r="C24" s="16" t="s">
        <v>54</v>
      </c>
      <c r="D24" s="17">
        <v>1.085317639E7</v>
      </c>
      <c r="E24" s="18">
        <v>8.5</v>
      </c>
      <c r="F24" s="17">
        <v>79439.22</v>
      </c>
      <c r="G24" s="19">
        <v>31.0</v>
      </c>
      <c r="H24" s="17">
        <v>71091.26</v>
      </c>
      <c r="I24" s="17">
        <v>209799.45</v>
      </c>
      <c r="J24" s="17">
        <v>1032.27</v>
      </c>
      <c r="K24" s="17">
        <v>0.0</v>
      </c>
      <c r="L24" s="17">
        <v>0.0</v>
      </c>
      <c r="M24" s="17">
        <v>0.0</v>
      </c>
      <c r="N24" s="17">
        <v>79439.22</v>
      </c>
      <c r="O24" s="17">
        <v>0.0</v>
      </c>
      <c r="P24" s="17">
        <v>0.0</v>
      </c>
      <c r="Q24" s="17">
        <v>14572.46</v>
      </c>
      <c r="R24" s="17">
        <v>18146.54</v>
      </c>
      <c r="S24" s="17">
        <v>0.0</v>
      </c>
      <c r="T24" s="17">
        <v>0.0</v>
      </c>
      <c r="U24" s="17">
        <v>112158.22</v>
      </c>
      <c r="V24" s="17">
        <v>0.0</v>
      </c>
      <c r="W24" s="17">
        <v>5607.91</v>
      </c>
      <c r="X24" s="15" t="s">
        <v>123</v>
      </c>
      <c r="Y24" s="17">
        <v>113274.22</v>
      </c>
      <c r="Z24" s="17">
        <v>79439.22</v>
      </c>
      <c r="AA24" s="17">
        <v>33835.0</v>
      </c>
      <c r="AB24" s="17">
        <v>281922.98</v>
      </c>
      <c r="AC24" s="16" t="s">
        <v>127</v>
      </c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6.0"/>
    <col customWidth="1" min="3" max="3" width="22.0"/>
    <col customWidth="1" min="4" max="4" width="18.0"/>
    <col customWidth="1" min="5" max="5" width="14.0"/>
    <col customWidth="1" min="6" max="6" width="16.0"/>
    <col customWidth="1" min="7" max="7" width="36.14"/>
    <col customWidth="1" min="8" max="8" width="16.0"/>
    <col customWidth="1" min="9" max="26" width="8.71"/>
  </cols>
  <sheetData>
    <row r="1" ht="21.75" customHeight="1">
      <c r="A1" s="1" t="s">
        <v>128</v>
      </c>
      <c r="B1" s="2"/>
      <c r="C1" s="2"/>
      <c r="D1" s="2"/>
      <c r="E1" s="2"/>
      <c r="F1" s="2"/>
      <c r="G1" s="2"/>
      <c r="H1" s="3"/>
    </row>
    <row r="2" ht="6.0" customHeight="1"/>
    <row r="3" ht="30.0" customHeight="1">
      <c r="A3" s="4" t="s">
        <v>129</v>
      </c>
      <c r="B3" s="4" t="s">
        <v>130</v>
      </c>
      <c r="C3" s="4" t="s">
        <v>131</v>
      </c>
      <c r="D3" s="4" t="s">
        <v>132</v>
      </c>
      <c r="E3" s="4" t="s">
        <v>5</v>
      </c>
      <c r="F3" s="4" t="s">
        <v>133</v>
      </c>
      <c r="G3" s="4" t="s">
        <v>134</v>
      </c>
      <c r="H3" s="4" t="s">
        <v>135</v>
      </c>
    </row>
    <row r="4">
      <c r="A4" s="21" t="s">
        <v>136</v>
      </c>
      <c r="B4" s="21" t="s">
        <v>137</v>
      </c>
      <c r="C4" s="21" t="s">
        <v>17</v>
      </c>
      <c r="D4" s="22">
        <v>13500.0</v>
      </c>
      <c r="E4" s="23">
        <v>0.1</v>
      </c>
      <c r="F4" s="21" t="s">
        <v>138</v>
      </c>
      <c r="G4" s="21" t="s">
        <v>139</v>
      </c>
      <c r="H4" s="21" t="s">
        <v>140</v>
      </c>
    </row>
    <row r="5">
      <c r="A5" s="24" t="s">
        <v>136</v>
      </c>
      <c r="B5" s="24" t="s">
        <v>141</v>
      </c>
      <c r="C5" s="24" t="s">
        <v>17</v>
      </c>
      <c r="D5" s="25">
        <v>12000.0</v>
      </c>
      <c r="E5" s="26">
        <v>0.1</v>
      </c>
      <c r="F5" s="24" t="s">
        <v>138</v>
      </c>
      <c r="G5" s="24" t="s">
        <v>139</v>
      </c>
      <c r="H5" s="24" t="s">
        <v>140</v>
      </c>
    </row>
    <row r="6">
      <c r="A6" s="21" t="s">
        <v>136</v>
      </c>
      <c r="B6" s="21" t="s">
        <v>142</v>
      </c>
      <c r="C6" s="21" t="s">
        <v>17</v>
      </c>
      <c r="D6" s="22">
        <v>20000.0</v>
      </c>
      <c r="E6" s="23">
        <v>0.1</v>
      </c>
      <c r="F6" s="21" t="s">
        <v>138</v>
      </c>
      <c r="G6" s="21" t="s">
        <v>139</v>
      </c>
      <c r="H6" s="21" t="s">
        <v>140</v>
      </c>
    </row>
    <row r="7">
      <c r="A7" s="24" t="s">
        <v>143</v>
      </c>
      <c r="B7" s="24" t="s">
        <v>144</v>
      </c>
      <c r="C7" s="24" t="s">
        <v>17</v>
      </c>
      <c r="D7" s="25">
        <v>20000.0</v>
      </c>
      <c r="E7" s="26">
        <v>0.1</v>
      </c>
      <c r="F7" s="24" t="s">
        <v>145</v>
      </c>
      <c r="G7" s="24" t="s">
        <v>139</v>
      </c>
      <c r="H7" s="24" t="s">
        <v>140</v>
      </c>
    </row>
    <row r="8">
      <c r="A8" s="21" t="s">
        <v>143</v>
      </c>
      <c r="B8" s="21" t="s">
        <v>146</v>
      </c>
      <c r="C8" s="21" t="s">
        <v>17</v>
      </c>
      <c r="D8" s="22">
        <v>5000.0</v>
      </c>
      <c r="E8" s="23">
        <v>0.1</v>
      </c>
      <c r="F8" s="21" t="s">
        <v>145</v>
      </c>
      <c r="G8" s="21" t="s">
        <v>139</v>
      </c>
      <c r="H8" s="21" t="s">
        <v>140</v>
      </c>
    </row>
    <row r="9">
      <c r="A9" s="24" t="s">
        <v>143</v>
      </c>
      <c r="B9" s="24" t="s">
        <v>147</v>
      </c>
      <c r="C9" s="24" t="s">
        <v>17</v>
      </c>
      <c r="D9" s="25">
        <v>50000.0</v>
      </c>
      <c r="E9" s="26">
        <v>0.1</v>
      </c>
      <c r="F9" s="24" t="s">
        <v>145</v>
      </c>
      <c r="G9" s="24" t="s">
        <v>139</v>
      </c>
      <c r="H9" s="24" t="s">
        <v>140</v>
      </c>
    </row>
    <row r="10" ht="19.5" customHeight="1">
      <c r="A10" s="27" t="s">
        <v>148</v>
      </c>
      <c r="B10" s="2"/>
      <c r="C10" s="3"/>
      <c r="D10" s="28">
        <f>SUM(D4:D9)</f>
        <v>120500</v>
      </c>
      <c r="E10" s="29"/>
      <c r="F10" s="29"/>
      <c r="G10" s="29"/>
      <c r="H10" s="29"/>
    </row>
    <row r="12" ht="13.5" customHeight="1">
      <c r="A12" s="13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0:C10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18.0"/>
    <col customWidth="1" min="4" max="4" width="10.0"/>
    <col customWidth="1" min="5" max="5" width="14.0"/>
    <col customWidth="1" min="6" max="6" width="16.0"/>
    <col customWidth="1" min="7" max="7" width="10.0"/>
    <col customWidth="1" min="8" max="9" width="16.0"/>
    <col customWidth="1" min="10" max="10" width="12.0"/>
    <col customWidth="1" min="11" max="11" width="18.0"/>
    <col customWidth="1" min="12" max="26" width="8.71"/>
  </cols>
  <sheetData>
    <row r="1" ht="21.75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6.0" customHeight="1"/>
    <row r="3" ht="15.75" customHeight="1">
      <c r="A3" s="8" t="s">
        <v>151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36.0" customHeight="1">
      <c r="A4" s="4" t="s">
        <v>1</v>
      </c>
      <c r="B4" s="4" t="s">
        <v>152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157</v>
      </c>
      <c r="H4" s="4" t="s">
        <v>158</v>
      </c>
      <c r="I4" s="4" t="s">
        <v>6</v>
      </c>
      <c r="J4" s="4" t="s">
        <v>159</v>
      </c>
      <c r="K4" s="4" t="s">
        <v>160</v>
      </c>
    </row>
    <row r="5" ht="30.0" customHeight="1">
      <c r="A5" s="5" t="s">
        <v>161</v>
      </c>
      <c r="B5" s="5" t="s">
        <v>162</v>
      </c>
      <c r="C5" s="30">
        <v>1.05E7</v>
      </c>
      <c r="D5" s="31">
        <v>0.701</v>
      </c>
      <c r="E5" s="5" t="s">
        <v>163</v>
      </c>
      <c r="F5" s="32">
        <v>0.0355</v>
      </c>
      <c r="G5" s="32">
        <v>0.02</v>
      </c>
      <c r="H5" s="32">
        <v>0.0555</v>
      </c>
      <c r="I5" s="5" t="s">
        <v>164</v>
      </c>
      <c r="J5" s="5" t="s">
        <v>165</v>
      </c>
      <c r="K5" s="30">
        <v>1.03E7</v>
      </c>
    </row>
    <row r="6" ht="13.5" customHeight="1">
      <c r="A6" s="13" t="s">
        <v>166</v>
      </c>
    </row>
    <row r="7" ht="7.5" customHeight="1"/>
    <row r="8" ht="15.75" customHeight="1">
      <c r="A8" s="8" t="s">
        <v>167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 ht="36.0" customHeight="1">
      <c r="A9" s="4" t="s">
        <v>1</v>
      </c>
      <c r="B9" s="4" t="s">
        <v>168</v>
      </c>
      <c r="C9" s="4" t="s">
        <v>169</v>
      </c>
      <c r="D9" s="4" t="s">
        <v>170</v>
      </c>
      <c r="E9" s="4" t="s">
        <v>155</v>
      </c>
      <c r="F9" s="4" t="s">
        <v>171</v>
      </c>
      <c r="G9" s="4" t="s">
        <v>157</v>
      </c>
      <c r="H9" s="4" t="s">
        <v>172</v>
      </c>
      <c r="I9" s="4" t="s">
        <v>173</v>
      </c>
      <c r="J9" s="4" t="s">
        <v>174</v>
      </c>
      <c r="K9" s="4" t="s">
        <v>175</v>
      </c>
    </row>
    <row r="10" ht="19.5" customHeight="1">
      <c r="A10" s="21" t="s">
        <v>176</v>
      </c>
      <c r="B10" s="21" t="s">
        <v>177</v>
      </c>
      <c r="C10" s="33">
        <v>60.0</v>
      </c>
      <c r="D10" s="34">
        <v>9199000.0</v>
      </c>
      <c r="E10" s="21" t="s">
        <v>178</v>
      </c>
      <c r="F10" s="35">
        <v>0.0386</v>
      </c>
      <c r="G10" s="35">
        <v>0.019</v>
      </c>
      <c r="H10" s="35">
        <v>0.0576</v>
      </c>
      <c r="I10" s="21" t="s">
        <v>179</v>
      </c>
      <c r="J10" s="34">
        <v>529402.0</v>
      </c>
      <c r="K10" s="36">
        <v>0.75</v>
      </c>
    </row>
    <row r="11" ht="19.5" customHeight="1">
      <c r="A11" s="24" t="s">
        <v>176</v>
      </c>
      <c r="B11" s="24" t="s">
        <v>177</v>
      </c>
      <c r="C11" s="37">
        <v>60.0</v>
      </c>
      <c r="D11" s="38">
        <v>9702000.0</v>
      </c>
      <c r="E11" s="24" t="s">
        <v>178</v>
      </c>
      <c r="F11" s="39">
        <v>0.0386</v>
      </c>
      <c r="G11" s="39">
        <v>0.0142</v>
      </c>
      <c r="H11" s="39">
        <v>0.0528</v>
      </c>
      <c r="I11" s="24" t="s">
        <v>179</v>
      </c>
      <c r="J11" s="38">
        <v>511675.0</v>
      </c>
      <c r="K11" s="40">
        <v>0.75</v>
      </c>
    </row>
    <row r="12" ht="19.5" customHeight="1">
      <c r="A12" s="21" t="s">
        <v>176</v>
      </c>
      <c r="B12" s="21" t="s">
        <v>177</v>
      </c>
      <c r="C12" s="33">
        <v>84.0</v>
      </c>
      <c r="D12" s="34">
        <v>9233000.0</v>
      </c>
      <c r="E12" s="21" t="s">
        <v>180</v>
      </c>
      <c r="F12" s="35">
        <v>0.0405</v>
      </c>
      <c r="G12" s="35">
        <v>0.0167</v>
      </c>
      <c r="H12" s="35">
        <v>0.0572</v>
      </c>
      <c r="I12" s="21" t="s">
        <v>181</v>
      </c>
      <c r="J12" s="34">
        <v>528220.0</v>
      </c>
      <c r="K12" s="36">
        <v>0.75</v>
      </c>
    </row>
    <row r="13" ht="19.5" customHeight="1">
      <c r="A13" s="24" t="s">
        <v>176</v>
      </c>
      <c r="B13" s="24" t="s">
        <v>177</v>
      </c>
      <c r="C13" s="37">
        <v>84.0</v>
      </c>
      <c r="D13" s="38">
        <v>9607000.0</v>
      </c>
      <c r="E13" s="24" t="s">
        <v>180</v>
      </c>
      <c r="F13" s="39">
        <v>0.0405</v>
      </c>
      <c r="G13" s="39">
        <v>0.0131</v>
      </c>
      <c r="H13" s="39">
        <v>0.0536</v>
      </c>
      <c r="I13" s="24" t="s">
        <v>181</v>
      </c>
      <c r="J13" s="38">
        <v>515031.0</v>
      </c>
      <c r="K13" s="40">
        <v>0.75</v>
      </c>
    </row>
    <row r="14" ht="19.5" customHeight="1">
      <c r="A14" s="21" t="s">
        <v>176</v>
      </c>
      <c r="B14" s="21" t="s">
        <v>177</v>
      </c>
      <c r="C14" s="33">
        <v>120.0</v>
      </c>
      <c r="D14" s="34">
        <v>9171000.0</v>
      </c>
      <c r="E14" s="21" t="s">
        <v>182</v>
      </c>
      <c r="F14" s="35">
        <v>0.0425</v>
      </c>
      <c r="G14" s="35">
        <v>0.0153</v>
      </c>
      <c r="H14" s="35">
        <v>0.0578</v>
      </c>
      <c r="I14" s="21" t="s">
        <v>183</v>
      </c>
      <c r="J14" s="34">
        <v>530359.0</v>
      </c>
      <c r="K14" s="36">
        <v>0.75</v>
      </c>
    </row>
    <row r="15" ht="19.5" customHeight="1">
      <c r="A15" s="24" t="s">
        <v>176</v>
      </c>
      <c r="B15" s="24" t="s">
        <v>177</v>
      </c>
      <c r="C15" s="37">
        <v>120.0</v>
      </c>
      <c r="D15" s="38">
        <v>9436000.0</v>
      </c>
      <c r="E15" s="24" t="s">
        <v>182</v>
      </c>
      <c r="F15" s="39">
        <v>0.0425</v>
      </c>
      <c r="G15" s="39">
        <v>0.0127</v>
      </c>
      <c r="H15" s="39">
        <v>0.0552</v>
      </c>
      <c r="I15" s="24" t="s">
        <v>183</v>
      </c>
      <c r="J15" s="38">
        <v>521150.0</v>
      </c>
      <c r="K15" s="40">
        <v>0.75</v>
      </c>
    </row>
    <row r="17" ht="13.5" customHeight="1">
      <c r="A17" s="13" t="s">
        <v>184</v>
      </c>
    </row>
    <row r="18" ht="21.75" customHeight="1">
      <c r="A18" s="41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3:K3"/>
    <mergeCell ref="A6:K6"/>
    <mergeCell ref="A8:K8"/>
    <mergeCell ref="A17:K17"/>
    <mergeCell ref="A18:K1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2026-04-01T16:35:57Z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