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claudio/Library/CloudStorage/GoogleDrive-claudio@valoriscapitalpartners.com/My Drive/Valoris Capital Partners Root/200-Assets Under Management/Park at Pottsburg Creek (128) - Jacksonville, FL/Ownership/Asset Management/Refinancing/"/>
    </mc:Choice>
  </mc:AlternateContent>
  <xr:revisionPtr revIDLastSave="0" documentId="13_ncr:1_{C674EEB4-656F-FB46-857C-6818CCA288F0}" xr6:coauthVersionLast="47" xr6:coauthVersionMax="47" xr10:uidLastSave="{00000000-0000-0000-0000-000000000000}"/>
  <bookViews>
    <workbookView xWindow="0" yWindow="740" windowWidth="34560" windowHeight="20400" activeTab="9" xr2:uid="{00000000-000D-0000-FFFF-FFFF00000000}"/>
  </bookViews>
  <sheets>
    <sheet name="Worst Case" sheetId="2" state="hidden" r:id="rId1"/>
    <sheet name="Calculator" sheetId="6" state="hidden" r:id="rId2"/>
    <sheet name="Budget Summary 2026" sheetId="25" r:id="rId3"/>
    <sheet name="Budget 2026" sheetId="17" r:id="rId4"/>
    <sheet name="2026 Budget Analysis" sheetId="18" r:id="rId5"/>
    <sheet name="Agency vs HUD" sheetId="27" r:id="rId6"/>
    <sheet name="Proforma FOR BUDGET 2026" sheetId="10" r:id="rId7"/>
    <sheet name="Financials" sheetId="26" r:id="rId8"/>
    <sheet name="Worksheet - DO NOT DELETE" sheetId="13" r:id="rId9"/>
    <sheet name="2026 Rent Strategy" sheetId="11" r:id="rId10"/>
    <sheet name="Rent Comps" sheetId="12" r:id="rId11"/>
    <sheet name="T12 - Nov" sheetId="8" r:id="rId12"/>
    <sheet name="T-12 Summarized - Nov" sheetId="16" r:id="rId13"/>
    <sheet name="Sheet2" sheetId="29" r:id="rId14"/>
    <sheet name="Rent Roll - Dec25" sheetId="28" r:id="rId15"/>
  </sheets>
  <definedNames>
    <definedName name="_xlnm._FilterDatabase" localSheetId="3" hidden="1">'Budget 2026'!$A$1:$M$152</definedName>
    <definedName name="_xlnm._FilterDatabase" localSheetId="2" hidden="1">'Budget Summary 2026'!$A$1:$M$152</definedName>
    <definedName name="_xlnm._FilterDatabase" localSheetId="11" hidden="1">'T12 - Nov'!$A$17:$M$168</definedName>
  </definedNames>
  <calcPr calcId="191029"/>
  <pivotCaches>
    <pivotCache cacheId="7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XRwBFf07E2ChIkfE8dM/5EShHc2lcqmIkFjLTzGa0aU="/>
    </ext>
  </extLst>
</workbook>
</file>

<file path=xl/calcChain.xml><?xml version="1.0" encoding="utf-8"?>
<calcChain xmlns="http://schemas.openxmlformats.org/spreadsheetml/2006/main">
  <c r="B58" i="11" l="1"/>
  <c r="B10" i="13"/>
  <c r="AJ20" i="26"/>
  <c r="AJ19" i="26"/>
  <c r="AJ18" i="26"/>
  <c r="AJ17" i="26"/>
  <c r="AJ16" i="26"/>
  <c r="AJ15" i="26"/>
  <c r="AJ14" i="26"/>
  <c r="AJ13" i="26"/>
  <c r="AJ12" i="26"/>
  <c r="AJ21" i="26" s="1"/>
  <c r="AI20" i="26"/>
  <c r="AI19" i="26"/>
  <c r="AI18" i="26"/>
  <c r="AI17" i="26"/>
  <c r="AI16" i="26"/>
  <c r="AI15" i="26"/>
  <c r="AI14" i="26"/>
  <c r="AI13" i="26"/>
  <c r="AI12" i="26"/>
  <c r="AI21" i="26" s="1"/>
  <c r="AH20" i="26"/>
  <c r="AH19" i="26"/>
  <c r="AH18" i="26"/>
  <c r="AH17" i="26"/>
  <c r="AH16" i="26"/>
  <c r="AH15" i="26"/>
  <c r="AH14" i="26"/>
  <c r="AH13" i="26"/>
  <c r="AH12" i="26"/>
  <c r="AG20" i="26"/>
  <c r="AG19" i="26"/>
  <c r="AG18" i="26"/>
  <c r="AG17" i="26"/>
  <c r="AG16" i="26"/>
  <c r="AG15" i="26"/>
  <c r="AG14" i="26"/>
  <c r="AG13" i="26"/>
  <c r="AG12" i="26"/>
  <c r="AG21" i="26" s="1"/>
  <c r="AF20" i="26"/>
  <c r="AF19" i="26"/>
  <c r="AF18" i="26"/>
  <c r="AF17" i="26"/>
  <c r="AF16" i="26"/>
  <c r="AF15" i="26"/>
  <c r="AF14" i="26"/>
  <c r="AF13" i="26"/>
  <c r="AF12" i="26"/>
  <c r="AE20" i="26"/>
  <c r="AE19" i="26"/>
  <c r="AE18" i="26"/>
  <c r="AE17" i="26"/>
  <c r="AE16" i="26"/>
  <c r="AE15" i="26"/>
  <c r="AE14" i="26"/>
  <c r="AE13" i="26"/>
  <c r="AE12" i="26"/>
  <c r="AD20" i="26"/>
  <c r="AD19" i="26"/>
  <c r="AD18" i="26"/>
  <c r="AD17" i="26"/>
  <c r="AD16" i="26"/>
  <c r="AD15" i="26"/>
  <c r="AD14" i="26"/>
  <c r="AD13" i="26"/>
  <c r="AD12" i="26"/>
  <c r="V23" i="26"/>
  <c r="V10" i="26"/>
  <c r="V21" i="26"/>
  <c r="E46" i="27"/>
  <c r="E24" i="27"/>
  <c r="E22" i="27"/>
  <c r="E49" i="27" s="1"/>
  <c r="E11" i="27"/>
  <c r="D35" i="27"/>
  <c r="D34" i="27"/>
  <c r="D33" i="27"/>
  <c r="D32" i="27"/>
  <c r="D22" i="27"/>
  <c r="T53" i="27"/>
  <c r="T52" i="27"/>
  <c r="T51" i="27"/>
  <c r="T50" i="27"/>
  <c r="A50" i="27"/>
  <c r="B49" i="27"/>
  <c r="T45" i="27"/>
  <c r="X45" i="27" s="1"/>
  <c r="AB45" i="27" s="1"/>
  <c r="T44" i="27"/>
  <c r="AB39" i="27"/>
  <c r="Z39" i="27"/>
  <c r="S39" i="27"/>
  <c r="R39" i="27"/>
  <c r="Q39" i="27"/>
  <c r="P39" i="27"/>
  <c r="O39" i="27"/>
  <c r="O41" i="27" s="1"/>
  <c r="N39" i="27"/>
  <c r="N41" i="27" s="1"/>
  <c r="M39" i="27"/>
  <c r="M41" i="27" s="1"/>
  <c r="L39" i="27"/>
  <c r="L41" i="27" s="1"/>
  <c r="K39" i="27"/>
  <c r="K41" i="27" s="1"/>
  <c r="J39" i="27"/>
  <c r="J41" i="27" s="1"/>
  <c r="I39" i="27"/>
  <c r="I41" i="27" s="1"/>
  <c r="AH34" i="27"/>
  <c r="AH33" i="27"/>
  <c r="AH37" i="27" s="1"/>
  <c r="AL10" i="27" s="1"/>
  <c r="AL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B24" i="27"/>
  <c r="AT12" i="27"/>
  <c r="AT10" i="27" s="1"/>
  <c r="AT14" i="27" s="1"/>
  <c r="AT16" i="27" s="1"/>
  <c r="AF19" i="27"/>
  <c r="AV11" i="27"/>
  <c r="AV10" i="27" s="1"/>
  <c r="AV14" i="27" s="1"/>
  <c r="AV16" i="27" s="1"/>
  <c r="AU11" i="27"/>
  <c r="AU10" i="27" s="1"/>
  <c r="AU14" i="27" s="1"/>
  <c r="AU16" i="27" s="1"/>
  <c r="BB10" i="27"/>
  <c r="BA10" i="27"/>
  <c r="AZ10" i="27"/>
  <c r="AY10" i="27"/>
  <c r="AX10" i="27"/>
  <c r="AW10" i="27"/>
  <c r="AW8" i="27"/>
  <c r="AX8" i="27" s="1"/>
  <c r="T13" i="27"/>
  <c r="B7" i="27"/>
  <c r="B13" i="27" s="1"/>
  <c r="S4" i="27"/>
  <c r="R4" i="27"/>
  <c r="Q4" i="27"/>
  <c r="P4" i="27"/>
  <c r="O4" i="27"/>
  <c r="N4" i="27"/>
  <c r="M4" i="27"/>
  <c r="L4" i="27"/>
  <c r="K4" i="27"/>
  <c r="J4" i="27"/>
  <c r="I4" i="27"/>
  <c r="H4" i="27"/>
  <c r="B52" i="18"/>
  <c r="C51" i="18"/>
  <c r="B51" i="18"/>
  <c r="B50" i="18"/>
  <c r="B43" i="18"/>
  <c r="C42" i="18"/>
  <c r="B42" i="18"/>
  <c r="B41" i="18"/>
  <c r="B18" i="18"/>
  <c r="M189" i="25"/>
  <c r="L189" i="25"/>
  <c r="K189" i="25"/>
  <c r="J189" i="25"/>
  <c r="I189" i="25"/>
  <c r="H189" i="25"/>
  <c r="G189" i="25"/>
  <c r="F189" i="25"/>
  <c r="E189" i="25"/>
  <c r="D189" i="25"/>
  <c r="C189" i="25"/>
  <c r="B189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P39" i="10"/>
  <c r="O39" i="10"/>
  <c r="N39" i="10"/>
  <c r="M39" i="10"/>
  <c r="L39" i="10"/>
  <c r="K39" i="10"/>
  <c r="J39" i="10"/>
  <c r="J41" i="10" s="1"/>
  <c r="I39" i="10"/>
  <c r="I41" i="10" s="1"/>
  <c r="H39" i="10"/>
  <c r="H41" i="10" s="1"/>
  <c r="G39" i="10"/>
  <c r="G41" i="10" s="1"/>
  <c r="F39" i="10"/>
  <c r="F41" i="10" s="1"/>
  <c r="AI10" i="10"/>
  <c r="B13" i="10"/>
  <c r="A50" i="10"/>
  <c r="B24" i="10"/>
  <c r="Y39" i="10"/>
  <c r="B7" i="10"/>
  <c r="W39" i="10"/>
  <c r="AC19" i="10"/>
  <c r="Q53" i="10"/>
  <c r="Q52" i="10"/>
  <c r="Q51" i="10"/>
  <c r="Q50" i="10"/>
  <c r="L41" i="10"/>
  <c r="Q45" i="10"/>
  <c r="Q44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Q13" i="10"/>
  <c r="B40" i="18"/>
  <c r="P4" i="10"/>
  <c r="O4" i="10"/>
  <c r="N4" i="10"/>
  <c r="M4" i="10"/>
  <c r="L4" i="10"/>
  <c r="K4" i="10"/>
  <c r="J4" i="10"/>
  <c r="I4" i="10"/>
  <c r="H4" i="10"/>
  <c r="G4" i="10"/>
  <c r="F4" i="10"/>
  <c r="E4" i="10"/>
  <c r="K41" i="10" l="1"/>
  <c r="AF21" i="26"/>
  <c r="AH21" i="26"/>
  <c r="AE21" i="26"/>
  <c r="AD21" i="26"/>
  <c r="V45" i="27"/>
  <c r="Z45" i="27" s="1"/>
  <c r="T29" i="27"/>
  <c r="T30" i="27"/>
  <c r="V30" i="27" s="1"/>
  <c r="V29" i="27"/>
  <c r="AX14" i="27"/>
  <c r="AX16" i="27" s="1"/>
  <c r="AY8" i="27"/>
  <c r="AW14" i="27"/>
  <c r="AW16" i="27" s="1"/>
  <c r="S45" i="10"/>
  <c r="W45" i="10" s="1"/>
  <c r="U45" i="10"/>
  <c r="Y45" i="10" s="1"/>
  <c r="Q30" i="10"/>
  <c r="S30" i="10" s="1"/>
  <c r="Q29" i="10"/>
  <c r="S29" i="10" s="1"/>
  <c r="AF13" i="27" l="1"/>
  <c r="AG13" i="27" s="1"/>
  <c r="X30" i="27"/>
  <c r="X29" i="27"/>
  <c r="AY14" i="27"/>
  <c r="AY16" i="27" s="1"/>
  <c r="AZ8" i="27"/>
  <c r="AC13" i="10"/>
  <c r="AD13" i="10"/>
  <c r="Z29" i="27" l="1"/>
  <c r="AZ14" i="27"/>
  <c r="AZ16" i="27" s="1"/>
  <c r="BA8" i="27"/>
  <c r="Z30" i="27"/>
  <c r="AB29" i="27" l="1"/>
  <c r="BA14" i="27"/>
  <c r="BA16" i="27" s="1"/>
  <c r="BB8" i="27"/>
  <c r="BB14" i="27" s="1"/>
  <c r="BB16" i="27" s="1"/>
  <c r="AB30" i="27"/>
  <c r="AC21" i="26" l="1"/>
  <c r="AC20" i="26"/>
  <c r="AC19" i="26"/>
  <c r="AC18" i="26"/>
  <c r="AC17" i="26"/>
  <c r="AC16" i="26"/>
  <c r="AC15" i="26"/>
  <c r="AC14" i="26"/>
  <c r="AC13" i="26"/>
  <c r="AC12" i="26"/>
  <c r="AC10" i="26"/>
  <c r="AC9" i="26"/>
  <c r="AC8" i="26"/>
  <c r="AB1048567" i="26"/>
  <c r="P23" i="26"/>
  <c r="AC23" i="26" s="1"/>
  <c r="O21" i="26"/>
  <c r="O23" i="26" s="1"/>
  <c r="N21" i="26"/>
  <c r="N23" i="26" s="1"/>
  <c r="M21" i="26"/>
  <c r="M23" i="26" s="1"/>
  <c r="L21" i="26"/>
  <c r="L23" i="26" s="1"/>
  <c r="K21" i="26"/>
  <c r="K23" i="26" s="1"/>
  <c r="J21" i="26"/>
  <c r="N189" i="25"/>
  <c r="N188" i="25"/>
  <c r="N187" i="25"/>
  <c r="N186" i="25"/>
  <c r="N185" i="25"/>
  <c r="N184" i="25"/>
  <c r="N183" i="25"/>
  <c r="N182" i="25"/>
  <c r="N181" i="25"/>
  <c r="N180" i="25"/>
  <c r="N179" i="25"/>
  <c r="N178" i="25"/>
  <c r="N177" i="25"/>
  <c r="N176" i="25"/>
  <c r="N175" i="25"/>
  <c r="N174" i="25"/>
  <c r="N173" i="25"/>
  <c r="N172" i="25"/>
  <c r="N171" i="25"/>
  <c r="N170" i="25"/>
  <c r="N169" i="25"/>
  <c r="N168" i="25"/>
  <c r="N161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M151" i="25"/>
  <c r="B151" i="25"/>
  <c r="N150" i="25"/>
  <c r="N149" i="25"/>
  <c r="N148" i="25"/>
  <c r="N147" i="25"/>
  <c r="Q146" i="25"/>
  <c r="M146" i="25"/>
  <c r="N146" i="25" s="1"/>
  <c r="M145" i="25"/>
  <c r="L145" i="25"/>
  <c r="K145" i="25"/>
  <c r="J145" i="25"/>
  <c r="I145" i="25"/>
  <c r="H145" i="25"/>
  <c r="G145" i="25"/>
  <c r="F145" i="25"/>
  <c r="E145" i="25"/>
  <c r="N145" i="25" s="1"/>
  <c r="D145" i="25"/>
  <c r="C145" i="25"/>
  <c r="B145" i="25"/>
  <c r="N144" i="25"/>
  <c r="M143" i="25"/>
  <c r="L143" i="25"/>
  <c r="K143" i="25"/>
  <c r="J143" i="25"/>
  <c r="I143" i="25"/>
  <c r="H143" i="25"/>
  <c r="G143" i="25"/>
  <c r="F143" i="25"/>
  <c r="E143" i="25"/>
  <c r="N143" i="25" s="1"/>
  <c r="D143" i="25"/>
  <c r="C143" i="25"/>
  <c r="B143" i="25"/>
  <c r="M142" i="25"/>
  <c r="L142" i="25"/>
  <c r="K142" i="25"/>
  <c r="J142" i="25"/>
  <c r="I142" i="25"/>
  <c r="H142" i="25"/>
  <c r="G142" i="25"/>
  <c r="F142" i="25"/>
  <c r="E142" i="25"/>
  <c r="D142" i="25"/>
  <c r="N142" i="25" s="1"/>
  <c r="C142" i="25"/>
  <c r="B142" i="25"/>
  <c r="M141" i="25"/>
  <c r="L141" i="25"/>
  <c r="K141" i="25"/>
  <c r="J141" i="25"/>
  <c r="I141" i="25"/>
  <c r="H141" i="25"/>
  <c r="G141" i="25"/>
  <c r="F141" i="25"/>
  <c r="E141" i="25"/>
  <c r="D141" i="25"/>
  <c r="C141" i="25"/>
  <c r="N141" i="25" s="1"/>
  <c r="B141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N140" i="25" s="1"/>
  <c r="M139" i="25"/>
  <c r="L139" i="25"/>
  <c r="L151" i="25" s="1"/>
  <c r="K139" i="25"/>
  <c r="K151" i="25" s="1"/>
  <c r="J139" i="25"/>
  <c r="J151" i="25" s="1"/>
  <c r="I139" i="25"/>
  <c r="I151" i="25" s="1"/>
  <c r="H139" i="25"/>
  <c r="H151" i="25" s="1"/>
  <c r="G139" i="25"/>
  <c r="G151" i="25" s="1"/>
  <c r="F139" i="25"/>
  <c r="F151" i="25" s="1"/>
  <c r="E139" i="25"/>
  <c r="E151" i="25" s="1"/>
  <c r="D139" i="25"/>
  <c r="D151" i="25" s="1"/>
  <c r="C139" i="25"/>
  <c r="C151" i="25" s="1"/>
  <c r="B139" i="25"/>
  <c r="N139" i="25" s="1"/>
  <c r="N138" i="25"/>
  <c r="N137" i="25"/>
  <c r="N134" i="25"/>
  <c r="M133" i="25"/>
  <c r="M135" i="25" s="1"/>
  <c r="L133" i="25"/>
  <c r="L135" i="25" s="1"/>
  <c r="K133" i="25"/>
  <c r="K135" i="25" s="1"/>
  <c r="J133" i="25"/>
  <c r="J135" i="25" s="1"/>
  <c r="I133" i="25"/>
  <c r="I135" i="25" s="1"/>
  <c r="H133" i="25"/>
  <c r="H135" i="25" s="1"/>
  <c r="G133" i="25"/>
  <c r="G135" i="25" s="1"/>
  <c r="F133" i="25"/>
  <c r="F135" i="25" s="1"/>
  <c r="E133" i="25"/>
  <c r="E135" i="25" s="1"/>
  <c r="D133" i="25"/>
  <c r="D135" i="25" s="1"/>
  <c r="C133" i="25"/>
  <c r="C135" i="25" s="1"/>
  <c r="B133" i="25"/>
  <c r="N133" i="25" s="1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N131" i="25" s="1"/>
  <c r="N130" i="25"/>
  <c r="N129" i="25"/>
  <c r="N128" i="25"/>
  <c r="N127" i="25"/>
  <c r="N125" i="25"/>
  <c r="N124" i="25"/>
  <c r="M122" i="25"/>
  <c r="L122" i="25"/>
  <c r="K122" i="25"/>
  <c r="J122" i="25"/>
  <c r="I122" i="25"/>
  <c r="H122" i="25"/>
  <c r="G122" i="25"/>
  <c r="F122" i="25"/>
  <c r="N122" i="25" s="1"/>
  <c r="E122" i="25"/>
  <c r="D122" i="25"/>
  <c r="C122" i="25"/>
  <c r="B122" i="25"/>
  <c r="N121" i="25"/>
  <c r="N120" i="25"/>
  <c r="N119" i="25"/>
  <c r="N118" i="25"/>
  <c r="N117" i="25"/>
  <c r="N116" i="25"/>
  <c r="N115" i="25"/>
  <c r="N114" i="25"/>
  <c r="N113" i="25"/>
  <c r="N112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N110" i="25" s="1"/>
  <c r="N109" i="25"/>
  <c r="N108" i="25"/>
  <c r="N107" i="25"/>
  <c r="N106" i="25"/>
  <c r="N105" i="25"/>
  <c r="N104" i="25"/>
  <c r="N103" i="25"/>
  <c r="N102" i="25"/>
  <c r="N101" i="25"/>
  <c r="N100" i="25"/>
  <c r="N99" i="25"/>
  <c r="N98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N95" i="25"/>
  <c r="N94" i="25"/>
  <c r="N93" i="25"/>
  <c r="N92" i="25"/>
  <c r="N91" i="25"/>
  <c r="N90" i="25"/>
  <c r="N89" i="25"/>
  <c r="N88" i="25"/>
  <c r="M86" i="25"/>
  <c r="L86" i="25"/>
  <c r="K86" i="25"/>
  <c r="J86" i="25"/>
  <c r="I86" i="25"/>
  <c r="H86" i="25"/>
  <c r="G86" i="25"/>
  <c r="F86" i="25"/>
  <c r="E86" i="25"/>
  <c r="N86" i="25" s="1"/>
  <c r="D86" i="25"/>
  <c r="C86" i="25"/>
  <c r="B86" i="25"/>
  <c r="N85" i="25"/>
  <c r="N84" i="25"/>
  <c r="N83" i="25"/>
  <c r="N82" i="25"/>
  <c r="N81" i="25"/>
  <c r="N80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N76" i="25"/>
  <c r="N75" i="25"/>
  <c r="N74" i="25"/>
  <c r="N73" i="25"/>
  <c r="N72" i="25"/>
  <c r="N71" i="25"/>
  <c r="N70" i="25"/>
  <c r="N69" i="25"/>
  <c r="N68" i="25"/>
  <c r="N67" i="25"/>
  <c r="N66" i="25"/>
  <c r="N65" i="25"/>
  <c r="N64" i="25"/>
  <c r="N63" i="25"/>
  <c r="N62" i="25"/>
  <c r="N61" i="25"/>
  <c r="N60" i="25"/>
  <c r="N59" i="25"/>
  <c r="N58" i="25"/>
  <c r="N57" i="25"/>
  <c r="N56" i="25"/>
  <c r="N55" i="25"/>
  <c r="N54" i="25"/>
  <c r="N53" i="25"/>
  <c r="C43" i="25"/>
  <c r="N42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N38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N34" i="25"/>
  <c r="N33" i="25"/>
  <c r="N32" i="25"/>
  <c r="N31" i="25"/>
  <c r="N30" i="25"/>
  <c r="N29" i="25"/>
  <c r="N28" i="25"/>
  <c r="N27" i="25"/>
  <c r="N26" i="25"/>
  <c r="N25" i="25"/>
  <c r="N24" i="25"/>
  <c r="N23" i="25"/>
  <c r="N22" i="25"/>
  <c r="N21" i="25"/>
  <c r="N20" i="25"/>
  <c r="N19" i="25"/>
  <c r="N18" i="25"/>
  <c r="N17" i="25"/>
  <c r="N16" i="25"/>
  <c r="N15" i="25"/>
  <c r="N14" i="25"/>
  <c r="N13" i="25"/>
  <c r="N12" i="25"/>
  <c r="N6" i="25"/>
  <c r="N5" i="25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6" i="17"/>
  <c r="N5" i="17"/>
  <c r="M12" i="13"/>
  <c r="M2" i="25" s="1"/>
  <c r="L12" i="13"/>
  <c r="L2" i="25" s="1"/>
  <c r="K12" i="13"/>
  <c r="K2" i="25" s="1"/>
  <c r="J12" i="13"/>
  <c r="J2" i="25" s="1"/>
  <c r="I12" i="13"/>
  <c r="I2" i="25" s="1"/>
  <c r="H12" i="13"/>
  <c r="H2" i="25" s="1"/>
  <c r="G12" i="13"/>
  <c r="G2" i="25" s="1"/>
  <c r="F12" i="13"/>
  <c r="F2" i="25" s="1"/>
  <c r="E12" i="13"/>
  <c r="E2" i="25" s="1"/>
  <c r="D12" i="13"/>
  <c r="D2" i="25" s="1"/>
  <c r="C12" i="13"/>
  <c r="C2" i="25" s="1"/>
  <c r="B12" i="13"/>
  <c r="B2" i="25" s="1"/>
  <c r="U24" i="11"/>
  <c r="X24" i="11" s="1"/>
  <c r="Y24" i="11" s="1"/>
  <c r="Z24" i="11" s="1"/>
  <c r="U23" i="11"/>
  <c r="X23" i="11" s="1"/>
  <c r="Y23" i="11" s="1"/>
  <c r="Z23" i="11" s="1"/>
  <c r="U22" i="11"/>
  <c r="X22" i="11" s="1"/>
  <c r="Y22" i="11" s="1"/>
  <c r="Z22" i="11" s="1"/>
  <c r="U21" i="11"/>
  <c r="X21" i="11" s="1"/>
  <c r="Y21" i="11" s="1"/>
  <c r="Z21" i="11" s="1"/>
  <c r="U20" i="11"/>
  <c r="V20" i="11" s="1"/>
  <c r="B25" i="11"/>
  <c r="S24" i="11"/>
  <c r="S23" i="11"/>
  <c r="D25" i="11"/>
  <c r="F25" i="11"/>
  <c r="I25" i="11"/>
  <c r="L25" i="11"/>
  <c r="O25" i="11"/>
  <c r="B8" i="13"/>
  <c r="B15" i="13" s="1"/>
  <c r="B4" i="17" s="1"/>
  <c r="M41" i="17"/>
  <c r="L41" i="17"/>
  <c r="K41" i="17"/>
  <c r="J41" i="17"/>
  <c r="I41" i="17"/>
  <c r="H41" i="17"/>
  <c r="G41" i="17"/>
  <c r="F41" i="17"/>
  <c r="E41" i="17"/>
  <c r="D41" i="17"/>
  <c r="M40" i="17"/>
  <c r="L40" i="17"/>
  <c r="K40" i="17"/>
  <c r="J40" i="17"/>
  <c r="I40" i="17"/>
  <c r="H40" i="17"/>
  <c r="G40" i="17"/>
  <c r="F40" i="17"/>
  <c r="E40" i="17"/>
  <c r="D40" i="17"/>
  <c r="M39" i="17"/>
  <c r="L39" i="17"/>
  <c r="K39" i="17"/>
  <c r="J39" i="17"/>
  <c r="I39" i="17"/>
  <c r="H39" i="17"/>
  <c r="G39" i="17"/>
  <c r="F39" i="17"/>
  <c r="E39" i="17"/>
  <c r="D39" i="17"/>
  <c r="M37" i="17"/>
  <c r="L37" i="17"/>
  <c r="K37" i="17"/>
  <c r="J37" i="17"/>
  <c r="I37" i="17"/>
  <c r="H37" i="17"/>
  <c r="G37" i="17"/>
  <c r="F37" i="17"/>
  <c r="E37" i="17"/>
  <c r="D37" i="17"/>
  <c r="M36" i="17"/>
  <c r="L36" i="17"/>
  <c r="K36" i="17"/>
  <c r="J36" i="17"/>
  <c r="I36" i="17"/>
  <c r="H36" i="17"/>
  <c r="G36" i="17"/>
  <c r="F36" i="17"/>
  <c r="E36" i="17"/>
  <c r="D36" i="17"/>
  <c r="M35" i="17"/>
  <c r="L35" i="17"/>
  <c r="K35" i="17"/>
  <c r="J35" i="17"/>
  <c r="I35" i="17"/>
  <c r="H35" i="17"/>
  <c r="G35" i="17"/>
  <c r="F35" i="17"/>
  <c r="E35" i="17"/>
  <c r="D35" i="17"/>
  <c r="C41" i="17"/>
  <c r="C40" i="17"/>
  <c r="C39" i="17"/>
  <c r="C37" i="17"/>
  <c r="C36" i="17"/>
  <c r="C35" i="17"/>
  <c r="B41" i="17"/>
  <c r="B40" i="17"/>
  <c r="B39" i="17"/>
  <c r="B37" i="17"/>
  <c r="B35" i="17"/>
  <c r="B36" i="17"/>
  <c r="M6" i="13"/>
  <c r="M43" i="25" s="1"/>
  <c r="L6" i="13"/>
  <c r="L43" i="17" s="1"/>
  <c r="K6" i="13"/>
  <c r="K43" i="17" s="1"/>
  <c r="J6" i="13"/>
  <c r="J43" i="17" s="1"/>
  <c r="I6" i="13"/>
  <c r="I43" i="17" s="1"/>
  <c r="H6" i="13"/>
  <c r="H43" i="17" s="1"/>
  <c r="G6" i="13"/>
  <c r="G43" i="17" s="1"/>
  <c r="F6" i="13"/>
  <c r="F43" i="17" s="1"/>
  <c r="E6" i="13"/>
  <c r="E43" i="17" s="1"/>
  <c r="D6" i="13"/>
  <c r="D43" i="17" s="1"/>
  <c r="C6" i="13"/>
  <c r="B6" i="13"/>
  <c r="B43" i="17" s="1"/>
  <c r="F36" i="18"/>
  <c r="G36" i="18" s="1"/>
  <c r="F39" i="18"/>
  <c r="Q126" i="8"/>
  <c r="R18" i="16"/>
  <c r="R17" i="16"/>
  <c r="R16" i="16"/>
  <c r="R14" i="16"/>
  <c r="R13" i="16"/>
  <c r="R15" i="16"/>
  <c r="R12" i="16"/>
  <c r="R11" i="16"/>
  <c r="R10" i="16"/>
  <c r="R9" i="16"/>
  <c r="B145" i="17"/>
  <c r="C145" i="17"/>
  <c r="D145" i="17"/>
  <c r="E145" i="17"/>
  <c r="F145" i="17"/>
  <c r="G145" i="17"/>
  <c r="H145" i="17"/>
  <c r="I145" i="17"/>
  <c r="J145" i="17"/>
  <c r="K145" i="17"/>
  <c r="L145" i="17"/>
  <c r="M145" i="17"/>
  <c r="Q146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140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N130" i="17"/>
  <c r="B43" i="25" l="1"/>
  <c r="G43" i="25"/>
  <c r="G44" i="25"/>
  <c r="C43" i="17"/>
  <c r="N77" i="25"/>
  <c r="N2" i="25"/>
  <c r="D43" i="25"/>
  <c r="D44" i="25" s="1"/>
  <c r="N41" i="25"/>
  <c r="N40" i="25"/>
  <c r="E43" i="25"/>
  <c r="E44" i="25" s="1"/>
  <c r="C44" i="25"/>
  <c r="K44" i="25"/>
  <c r="H43" i="25"/>
  <c r="I43" i="25"/>
  <c r="I44" i="25" s="1"/>
  <c r="B4" i="25"/>
  <c r="M44" i="25"/>
  <c r="J43" i="25"/>
  <c r="B44" i="25"/>
  <c r="K43" i="25"/>
  <c r="J44" i="25"/>
  <c r="L43" i="25"/>
  <c r="M43" i="17"/>
  <c r="E14" i="10"/>
  <c r="H14" i="27"/>
  <c r="L44" i="25"/>
  <c r="N36" i="25"/>
  <c r="H44" i="25"/>
  <c r="N39" i="25"/>
  <c r="N37" i="25"/>
  <c r="F43" i="25"/>
  <c r="F44" i="25" s="1"/>
  <c r="J23" i="26"/>
  <c r="N151" i="25"/>
  <c r="B135" i="25"/>
  <c r="N135" i="25" s="1"/>
  <c r="N35" i="25"/>
  <c r="B16" i="13"/>
  <c r="B3" i="25" s="1"/>
  <c r="N145" i="17"/>
  <c r="B17" i="13"/>
  <c r="B8" i="25" s="1"/>
  <c r="V21" i="11"/>
  <c r="V22" i="11"/>
  <c r="V23" i="11"/>
  <c r="W23" i="11" s="1"/>
  <c r="V24" i="11"/>
  <c r="W24" i="11" s="1"/>
  <c r="U25" i="11"/>
  <c r="X20" i="11"/>
  <c r="T23" i="11"/>
  <c r="T24" i="11"/>
  <c r="N44" i="25" l="1"/>
  <c r="D17" i="18" s="1"/>
  <c r="N43" i="25"/>
  <c r="V25" i="11"/>
  <c r="W25" i="11" s="1"/>
  <c r="X25" i="11"/>
  <c r="Y20" i="11"/>
  <c r="F17" i="18" l="1"/>
  <c r="G17" i="18" s="1"/>
  <c r="D51" i="18"/>
  <c r="Z20" i="11"/>
  <c r="Z25" i="11" s="1"/>
  <c r="Y25" i="11"/>
  <c r="C8" i="13" l="1"/>
  <c r="E62" i="11"/>
  <c r="J62" i="11"/>
  <c r="H62" i="11"/>
  <c r="D62" i="11"/>
  <c r="C62" i="11"/>
  <c r="B62" i="11"/>
  <c r="G45" i="11"/>
  <c r="G44" i="11"/>
  <c r="G43" i="11"/>
  <c r="G42" i="11"/>
  <c r="F45" i="11"/>
  <c r="F44" i="11"/>
  <c r="F43" i="11"/>
  <c r="F42" i="11"/>
  <c r="E45" i="11"/>
  <c r="E44" i="11"/>
  <c r="E43" i="11"/>
  <c r="E42" i="11"/>
  <c r="D42" i="11"/>
  <c r="D45" i="11"/>
  <c r="D44" i="11"/>
  <c r="D43" i="11"/>
  <c r="D54" i="11"/>
  <c r="G62" i="11" s="1"/>
  <c r="N149" i="17"/>
  <c r="D52" i="11"/>
  <c r="C56" i="11" s="1"/>
  <c r="I62" i="11" s="1"/>
  <c r="M159" i="17"/>
  <c r="L159" i="17"/>
  <c r="K159" i="17"/>
  <c r="J159" i="17"/>
  <c r="I159" i="17"/>
  <c r="H159" i="17"/>
  <c r="G159" i="17"/>
  <c r="F159" i="17"/>
  <c r="E159" i="17"/>
  <c r="D159" i="17"/>
  <c r="C159" i="17"/>
  <c r="B159" i="17"/>
  <c r="N189" i="17"/>
  <c r="N188" i="17"/>
  <c r="N187" i="17"/>
  <c r="N186" i="17"/>
  <c r="N185" i="17"/>
  <c r="N184" i="17"/>
  <c r="N183" i="17"/>
  <c r="N182" i="17"/>
  <c r="N181" i="17"/>
  <c r="N180" i="17"/>
  <c r="N179" i="17"/>
  <c r="N178" i="17"/>
  <c r="N177" i="17"/>
  <c r="N176" i="17"/>
  <c r="N175" i="17"/>
  <c r="N174" i="17"/>
  <c r="N173" i="17"/>
  <c r="N172" i="17"/>
  <c r="N171" i="17"/>
  <c r="N170" i="17"/>
  <c r="N169" i="17"/>
  <c r="N168" i="17"/>
  <c r="N133" i="17"/>
  <c r="D34" i="18" s="1"/>
  <c r="F34" i="18" s="1"/>
  <c r="G34" i="18" s="1"/>
  <c r="M33" i="13"/>
  <c r="L33" i="13"/>
  <c r="K33" i="13"/>
  <c r="J33" i="13"/>
  <c r="I33" i="13"/>
  <c r="H33" i="13"/>
  <c r="G33" i="13"/>
  <c r="F33" i="13"/>
  <c r="E33" i="13"/>
  <c r="D33" i="13"/>
  <c r="C33" i="13"/>
  <c r="B33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N34" i="13"/>
  <c r="N28" i="13"/>
  <c r="N85" i="17"/>
  <c r="N84" i="17"/>
  <c r="N83" i="17"/>
  <c r="N82" i="17"/>
  <c r="N81" i="17"/>
  <c r="N80" i="17"/>
  <c r="M86" i="17"/>
  <c r="L86" i="17"/>
  <c r="K86" i="17"/>
  <c r="J86" i="17"/>
  <c r="I86" i="17"/>
  <c r="H86" i="17"/>
  <c r="G86" i="17"/>
  <c r="F86" i="17"/>
  <c r="E86" i="17"/>
  <c r="E26" i="13" s="1"/>
  <c r="D86" i="17"/>
  <c r="C86" i="17"/>
  <c r="B86" i="17"/>
  <c r="N161" i="17"/>
  <c r="B131" i="17"/>
  <c r="C131" i="17"/>
  <c r="D131" i="17"/>
  <c r="E131" i="17"/>
  <c r="F131" i="17"/>
  <c r="G131" i="17"/>
  <c r="H131" i="17"/>
  <c r="I131" i="17"/>
  <c r="J131" i="17"/>
  <c r="K131" i="17"/>
  <c r="L131" i="17"/>
  <c r="M131" i="17"/>
  <c r="N124" i="17"/>
  <c r="N129" i="17"/>
  <c r="N128" i="17"/>
  <c r="N127" i="17"/>
  <c r="N125" i="17"/>
  <c r="H27" i="10" l="1"/>
  <c r="K27" i="27"/>
  <c r="M27" i="10"/>
  <c r="P27" i="27"/>
  <c r="O27" i="27"/>
  <c r="L27" i="10"/>
  <c r="F27" i="10"/>
  <c r="I27" i="27"/>
  <c r="E27" i="10"/>
  <c r="H27" i="27"/>
  <c r="N27" i="27"/>
  <c r="K27" i="10"/>
  <c r="K27" i="13"/>
  <c r="Q27" i="27"/>
  <c r="N27" i="10"/>
  <c r="J27" i="10"/>
  <c r="M27" i="27"/>
  <c r="J27" i="27"/>
  <c r="G27" i="10"/>
  <c r="M27" i="13"/>
  <c r="P27" i="10"/>
  <c r="S27" i="27"/>
  <c r="L27" i="13"/>
  <c r="R27" i="27"/>
  <c r="O27" i="10"/>
  <c r="F27" i="13"/>
  <c r="I27" i="10"/>
  <c r="L27" i="27"/>
  <c r="D26" i="13"/>
  <c r="J26" i="27"/>
  <c r="G26" i="10"/>
  <c r="C26" i="13"/>
  <c r="I26" i="27"/>
  <c r="F26" i="10"/>
  <c r="P26" i="10"/>
  <c r="S26" i="27"/>
  <c r="G26" i="13"/>
  <c r="M26" i="27"/>
  <c r="J26" i="10"/>
  <c r="K26" i="13"/>
  <c r="N26" i="10"/>
  <c r="Q26" i="27"/>
  <c r="R26" i="27"/>
  <c r="O26" i="10"/>
  <c r="B26" i="13"/>
  <c r="E26" i="10"/>
  <c r="H26" i="27"/>
  <c r="K26" i="27"/>
  <c r="H26" i="10"/>
  <c r="N26" i="27"/>
  <c r="K26" i="10"/>
  <c r="O26" i="27"/>
  <c r="L26" i="10"/>
  <c r="L26" i="27"/>
  <c r="I26" i="10"/>
  <c r="P26" i="27"/>
  <c r="M26" i="10"/>
  <c r="C17" i="13"/>
  <c r="C8" i="25" s="1"/>
  <c r="C16" i="13"/>
  <c r="C3" i="25" s="1"/>
  <c r="J27" i="13"/>
  <c r="I26" i="13"/>
  <c r="J26" i="13"/>
  <c r="H26" i="13"/>
  <c r="F62" i="11"/>
  <c r="D8" i="13"/>
  <c r="D16" i="13" s="1"/>
  <c r="D3" i="25" s="1"/>
  <c r="C15" i="13"/>
  <c r="D27" i="13"/>
  <c r="E27" i="13"/>
  <c r="C27" i="13"/>
  <c r="B27" i="13"/>
  <c r="F26" i="13"/>
  <c r="M26" i="13"/>
  <c r="L26" i="13"/>
  <c r="N86" i="17"/>
  <c r="D31" i="18" s="1"/>
  <c r="F31" i="18" s="1"/>
  <c r="G31" i="18" s="1"/>
  <c r="I27" i="13"/>
  <c r="G27" i="13"/>
  <c r="H27" i="13"/>
  <c r="C57" i="11"/>
  <c r="K62" i="11" s="1"/>
  <c r="N33" i="13"/>
  <c r="N131" i="17"/>
  <c r="D32" i="18" s="1"/>
  <c r="F32" i="18" s="1"/>
  <c r="G32" i="18" s="1"/>
  <c r="N43" i="17"/>
  <c r="N42" i="17"/>
  <c r="N41" i="17"/>
  <c r="N40" i="17"/>
  <c r="N39" i="17"/>
  <c r="N38" i="17"/>
  <c r="N37" i="17"/>
  <c r="N36" i="17"/>
  <c r="N35" i="17"/>
  <c r="N34" i="17"/>
  <c r="N33" i="17"/>
  <c r="N32" i="17"/>
  <c r="N31" i="17"/>
  <c r="N30" i="17"/>
  <c r="N29" i="17"/>
  <c r="N28" i="17"/>
  <c r="N27" i="17"/>
  <c r="N26" i="17"/>
  <c r="N25" i="17"/>
  <c r="N24" i="17"/>
  <c r="N23" i="17"/>
  <c r="N22" i="17"/>
  <c r="N21" i="17"/>
  <c r="N20" i="17"/>
  <c r="N19" i="17"/>
  <c r="N18" i="17"/>
  <c r="N17" i="17"/>
  <c r="N16" i="17"/>
  <c r="N15" i="17"/>
  <c r="N14" i="17"/>
  <c r="N13" i="17"/>
  <c r="N12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M146" i="17"/>
  <c r="N146" i="17" s="1"/>
  <c r="M96" i="17"/>
  <c r="L96" i="17"/>
  <c r="K96" i="17"/>
  <c r="J96" i="17"/>
  <c r="I96" i="17"/>
  <c r="H96" i="17"/>
  <c r="G96" i="17"/>
  <c r="F96" i="17"/>
  <c r="E96" i="17"/>
  <c r="D96" i="17"/>
  <c r="C96" i="17"/>
  <c r="B96" i="17"/>
  <c r="N109" i="17"/>
  <c r="N108" i="17"/>
  <c r="N107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N106" i="17"/>
  <c r="N105" i="17"/>
  <c r="N104" i="17"/>
  <c r="N103" i="17"/>
  <c r="N102" i="17"/>
  <c r="N101" i="17"/>
  <c r="N100" i="17"/>
  <c r="N99" i="17"/>
  <c r="N98" i="17"/>
  <c r="N150" i="17"/>
  <c r="N148" i="17"/>
  <c r="N147" i="17"/>
  <c r="N144" i="17"/>
  <c r="N142" i="17"/>
  <c r="N141" i="17"/>
  <c r="N137" i="17"/>
  <c r="M143" i="17"/>
  <c r="L143" i="17"/>
  <c r="K143" i="17"/>
  <c r="J143" i="17"/>
  <c r="I143" i="17"/>
  <c r="H143" i="17"/>
  <c r="G143" i="17"/>
  <c r="F143" i="17"/>
  <c r="E143" i="17"/>
  <c r="D143" i="17"/>
  <c r="C143" i="17"/>
  <c r="M140" i="17"/>
  <c r="L140" i="17"/>
  <c r="K140" i="17"/>
  <c r="J140" i="17"/>
  <c r="I140" i="17"/>
  <c r="H140" i="17"/>
  <c r="G140" i="17"/>
  <c r="F140" i="17"/>
  <c r="E140" i="17"/>
  <c r="D140" i="17"/>
  <c r="C140" i="17"/>
  <c r="M139" i="17"/>
  <c r="L139" i="17"/>
  <c r="K139" i="17"/>
  <c r="J139" i="17"/>
  <c r="I139" i="17"/>
  <c r="H139" i="17"/>
  <c r="G139" i="17"/>
  <c r="F139" i="17"/>
  <c r="E139" i="17"/>
  <c r="D139" i="17"/>
  <c r="C139" i="17"/>
  <c r="B143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N121" i="17"/>
  <c r="N120" i="17"/>
  <c r="N119" i="17"/>
  <c r="N118" i="17"/>
  <c r="N117" i="17"/>
  <c r="N116" i="17"/>
  <c r="N115" i="17"/>
  <c r="N114" i="17"/>
  <c r="N113" i="17"/>
  <c r="N112" i="17"/>
  <c r="B139" i="17"/>
  <c r="N138" i="17"/>
  <c r="B135" i="17"/>
  <c r="J135" i="17"/>
  <c r="H135" i="17"/>
  <c r="D135" i="17"/>
  <c r="M135" i="17"/>
  <c r="E135" i="17"/>
  <c r="N95" i="17"/>
  <c r="N93" i="17"/>
  <c r="N88" i="17"/>
  <c r="N89" i="17"/>
  <c r="N90" i="17"/>
  <c r="N91" i="17"/>
  <c r="N92" i="17"/>
  <c r="N94" i="17"/>
  <c r="N76" i="17"/>
  <c r="N75" i="17"/>
  <c r="N74" i="17"/>
  <c r="N73" i="17"/>
  <c r="N72" i="17"/>
  <c r="N71" i="17"/>
  <c r="N70" i="17"/>
  <c r="N69" i="17"/>
  <c r="N68" i="17"/>
  <c r="N67" i="17"/>
  <c r="N66" i="17"/>
  <c r="N65" i="17"/>
  <c r="N64" i="17"/>
  <c r="N63" i="17"/>
  <c r="N62" i="17"/>
  <c r="N61" i="17"/>
  <c r="N60" i="17"/>
  <c r="N59" i="17"/>
  <c r="N58" i="17"/>
  <c r="N57" i="17"/>
  <c r="N56" i="17"/>
  <c r="N55" i="17"/>
  <c r="N54" i="17"/>
  <c r="N53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M2" i="17"/>
  <c r="L2" i="17"/>
  <c r="K2" i="17"/>
  <c r="J2" i="17"/>
  <c r="I2" i="17"/>
  <c r="H2" i="17"/>
  <c r="G2" i="17"/>
  <c r="F2" i="17"/>
  <c r="E2" i="17"/>
  <c r="D2" i="17"/>
  <c r="C2" i="17"/>
  <c r="B2" i="17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30" i="16"/>
  <c r="M30" i="16"/>
  <c r="L30" i="16"/>
  <c r="K30" i="16"/>
  <c r="J30" i="16"/>
  <c r="I30" i="16"/>
  <c r="H30" i="16"/>
  <c r="G30" i="16"/>
  <c r="F30" i="16"/>
  <c r="E30" i="16"/>
  <c r="D30" i="16"/>
  <c r="C30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Q7" i="16"/>
  <c r="Q6" i="16"/>
  <c r="Q5" i="16"/>
  <c r="P7" i="16"/>
  <c r="P6" i="16"/>
  <c r="P5" i="16"/>
  <c r="R7" i="16"/>
  <c r="R6" i="16"/>
  <c r="R5" i="16"/>
  <c r="O7" i="16"/>
  <c r="O6" i="16"/>
  <c r="O5" i="16"/>
  <c r="Y16" i="8"/>
  <c r="W2" i="8"/>
  <c r="Y2" i="8" s="1"/>
  <c r="V15" i="8"/>
  <c r="V14" i="8"/>
  <c r="V13" i="8"/>
  <c r="V12" i="8"/>
  <c r="V11" i="8"/>
  <c r="V10" i="8"/>
  <c r="V9" i="8"/>
  <c r="V7" i="8"/>
  <c r="V5" i="8"/>
  <c r="V4" i="8"/>
  <c r="V3" i="8"/>
  <c r="V2" i="8"/>
  <c r="W15" i="8"/>
  <c r="Y15" i="8" s="1"/>
  <c r="W14" i="8"/>
  <c r="Y14" i="8" s="1"/>
  <c r="W13" i="8"/>
  <c r="Y13" i="8" s="1"/>
  <c r="W12" i="8"/>
  <c r="Y12" i="8" s="1"/>
  <c r="W11" i="8"/>
  <c r="Y11" i="8" s="1"/>
  <c r="W10" i="8"/>
  <c r="Y10" i="8" s="1"/>
  <c r="W9" i="8"/>
  <c r="Y9" i="8" s="1"/>
  <c r="W7" i="8"/>
  <c r="Y7" i="8" s="1"/>
  <c r="W5" i="8"/>
  <c r="Y5" i="8" s="1"/>
  <c r="W4" i="8"/>
  <c r="Y4" i="8" s="1"/>
  <c r="W3" i="8"/>
  <c r="Y3" i="8" s="1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6" i="8"/>
  <c r="Q65" i="8"/>
  <c r="Q64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5" i="8"/>
  <c r="Q24" i="8"/>
  <c r="Q23" i="8"/>
  <c r="Q22" i="8"/>
  <c r="Q21" i="8"/>
  <c r="Q19" i="8"/>
  <c r="Q20" i="8"/>
  <c r="Q18" i="8"/>
  <c r="C11" i="13"/>
  <c r="D11" i="13" s="1"/>
  <c r="E11" i="13" s="1"/>
  <c r="F11" i="13" s="1"/>
  <c r="G11" i="13" s="1"/>
  <c r="H11" i="13" s="1"/>
  <c r="I11" i="13" s="1"/>
  <c r="J11" i="13" s="1"/>
  <c r="K11" i="13" s="1"/>
  <c r="L11" i="13" s="1"/>
  <c r="M11" i="13" s="1"/>
  <c r="Q26" i="10" l="1"/>
  <c r="S26" i="10" s="1"/>
  <c r="T27" i="27"/>
  <c r="V27" i="27" s="1"/>
  <c r="X27" i="27" s="1"/>
  <c r="Z27" i="27" s="1"/>
  <c r="AB27" i="27" s="1"/>
  <c r="Q27" i="10"/>
  <c r="S27" i="10" s="1"/>
  <c r="U27" i="10" s="1"/>
  <c r="W27" i="10" s="1"/>
  <c r="Y27" i="10" s="1"/>
  <c r="O24" i="27"/>
  <c r="L24" i="10"/>
  <c r="K24" i="10"/>
  <c r="N24" i="27"/>
  <c r="L24" i="27"/>
  <c r="I24" i="10"/>
  <c r="I24" i="27"/>
  <c r="F24" i="10"/>
  <c r="M24" i="27"/>
  <c r="J24" i="10"/>
  <c r="N24" i="10"/>
  <c r="Q24" i="27"/>
  <c r="S24" i="27"/>
  <c r="P24" i="10"/>
  <c r="J24" i="27"/>
  <c r="G24" i="10"/>
  <c r="P24" i="27"/>
  <c r="M24" i="10"/>
  <c r="R24" i="27"/>
  <c r="O24" i="10"/>
  <c r="E24" i="10"/>
  <c r="H24" i="27"/>
  <c r="K24" i="27"/>
  <c r="H24" i="10"/>
  <c r="I25" i="27"/>
  <c r="F25" i="10"/>
  <c r="G25" i="10"/>
  <c r="J25" i="27"/>
  <c r="I25" i="10"/>
  <c r="L25" i="27"/>
  <c r="J25" i="10"/>
  <c r="M25" i="27"/>
  <c r="K25" i="10"/>
  <c r="N25" i="27"/>
  <c r="P25" i="27"/>
  <c r="M25" i="10"/>
  <c r="O25" i="10"/>
  <c r="R25" i="27"/>
  <c r="H25" i="27"/>
  <c r="E25" i="10"/>
  <c r="K25" i="27"/>
  <c r="H25" i="10"/>
  <c r="O25" i="27"/>
  <c r="L25" i="10"/>
  <c r="Q25" i="27"/>
  <c r="N25" i="10"/>
  <c r="S25" i="27"/>
  <c r="P25" i="10"/>
  <c r="E23" i="10"/>
  <c r="H23" i="27"/>
  <c r="T26" i="27"/>
  <c r="V26" i="27" s="1"/>
  <c r="X26" i="27" s="1"/>
  <c r="Z26" i="27" s="1"/>
  <c r="AB26" i="27" s="1"/>
  <c r="R28" i="27"/>
  <c r="R23" i="27"/>
  <c r="O28" i="10"/>
  <c r="O23" i="10"/>
  <c r="S23" i="27"/>
  <c r="P23" i="10"/>
  <c r="P28" i="10"/>
  <c r="S28" i="27"/>
  <c r="L23" i="27"/>
  <c r="L28" i="27"/>
  <c r="I28" i="10"/>
  <c r="I23" i="10"/>
  <c r="M28" i="27"/>
  <c r="M23" i="27"/>
  <c r="J23" i="10"/>
  <c r="J28" i="10"/>
  <c r="N23" i="27"/>
  <c r="K23" i="10"/>
  <c r="N28" i="27"/>
  <c r="K28" i="10"/>
  <c r="E28" i="10"/>
  <c r="H28" i="27"/>
  <c r="J23" i="27"/>
  <c r="G28" i="10"/>
  <c r="G23" i="10"/>
  <c r="J28" i="27"/>
  <c r="Q28" i="27"/>
  <c r="Q23" i="27"/>
  <c r="N28" i="10"/>
  <c r="N23" i="10"/>
  <c r="I23" i="27"/>
  <c r="F28" i="10"/>
  <c r="F23" i="10"/>
  <c r="I28" i="27"/>
  <c r="K28" i="27"/>
  <c r="K23" i="27"/>
  <c r="H28" i="10"/>
  <c r="H23" i="10"/>
  <c r="O28" i="27"/>
  <c r="O23" i="27"/>
  <c r="L28" i="10"/>
  <c r="L23" i="10"/>
  <c r="P23" i="27"/>
  <c r="M28" i="10"/>
  <c r="M23" i="10"/>
  <c r="P28" i="27"/>
  <c r="L11" i="10"/>
  <c r="O11" i="27"/>
  <c r="M19" i="13"/>
  <c r="S18" i="27"/>
  <c r="P18" i="10"/>
  <c r="C19" i="13"/>
  <c r="F18" i="10"/>
  <c r="I18" i="27"/>
  <c r="E19" i="13"/>
  <c r="K18" i="27"/>
  <c r="H18" i="10"/>
  <c r="H11" i="27"/>
  <c r="E11" i="10"/>
  <c r="F19" i="13"/>
  <c r="I18" i="10"/>
  <c r="L18" i="27"/>
  <c r="B19" i="13"/>
  <c r="H18" i="27"/>
  <c r="E18" i="10"/>
  <c r="I11" i="27"/>
  <c r="F11" i="10"/>
  <c r="G19" i="13"/>
  <c r="J18" i="10"/>
  <c r="M18" i="27"/>
  <c r="O11" i="10"/>
  <c r="R11" i="27"/>
  <c r="P11" i="10"/>
  <c r="S11" i="27"/>
  <c r="G11" i="10"/>
  <c r="J11" i="27"/>
  <c r="H19" i="13"/>
  <c r="K18" i="10"/>
  <c r="N18" i="27"/>
  <c r="H11" i="10"/>
  <c r="K11" i="27"/>
  <c r="I19" i="13"/>
  <c r="L18" i="10"/>
  <c r="O18" i="27"/>
  <c r="M11" i="10"/>
  <c r="P11" i="27"/>
  <c r="N11" i="10"/>
  <c r="Q11" i="27"/>
  <c r="D19" i="13"/>
  <c r="G18" i="10"/>
  <c r="J18" i="27"/>
  <c r="I11" i="10"/>
  <c r="L11" i="27"/>
  <c r="J19" i="13"/>
  <c r="M18" i="10"/>
  <c r="P18" i="27"/>
  <c r="J11" i="10"/>
  <c r="M11" i="27"/>
  <c r="K19" i="13"/>
  <c r="Q18" i="27"/>
  <c r="N18" i="10"/>
  <c r="C4" i="17"/>
  <c r="C4" i="25"/>
  <c r="K11" i="10"/>
  <c r="N11" i="27"/>
  <c r="L19" i="13"/>
  <c r="R18" i="27"/>
  <c r="O18" i="10"/>
  <c r="N2" i="17"/>
  <c r="N26" i="13"/>
  <c r="D15" i="13"/>
  <c r="E8" i="13"/>
  <c r="E16" i="13" s="1"/>
  <c r="E3" i="25" s="1"/>
  <c r="K23" i="13"/>
  <c r="M23" i="13"/>
  <c r="I23" i="13"/>
  <c r="J23" i="13"/>
  <c r="L23" i="13"/>
  <c r="C23" i="13"/>
  <c r="D23" i="13"/>
  <c r="E23" i="13"/>
  <c r="B23" i="13"/>
  <c r="F23" i="13"/>
  <c r="G23" i="13"/>
  <c r="H23" i="13"/>
  <c r="N27" i="13"/>
  <c r="D31" i="13"/>
  <c r="B31" i="13"/>
  <c r="C31" i="13"/>
  <c r="I31" i="13"/>
  <c r="L31" i="13"/>
  <c r="G31" i="13"/>
  <c r="H31" i="13"/>
  <c r="K31" i="13"/>
  <c r="M31" i="13"/>
  <c r="E31" i="13"/>
  <c r="F31" i="13"/>
  <c r="J31" i="13"/>
  <c r="J25" i="13"/>
  <c r="I25" i="13"/>
  <c r="E25" i="13"/>
  <c r="K25" i="13"/>
  <c r="B25" i="13"/>
  <c r="D25" i="13"/>
  <c r="F25" i="13"/>
  <c r="G25" i="13"/>
  <c r="C25" i="13"/>
  <c r="H25" i="13"/>
  <c r="B24" i="13"/>
  <c r="C24" i="13"/>
  <c r="E24" i="13"/>
  <c r="F24" i="13"/>
  <c r="H24" i="13"/>
  <c r="I24" i="13"/>
  <c r="J24" i="13"/>
  <c r="L24" i="13"/>
  <c r="D24" i="13"/>
  <c r="M24" i="13"/>
  <c r="G24" i="13"/>
  <c r="K24" i="13"/>
  <c r="C151" i="17"/>
  <c r="D151" i="17"/>
  <c r="M151" i="17"/>
  <c r="G151" i="17"/>
  <c r="I151" i="17"/>
  <c r="N140" i="17"/>
  <c r="H151" i="17"/>
  <c r="N44" i="17"/>
  <c r="N96" i="17"/>
  <c r="D28" i="18" s="1"/>
  <c r="F28" i="18" s="1"/>
  <c r="G28" i="18" s="1"/>
  <c r="N110" i="17"/>
  <c r="D30" i="18" s="1"/>
  <c r="F30" i="18" s="1"/>
  <c r="G30" i="18" s="1"/>
  <c r="I135" i="17"/>
  <c r="L135" i="17"/>
  <c r="K151" i="17"/>
  <c r="N143" i="17"/>
  <c r="L151" i="17"/>
  <c r="K135" i="17"/>
  <c r="N134" i="17"/>
  <c r="D35" i="18" s="1"/>
  <c r="F35" i="18" s="1"/>
  <c r="G35" i="18" s="1"/>
  <c r="J151" i="17"/>
  <c r="C135" i="17"/>
  <c r="F135" i="17"/>
  <c r="E151" i="17"/>
  <c r="G135" i="17"/>
  <c r="F151" i="17"/>
  <c r="N139" i="17"/>
  <c r="B151" i="17"/>
  <c r="N122" i="17"/>
  <c r="D29" i="18" s="1"/>
  <c r="F29" i="18" s="1"/>
  <c r="G29" i="18" s="1"/>
  <c r="N77" i="17"/>
  <c r="V17" i="8"/>
  <c r="Y17" i="8"/>
  <c r="W17" i="8"/>
  <c r="E31" i="10" l="1"/>
  <c r="H31" i="27"/>
  <c r="K31" i="10"/>
  <c r="N31" i="27"/>
  <c r="H31" i="10"/>
  <c r="K31" i="27"/>
  <c r="M31" i="10"/>
  <c r="P31" i="27"/>
  <c r="S31" i="27"/>
  <c r="P31" i="10"/>
  <c r="O31" i="10"/>
  <c r="R31" i="27"/>
  <c r="I31" i="10"/>
  <c r="L31" i="27"/>
  <c r="L31" i="10"/>
  <c r="O31" i="27"/>
  <c r="J31" i="10"/>
  <c r="M31" i="27"/>
  <c r="G31" i="10"/>
  <c r="J31" i="27"/>
  <c r="I31" i="27"/>
  <c r="F31" i="10"/>
  <c r="N31" i="10"/>
  <c r="Q31" i="27"/>
  <c r="Q24" i="10"/>
  <c r="S24" i="10" s="1"/>
  <c r="T24" i="27"/>
  <c r="V24" i="27" s="1"/>
  <c r="X24" i="27" s="1"/>
  <c r="Z24" i="27" s="1"/>
  <c r="AB24" i="27" s="1"/>
  <c r="Q25" i="10"/>
  <c r="S25" i="10" s="1"/>
  <c r="T25" i="27"/>
  <c r="V25" i="27" s="1"/>
  <c r="X25" i="27" s="1"/>
  <c r="Z25" i="27" s="1"/>
  <c r="AB25" i="27" s="1"/>
  <c r="D33" i="18"/>
  <c r="F33" i="18" s="1"/>
  <c r="G33" i="18" s="1"/>
  <c r="T23" i="27"/>
  <c r="V23" i="27" s="1"/>
  <c r="Q23" i="10"/>
  <c r="S23" i="10" s="1"/>
  <c r="T28" i="27"/>
  <c r="V28" i="27" s="1"/>
  <c r="X28" i="27" s="1"/>
  <c r="Z28" i="27" s="1"/>
  <c r="AB28" i="27" s="1"/>
  <c r="Q28" i="10"/>
  <c r="S28" i="10" s="1"/>
  <c r="D4" i="17"/>
  <c r="D4" i="25"/>
  <c r="T11" i="27"/>
  <c r="V11" i="27" s="1"/>
  <c r="Q11" i="10"/>
  <c r="Q18" i="10"/>
  <c r="R18" i="10" s="1"/>
  <c r="T18" i="27"/>
  <c r="F14" i="10"/>
  <c r="I14" i="27"/>
  <c r="N23" i="13"/>
  <c r="E15" i="13"/>
  <c r="F8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N25" i="13"/>
  <c r="N24" i="13"/>
  <c r="N31" i="13"/>
  <c r="N135" i="17"/>
  <c r="N29" i="13"/>
  <c r="N151" i="17"/>
  <c r="D37" i="18" s="1"/>
  <c r="F37" i="18" s="1"/>
  <c r="G37" i="18" s="1"/>
  <c r="T31" i="27" l="1"/>
  <c r="V31" i="27" s="1"/>
  <c r="X31" i="27" s="1"/>
  <c r="Z31" i="27" s="1"/>
  <c r="AB31" i="27" s="1"/>
  <c r="Q31" i="10"/>
  <c r="S31" i="10" s="1"/>
  <c r="X23" i="27"/>
  <c r="V32" i="27"/>
  <c r="E4" i="17"/>
  <c r="E4" i="25"/>
  <c r="V12" i="27"/>
  <c r="V13" i="27"/>
  <c r="V17" i="27" s="1"/>
  <c r="X11" i="27"/>
  <c r="J14" i="27"/>
  <c r="G14" i="10"/>
  <c r="U18" i="27"/>
  <c r="V18" i="27"/>
  <c r="G8" i="13"/>
  <c r="F16" i="13"/>
  <c r="F3" i="25" s="1"/>
  <c r="N35" i="13"/>
  <c r="P126" i="8"/>
  <c r="X3" i="8"/>
  <c r="P138" i="8"/>
  <c r="P133" i="8"/>
  <c r="P167" i="8"/>
  <c r="XEV27" i="13"/>
  <c r="XEV32" i="13"/>
  <c r="M25" i="12"/>
  <c r="G25" i="12"/>
  <c r="J24" i="12"/>
  <c r="G24" i="12"/>
  <c r="M23" i="12"/>
  <c r="G23" i="12"/>
  <c r="P22" i="12"/>
  <c r="M22" i="12"/>
  <c r="G22" i="12"/>
  <c r="P21" i="12"/>
  <c r="J21" i="12"/>
  <c r="G21" i="12"/>
  <c r="S20" i="12"/>
  <c r="P20" i="12"/>
  <c r="M20" i="12"/>
  <c r="J20" i="12"/>
  <c r="G20" i="12"/>
  <c r="M12" i="12"/>
  <c r="G12" i="12"/>
  <c r="J11" i="12"/>
  <c r="G11" i="12"/>
  <c r="M10" i="12"/>
  <c r="G10" i="12"/>
  <c r="P9" i="12"/>
  <c r="M9" i="12"/>
  <c r="G9" i="12"/>
  <c r="P8" i="12"/>
  <c r="J8" i="12"/>
  <c r="G8" i="12"/>
  <c r="S7" i="12"/>
  <c r="P7" i="12"/>
  <c r="M7" i="12"/>
  <c r="J7" i="12"/>
  <c r="G7" i="12"/>
  <c r="G33" i="11"/>
  <c r="H33" i="11" s="1"/>
  <c r="I33" i="11" s="1"/>
  <c r="F33" i="11"/>
  <c r="E33" i="11"/>
  <c r="D33" i="11"/>
  <c r="C33" i="11"/>
  <c r="H32" i="11"/>
  <c r="I32" i="11" s="1"/>
  <c r="F32" i="11"/>
  <c r="E32" i="11"/>
  <c r="D32" i="11"/>
  <c r="C32" i="11"/>
  <c r="H31" i="11"/>
  <c r="I31" i="11" s="1"/>
  <c r="F31" i="11"/>
  <c r="E31" i="11"/>
  <c r="D31" i="11"/>
  <c r="C31" i="11"/>
  <c r="F30" i="11"/>
  <c r="E30" i="11"/>
  <c r="D30" i="11"/>
  <c r="C30" i="11"/>
  <c r="F29" i="11"/>
  <c r="E29" i="11"/>
  <c r="D29" i="11"/>
  <c r="C29" i="11"/>
  <c r="Q24" i="11"/>
  <c r="P24" i="11"/>
  <c r="N24" i="11"/>
  <c r="M24" i="11"/>
  <c r="K24" i="11"/>
  <c r="J24" i="11"/>
  <c r="H24" i="11"/>
  <c r="G24" i="11"/>
  <c r="E24" i="11"/>
  <c r="C24" i="11"/>
  <c r="Q23" i="11"/>
  <c r="P23" i="11"/>
  <c r="N23" i="11"/>
  <c r="M23" i="11"/>
  <c r="K23" i="11"/>
  <c r="J23" i="11"/>
  <c r="H23" i="11"/>
  <c r="G23" i="11"/>
  <c r="E23" i="11"/>
  <c r="C23" i="11"/>
  <c r="R22" i="11"/>
  <c r="P22" i="11"/>
  <c r="N22" i="11"/>
  <c r="M22" i="11"/>
  <c r="K22" i="11"/>
  <c r="J22" i="11"/>
  <c r="H22" i="11"/>
  <c r="G22" i="11"/>
  <c r="E22" i="11"/>
  <c r="C22" i="11"/>
  <c r="R21" i="11"/>
  <c r="P21" i="11"/>
  <c r="N21" i="11"/>
  <c r="M21" i="11"/>
  <c r="K21" i="11"/>
  <c r="J21" i="11"/>
  <c r="H21" i="11"/>
  <c r="G21" i="11"/>
  <c r="E21" i="11"/>
  <c r="C21" i="11"/>
  <c r="R20" i="11"/>
  <c r="P20" i="11"/>
  <c r="N20" i="11"/>
  <c r="M20" i="11"/>
  <c r="K20" i="11"/>
  <c r="J20" i="11"/>
  <c r="H20" i="11"/>
  <c r="G20" i="11"/>
  <c r="E20" i="11"/>
  <c r="C20" i="11"/>
  <c r="B12" i="11"/>
  <c r="P11" i="11"/>
  <c r="N11" i="11"/>
  <c r="L11" i="11"/>
  <c r="K11" i="11"/>
  <c r="I11" i="11"/>
  <c r="H11" i="11"/>
  <c r="F11" i="11"/>
  <c r="E11" i="11"/>
  <c r="P10" i="11"/>
  <c r="N10" i="11"/>
  <c r="L10" i="11"/>
  <c r="K10" i="11"/>
  <c r="I10" i="11"/>
  <c r="H10" i="11"/>
  <c r="F10" i="11"/>
  <c r="E10" i="11"/>
  <c r="P9" i="11"/>
  <c r="N9" i="11"/>
  <c r="L9" i="11"/>
  <c r="K9" i="11"/>
  <c r="I9" i="11"/>
  <c r="H9" i="11"/>
  <c r="F9" i="11"/>
  <c r="E9" i="11"/>
  <c r="P8" i="11"/>
  <c r="N8" i="11"/>
  <c r="L8" i="11"/>
  <c r="K8" i="11"/>
  <c r="I8" i="11"/>
  <c r="H8" i="11"/>
  <c r="F8" i="11"/>
  <c r="E8" i="11"/>
  <c r="P7" i="11"/>
  <c r="N7" i="11"/>
  <c r="L7" i="11"/>
  <c r="K7" i="11"/>
  <c r="I7" i="11"/>
  <c r="H7" i="11"/>
  <c r="F7" i="11"/>
  <c r="E7" i="11"/>
  <c r="B49" i="10"/>
  <c r="S32" i="10"/>
  <c r="U30" i="10"/>
  <c r="W30" i="10" s="1"/>
  <c r="Y30" i="10" s="1"/>
  <c r="U29" i="10"/>
  <c r="W29" i="10" s="1"/>
  <c r="Y29" i="10" s="1"/>
  <c r="U28" i="10"/>
  <c r="W28" i="10" s="1"/>
  <c r="Y28" i="10" s="1"/>
  <c r="U26" i="10"/>
  <c r="W26" i="10" s="1"/>
  <c r="Y26" i="10" s="1"/>
  <c r="U25" i="10"/>
  <c r="W25" i="10" s="1"/>
  <c r="Y25" i="10" s="1"/>
  <c r="U24" i="10"/>
  <c r="W24" i="10" s="1"/>
  <c r="Y24" i="10" s="1"/>
  <c r="U23" i="10"/>
  <c r="W23" i="10" s="1"/>
  <c r="Y23" i="10" s="1"/>
  <c r="AO19" i="10"/>
  <c r="AO17" i="10" s="1"/>
  <c r="AO21" i="10" s="1"/>
  <c r="AO23" i="10" s="1"/>
  <c r="AQ18" i="10"/>
  <c r="AQ17" i="10" s="1"/>
  <c r="AQ21" i="10" s="1"/>
  <c r="AQ23" i="10" s="1"/>
  <c r="AP18" i="10"/>
  <c r="AP17" i="10" s="1"/>
  <c r="AP21" i="10" s="1"/>
  <c r="AP23" i="10" s="1"/>
  <c r="AW17" i="10"/>
  <c r="AV17" i="10"/>
  <c r="AU17" i="10"/>
  <c r="AT17" i="10"/>
  <c r="AS17" i="10"/>
  <c r="AR17" i="10"/>
  <c r="AR15" i="10"/>
  <c r="AS15" i="10" s="1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4" i="8"/>
  <c r="P23" i="8"/>
  <c r="P22" i="8"/>
  <c r="P21" i="8"/>
  <c r="P20" i="8"/>
  <c r="P19" i="8"/>
  <c r="P18" i="8"/>
  <c r="X15" i="8"/>
  <c r="X14" i="8"/>
  <c r="X13" i="8"/>
  <c r="X12" i="8"/>
  <c r="X11" i="8"/>
  <c r="X10" i="8"/>
  <c r="X9" i="8"/>
  <c r="X7" i="8"/>
  <c r="X5" i="8"/>
  <c r="X4" i="8"/>
  <c r="X2" i="8"/>
  <c r="C34" i="6"/>
  <c r="D32" i="6"/>
  <c r="D25" i="6"/>
  <c r="D23" i="6"/>
  <c r="D21" i="6"/>
  <c r="D14" i="6"/>
  <c r="D13" i="6"/>
  <c r="D12" i="6"/>
  <c r="D11" i="6"/>
  <c r="D10" i="6"/>
  <c r="D9" i="6"/>
  <c r="C8" i="6"/>
  <c r="C15" i="6" s="1"/>
  <c r="E7" i="6"/>
  <c r="E21" i="6" s="1"/>
  <c r="J111" i="2"/>
  <c r="J113" i="2" s="1"/>
  <c r="K113" i="2" s="1"/>
  <c r="L113" i="2" s="1"/>
  <c r="M113" i="2" s="1"/>
  <c r="N113" i="2" s="1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8" i="2"/>
  <c r="K76" i="2"/>
  <c r="K77" i="2" s="1"/>
  <c r="J76" i="2"/>
  <c r="I76" i="2"/>
  <c r="U75" i="2"/>
  <c r="U74" i="2"/>
  <c r="U73" i="2"/>
  <c r="U72" i="2"/>
  <c r="U71" i="2"/>
  <c r="U70" i="2"/>
  <c r="U69" i="2"/>
  <c r="U68" i="2"/>
  <c r="U67" i="2"/>
  <c r="U66" i="2"/>
  <c r="U65" i="2"/>
  <c r="U64" i="2"/>
  <c r="T63" i="2"/>
  <c r="S63" i="2"/>
  <c r="R63" i="2"/>
  <c r="Q63" i="2"/>
  <c r="P63" i="2"/>
  <c r="O63" i="2"/>
  <c r="U63" i="2" s="1"/>
  <c r="N63" i="2"/>
  <c r="M63" i="2"/>
  <c r="L63" i="2"/>
  <c r="K63" i="2"/>
  <c r="J63" i="2"/>
  <c r="I63" i="2"/>
  <c r="I77" i="2" s="1"/>
  <c r="I79" i="2" s="1"/>
  <c r="I109" i="2" s="1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T41" i="2"/>
  <c r="S41" i="2"/>
  <c r="R41" i="2"/>
  <c r="Q41" i="2"/>
  <c r="P41" i="2"/>
  <c r="O41" i="2"/>
  <c r="N41" i="2"/>
  <c r="U41" i="2" s="1"/>
  <c r="M41" i="2"/>
  <c r="L41" i="2"/>
  <c r="K41" i="2"/>
  <c r="J41" i="2"/>
  <c r="I41" i="2"/>
  <c r="U40" i="2"/>
  <c r="U39" i="2"/>
  <c r="U38" i="2"/>
  <c r="U37" i="2"/>
  <c r="U36" i="2"/>
  <c r="U35" i="2"/>
  <c r="U34" i="2"/>
  <c r="U33" i="2"/>
  <c r="U32" i="2"/>
  <c r="U31" i="2"/>
  <c r="U30" i="2"/>
  <c r="U29" i="2"/>
  <c r="T28" i="2"/>
  <c r="S28" i="2"/>
  <c r="R28" i="2"/>
  <c r="Q28" i="2"/>
  <c r="P28" i="2"/>
  <c r="O28" i="2"/>
  <c r="N28" i="2"/>
  <c r="M28" i="2"/>
  <c r="L28" i="2"/>
  <c r="K28" i="2"/>
  <c r="J28" i="2"/>
  <c r="U28" i="2" s="1"/>
  <c r="I28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R11" i="2"/>
  <c r="M11" i="2"/>
  <c r="T10" i="2"/>
  <c r="S10" i="2"/>
  <c r="R10" i="2"/>
  <c r="Q10" i="2"/>
  <c r="P10" i="2"/>
  <c r="O10" i="2"/>
  <c r="N10" i="2"/>
  <c r="M10" i="2"/>
  <c r="L10" i="2"/>
  <c r="K10" i="2"/>
  <c r="J10" i="2"/>
  <c r="I10" i="2"/>
  <c r="T9" i="2"/>
  <c r="S9" i="2"/>
  <c r="R9" i="2"/>
  <c r="Q9" i="2"/>
  <c r="P9" i="2"/>
  <c r="O9" i="2"/>
  <c r="N9" i="2"/>
  <c r="M9" i="2"/>
  <c r="L9" i="2"/>
  <c r="K9" i="2"/>
  <c r="J9" i="2"/>
  <c r="I9" i="2"/>
  <c r="T8" i="2"/>
  <c r="S8" i="2"/>
  <c r="S11" i="2" s="1"/>
  <c r="R8" i="2"/>
  <c r="Q8" i="2"/>
  <c r="P8" i="2"/>
  <c r="O8" i="2"/>
  <c r="N8" i="2"/>
  <c r="N11" i="2" s="1"/>
  <c r="M8" i="2"/>
  <c r="L8" i="2"/>
  <c r="K8" i="2"/>
  <c r="K11" i="2" s="1"/>
  <c r="J8" i="2"/>
  <c r="I8" i="2"/>
  <c r="T4" i="2"/>
  <c r="T11" i="2" s="1"/>
  <c r="S4" i="2"/>
  <c r="R4" i="2"/>
  <c r="Q4" i="2"/>
  <c r="Q11" i="2" s="1"/>
  <c r="P4" i="2"/>
  <c r="P11" i="2" s="1"/>
  <c r="O4" i="2"/>
  <c r="O11" i="2" s="1"/>
  <c r="N4" i="2"/>
  <c r="M4" i="2"/>
  <c r="L4" i="2"/>
  <c r="L11" i="2" s="1"/>
  <c r="K4" i="2"/>
  <c r="J4" i="2"/>
  <c r="I4" i="2"/>
  <c r="Z23" i="27" l="1"/>
  <c r="X32" i="27"/>
  <c r="W18" i="27"/>
  <c r="X18" i="27"/>
  <c r="W24" i="27"/>
  <c r="V19" i="27"/>
  <c r="W25" i="27"/>
  <c r="W29" i="27"/>
  <c r="W31" i="27"/>
  <c r="V10" i="27"/>
  <c r="W30" i="27"/>
  <c r="W26" i="27"/>
  <c r="W17" i="27"/>
  <c r="W23" i="27"/>
  <c r="W27" i="27"/>
  <c r="W28" i="27"/>
  <c r="Z11" i="27"/>
  <c r="X13" i="27"/>
  <c r="X12" i="27"/>
  <c r="X17" i="27" s="1"/>
  <c r="K14" i="27"/>
  <c r="H14" i="10"/>
  <c r="H8" i="13"/>
  <c r="G16" i="13"/>
  <c r="G3" i="25" s="1"/>
  <c r="G29" i="11"/>
  <c r="H29" i="11" s="1"/>
  <c r="I29" i="11" s="1"/>
  <c r="S20" i="11"/>
  <c r="W20" i="11" s="1"/>
  <c r="R25" i="11"/>
  <c r="Q22" i="11"/>
  <c r="S22" i="11"/>
  <c r="Q21" i="11"/>
  <c r="S21" i="11"/>
  <c r="Q20" i="11"/>
  <c r="AS21" i="10"/>
  <c r="AS23" i="10" s="1"/>
  <c r="AI30" i="10"/>
  <c r="AR21" i="10"/>
  <c r="AR23" i="10" s="1"/>
  <c r="S18" i="10"/>
  <c r="P25" i="8"/>
  <c r="I12" i="11"/>
  <c r="K12" i="11"/>
  <c r="J12" i="11" s="1"/>
  <c r="G30" i="11"/>
  <c r="H30" i="11" s="1"/>
  <c r="I30" i="11" s="1"/>
  <c r="L12" i="11"/>
  <c r="N12" i="11"/>
  <c r="M12" i="11" s="1"/>
  <c r="P12" i="11"/>
  <c r="O12" i="11" s="1"/>
  <c r="E12" i="11"/>
  <c r="F12" i="11"/>
  <c r="H12" i="11"/>
  <c r="G12" i="11" s="1"/>
  <c r="E15" i="6"/>
  <c r="D15" i="6"/>
  <c r="U11" i="2"/>
  <c r="K79" i="2"/>
  <c r="K109" i="2" s="1"/>
  <c r="J77" i="2"/>
  <c r="U31" i="10"/>
  <c r="W31" i="10" s="1"/>
  <c r="Y31" i="10" s="1"/>
  <c r="E34" i="6"/>
  <c r="L76" i="2"/>
  <c r="E14" i="6"/>
  <c r="X17" i="8"/>
  <c r="C16" i="6"/>
  <c r="D8" i="6"/>
  <c r="E8" i="6"/>
  <c r="E12" i="6"/>
  <c r="E11" i="6"/>
  <c r="E32" i="6"/>
  <c r="E10" i="6"/>
  <c r="E9" i="6"/>
  <c r="E25" i="6"/>
  <c r="E13" i="6"/>
  <c r="E23" i="6"/>
  <c r="U4" i="2"/>
  <c r="AT15" i="10"/>
  <c r="AB23" i="27" l="1"/>
  <c r="AB32" i="27" s="1"/>
  <c r="Z32" i="27"/>
  <c r="AB11" i="27"/>
  <c r="Z13" i="27"/>
  <c r="Z12" i="27"/>
  <c r="Z17" i="27" s="1"/>
  <c r="Y24" i="27"/>
  <c r="Y28" i="27"/>
  <c r="Y25" i="27"/>
  <c r="Y17" i="27"/>
  <c r="Y23" i="27"/>
  <c r="Y26" i="27"/>
  <c r="X10" i="27"/>
  <c r="Y31" i="27"/>
  <c r="Y29" i="27"/>
  <c r="Y27" i="27"/>
  <c r="Y30" i="27"/>
  <c r="Y32" i="27"/>
  <c r="V43" i="27"/>
  <c r="V22" i="27"/>
  <c r="V34" i="27"/>
  <c r="W34" i="27" s="1"/>
  <c r="W32" i="27"/>
  <c r="X19" i="27"/>
  <c r="Y18" i="27"/>
  <c r="Z18" i="27"/>
  <c r="Y32" i="10"/>
  <c r="W32" i="10"/>
  <c r="U18" i="10"/>
  <c r="W18" i="10" s="1"/>
  <c r="Y18" i="10" s="1"/>
  <c r="U32" i="10"/>
  <c r="I8" i="13"/>
  <c r="H16" i="13"/>
  <c r="H3" i="25" s="1"/>
  <c r="T21" i="11"/>
  <c r="W21" i="11"/>
  <c r="T22" i="11"/>
  <c r="W22" i="11"/>
  <c r="S25" i="11"/>
  <c r="T20" i="11"/>
  <c r="K13" i="11"/>
  <c r="N13" i="11"/>
  <c r="H13" i="11"/>
  <c r="P13" i="11"/>
  <c r="S11" i="10"/>
  <c r="T18" i="10" s="1"/>
  <c r="L77" i="2"/>
  <c r="L79" i="2" s="1"/>
  <c r="L109" i="2" s="1"/>
  <c r="M76" i="2"/>
  <c r="AT21" i="10"/>
  <c r="AT23" i="10" s="1"/>
  <c r="AU15" i="10"/>
  <c r="J79" i="2"/>
  <c r="G16" i="6"/>
  <c r="E16" i="6"/>
  <c r="C28" i="6"/>
  <c r="D16" i="6"/>
  <c r="X22" i="27" l="1"/>
  <c r="W22" i="27"/>
  <c r="AA18" i="27"/>
  <c r="AB18" i="27"/>
  <c r="AC18" i="27" s="1"/>
  <c r="X43" i="27"/>
  <c r="X34" i="27"/>
  <c r="Y34" i="27" s="1"/>
  <c r="Z10" i="27"/>
  <c r="AA24" i="27"/>
  <c r="AA25" i="27"/>
  <c r="AA26" i="27"/>
  <c r="AA28" i="27"/>
  <c r="Z19" i="27"/>
  <c r="AA31" i="27"/>
  <c r="AA23" i="27"/>
  <c r="AA27" i="27"/>
  <c r="AA17" i="27"/>
  <c r="AA30" i="27"/>
  <c r="AA29" i="27"/>
  <c r="AA32" i="27"/>
  <c r="AB13" i="27"/>
  <c r="AB12" i="27"/>
  <c r="AB17" i="27"/>
  <c r="J8" i="13"/>
  <c r="I16" i="13"/>
  <c r="I3" i="25" s="1"/>
  <c r="T25" i="11"/>
  <c r="U11" i="10"/>
  <c r="S12" i="10"/>
  <c r="S13" i="10"/>
  <c r="C30" i="6"/>
  <c r="E28" i="6"/>
  <c r="D28" i="6"/>
  <c r="N76" i="2"/>
  <c r="M77" i="2"/>
  <c r="AU21" i="10"/>
  <c r="AU23" i="10" s="1"/>
  <c r="AV15" i="10"/>
  <c r="J109" i="2"/>
  <c r="Z43" i="27" l="1"/>
  <c r="Z34" i="27"/>
  <c r="AC26" i="27"/>
  <c r="AB19" i="27"/>
  <c r="AC17" i="27"/>
  <c r="AC27" i="27"/>
  <c r="AB10" i="27"/>
  <c r="AC28" i="27"/>
  <c r="AC30" i="27"/>
  <c r="AC23" i="27"/>
  <c r="AC29" i="27"/>
  <c r="AC24" i="27"/>
  <c r="AC32" i="27"/>
  <c r="AC25" i="27"/>
  <c r="AC31" i="27"/>
  <c r="Y22" i="27"/>
  <c r="Z22" i="27"/>
  <c r="V18" i="10"/>
  <c r="W11" i="10"/>
  <c r="Y11" i="10" s="1"/>
  <c r="S17" i="10"/>
  <c r="U13" i="10"/>
  <c r="U12" i="10"/>
  <c r="K8" i="13"/>
  <c r="J16" i="13"/>
  <c r="J3" i="25" s="1"/>
  <c r="T17" i="10"/>
  <c r="M79" i="2"/>
  <c r="N77" i="2"/>
  <c r="N79" i="2" s="1"/>
  <c r="N109" i="2" s="1"/>
  <c r="O76" i="2"/>
  <c r="E30" i="6"/>
  <c r="D30" i="6"/>
  <c r="AV21" i="10"/>
  <c r="AV23" i="10" s="1"/>
  <c r="AW15" i="10"/>
  <c r="AW21" i="10" s="1"/>
  <c r="AW23" i="10" s="1"/>
  <c r="AB34" i="27" l="1"/>
  <c r="AC34" i="27" s="1"/>
  <c r="AB43" i="27"/>
  <c r="AB22" i="27"/>
  <c r="AC22" i="27" s="1"/>
  <c r="AA22" i="27"/>
  <c r="AF7" i="27"/>
  <c r="AF12" i="27" s="1"/>
  <c r="AA34" i="27"/>
  <c r="S10" i="10"/>
  <c r="T27" i="10"/>
  <c r="Y13" i="10"/>
  <c r="Y12" i="10"/>
  <c r="Z18" i="10"/>
  <c r="W13" i="10"/>
  <c r="W12" i="10"/>
  <c r="W17" i="10" s="1"/>
  <c r="X27" i="10" s="1"/>
  <c r="X18" i="10"/>
  <c r="L8" i="13"/>
  <c r="K16" i="13"/>
  <c r="K3" i="25" s="1"/>
  <c r="T31" i="10"/>
  <c r="T30" i="10"/>
  <c r="T28" i="10"/>
  <c r="T25" i="10"/>
  <c r="T23" i="10"/>
  <c r="T24" i="10"/>
  <c r="S19" i="10"/>
  <c r="T29" i="10"/>
  <c r="T26" i="10"/>
  <c r="U17" i="10"/>
  <c r="V27" i="10" s="1"/>
  <c r="P76" i="2"/>
  <c r="O77" i="2"/>
  <c r="O79" i="2" s="1"/>
  <c r="O109" i="2" s="1"/>
  <c r="M109" i="2"/>
  <c r="Y17" i="10" l="1"/>
  <c r="AG12" i="27"/>
  <c r="AF21" i="27"/>
  <c r="AF16" i="27"/>
  <c r="AG16" i="27" s="1"/>
  <c r="Y19" i="10"/>
  <c r="Z17" i="10"/>
  <c r="Y10" i="10"/>
  <c r="Z27" i="10"/>
  <c r="Z30" i="10"/>
  <c r="Z29" i="10"/>
  <c r="Z23" i="10"/>
  <c r="Z24" i="10"/>
  <c r="Z25" i="10"/>
  <c r="Z28" i="10"/>
  <c r="Z26" i="10"/>
  <c r="Z31" i="10"/>
  <c r="Z32" i="10"/>
  <c r="W19" i="10"/>
  <c r="X17" i="10"/>
  <c r="W10" i="10"/>
  <c r="X23" i="10"/>
  <c r="X26" i="10"/>
  <c r="X29" i="10"/>
  <c r="X24" i="10"/>
  <c r="X25" i="10"/>
  <c r="X30" i="10"/>
  <c r="X28" i="10"/>
  <c r="X31" i="10"/>
  <c r="X32" i="10"/>
  <c r="U10" i="10"/>
  <c r="V17" i="10"/>
  <c r="V23" i="10"/>
  <c r="V24" i="10"/>
  <c r="V28" i="10"/>
  <c r="V25" i="10"/>
  <c r="V30" i="10"/>
  <c r="V26" i="10"/>
  <c r="V29" i="10"/>
  <c r="V31" i="10"/>
  <c r="V32" i="10"/>
  <c r="S43" i="10"/>
  <c r="S22" i="10"/>
  <c r="M8" i="13"/>
  <c r="M16" i="13" s="1"/>
  <c r="M3" i="25" s="1"/>
  <c r="N3" i="25" s="1"/>
  <c r="L16" i="13"/>
  <c r="L3" i="25" s="1"/>
  <c r="U19" i="10"/>
  <c r="T32" i="10"/>
  <c r="S34" i="10"/>
  <c r="Q76" i="2"/>
  <c r="P77" i="2"/>
  <c r="P79" i="2" s="1"/>
  <c r="P109" i="2" s="1"/>
  <c r="Y43" i="10" l="1"/>
  <c r="Y34" i="10"/>
  <c r="W43" i="10"/>
  <c r="W34" i="10"/>
  <c r="AC7" i="10" s="1"/>
  <c r="T34" i="10"/>
  <c r="U22" i="10"/>
  <c r="T22" i="10"/>
  <c r="U43" i="10"/>
  <c r="U34" i="10"/>
  <c r="Q77" i="2"/>
  <c r="Q79" i="2" s="1"/>
  <c r="Q109" i="2" s="1"/>
  <c r="R76" i="2"/>
  <c r="Z34" i="10" l="1"/>
  <c r="X34" i="10"/>
  <c r="V22" i="10"/>
  <c r="W22" i="10"/>
  <c r="V34" i="10"/>
  <c r="AC12" i="10"/>
  <c r="AD12" i="10" s="1"/>
  <c r="S76" i="2"/>
  <c r="R77" i="2"/>
  <c r="R79" i="2" s="1"/>
  <c r="U76" i="2"/>
  <c r="X22" i="10" l="1"/>
  <c r="Y22" i="10"/>
  <c r="Z22" i="10" s="1"/>
  <c r="R109" i="2"/>
  <c r="T76" i="2"/>
  <c r="T77" i="2" s="1"/>
  <c r="T79" i="2" s="1"/>
  <c r="T109" i="2" s="1"/>
  <c r="S77" i="2"/>
  <c r="AC21" i="10"/>
  <c r="AC16" i="10"/>
  <c r="AD16" i="10" s="1"/>
  <c r="N12" i="13" l="1"/>
  <c r="S79" i="2"/>
  <c r="U77" i="2"/>
  <c r="S109" i="2" l="1"/>
  <c r="U109" i="2" s="1"/>
  <c r="U79" i="2"/>
  <c r="AE34" i="10" l="1"/>
  <c r="AE33" i="10" l="1"/>
  <c r="AE37" i="10" l="1"/>
  <c r="N32" i="13" l="1"/>
  <c r="N30" i="13"/>
  <c r="C8" i="17"/>
  <c r="B13" i="13"/>
  <c r="B7" i="25" s="1"/>
  <c r="B9" i="25" s="1"/>
  <c r="B45" i="25" s="1"/>
  <c r="F16" i="10" l="1"/>
  <c r="I16" i="27"/>
  <c r="B50" i="25"/>
  <c r="B51" i="25" s="1"/>
  <c r="B152" i="25" s="1"/>
  <c r="B154" i="25" s="1"/>
  <c r="B194" i="25"/>
  <c r="B18" i="13"/>
  <c r="B20" i="13" s="1"/>
  <c r="D13" i="13"/>
  <c r="D7" i="25" s="1"/>
  <c r="D17" i="13"/>
  <c r="B7" i="17"/>
  <c r="E17" i="13"/>
  <c r="C13" i="13"/>
  <c r="C7" i="25" s="1"/>
  <c r="C9" i="25" s="1"/>
  <c r="C45" i="25" s="1"/>
  <c r="C50" i="25" l="1"/>
  <c r="C51" i="25" s="1"/>
  <c r="C152" i="25" s="1"/>
  <c r="C154" i="25" s="1"/>
  <c r="C194" i="25"/>
  <c r="C165" i="25"/>
  <c r="C166" i="25" s="1"/>
  <c r="C190" i="25" s="1"/>
  <c r="H12" i="27"/>
  <c r="E12" i="10"/>
  <c r="E8" i="17"/>
  <c r="E8" i="25"/>
  <c r="D8" i="17"/>
  <c r="D8" i="25"/>
  <c r="D9" i="25" s="1"/>
  <c r="D45" i="25" s="1"/>
  <c r="D7" i="17"/>
  <c r="D18" i="13"/>
  <c r="D20" i="13" s="1"/>
  <c r="E13" i="13"/>
  <c r="E7" i="25" s="1"/>
  <c r="E9" i="25" s="1"/>
  <c r="E45" i="25" s="1"/>
  <c r="C7" i="17"/>
  <c r="B8" i="17"/>
  <c r="C192" i="25" l="1"/>
  <c r="D194" i="25"/>
  <c r="D165" i="25"/>
  <c r="D166" i="25" s="1"/>
  <c r="D190" i="25" s="1"/>
  <c r="D50" i="25"/>
  <c r="D51" i="25" s="1"/>
  <c r="D152" i="25" s="1"/>
  <c r="D154" i="25" s="1"/>
  <c r="D192" i="25" s="1"/>
  <c r="E194" i="25"/>
  <c r="E50" i="25"/>
  <c r="E51" i="25" s="1"/>
  <c r="E152" i="25" s="1"/>
  <c r="E154" i="25" s="1"/>
  <c r="E165" i="25"/>
  <c r="E166" i="25" s="1"/>
  <c r="E190" i="25" s="1"/>
  <c r="J12" i="27"/>
  <c r="G12" i="10"/>
  <c r="G16" i="10"/>
  <c r="J16" i="27"/>
  <c r="H16" i="10"/>
  <c r="K16" i="27"/>
  <c r="C195" i="25"/>
  <c r="C197" i="25" s="1"/>
  <c r="H16" i="27"/>
  <c r="E16" i="10"/>
  <c r="I12" i="27"/>
  <c r="F12" i="10"/>
  <c r="E7" i="17"/>
  <c r="E18" i="13"/>
  <c r="E20" i="13" s="1"/>
  <c r="F15" i="13"/>
  <c r="D3" i="17"/>
  <c r="E3" i="17"/>
  <c r="F17" i="13"/>
  <c r="F13" i="13"/>
  <c r="F7" i="25" s="1"/>
  <c r="E192" i="25" l="1"/>
  <c r="D9" i="17"/>
  <c r="D45" i="17" s="1"/>
  <c r="D165" i="17" s="1"/>
  <c r="D166" i="17" s="1"/>
  <c r="D190" i="17" s="1"/>
  <c r="G15" i="10"/>
  <c r="J15" i="27"/>
  <c r="J17" i="27" s="1"/>
  <c r="J19" i="27" s="1"/>
  <c r="K12" i="27"/>
  <c r="H12" i="10"/>
  <c r="E9" i="17"/>
  <c r="E45" i="17" s="1"/>
  <c r="E194" i="17" s="1"/>
  <c r="H15" i="10"/>
  <c r="K15" i="27"/>
  <c r="F4" i="17"/>
  <c r="F4" i="25"/>
  <c r="G17" i="10"/>
  <c r="G19" i="10" s="1"/>
  <c r="E195" i="25"/>
  <c r="E197" i="25" s="1"/>
  <c r="D195" i="25"/>
  <c r="D197" i="25" s="1"/>
  <c r="F8" i="17"/>
  <c r="F8" i="25"/>
  <c r="F18" i="13"/>
  <c r="F20" i="13" s="1"/>
  <c r="G15" i="13"/>
  <c r="F7" i="17"/>
  <c r="F3" i="17"/>
  <c r="G17" i="13"/>
  <c r="G13" i="13"/>
  <c r="H17" i="10" l="1"/>
  <c r="H19" i="10" s="1"/>
  <c r="E165" i="17"/>
  <c r="E166" i="17" s="1"/>
  <c r="E190" i="17" s="1"/>
  <c r="E50" i="17"/>
  <c r="E51" i="17" s="1"/>
  <c r="E36" i="13" s="1"/>
  <c r="E37" i="13" s="1"/>
  <c r="D194" i="17"/>
  <c r="D50" i="17"/>
  <c r="D51" i="17" s="1"/>
  <c r="G22" i="10" s="1"/>
  <c r="G32" i="10" s="1"/>
  <c r="G34" i="10" s="1"/>
  <c r="G43" i="10"/>
  <c r="J43" i="27"/>
  <c r="H43" i="10"/>
  <c r="H22" i="10"/>
  <c r="H32" i="10" s="1"/>
  <c r="H34" i="10" s="1"/>
  <c r="K22" i="27"/>
  <c r="K32" i="27" s="1"/>
  <c r="G18" i="13"/>
  <c r="G20" i="13" s="1"/>
  <c r="G7" i="25"/>
  <c r="L15" i="27"/>
  <c r="I15" i="10"/>
  <c r="I12" i="10"/>
  <c r="L12" i="27"/>
  <c r="G4" i="17"/>
  <c r="G4" i="25"/>
  <c r="L14" i="27"/>
  <c r="I14" i="10"/>
  <c r="G8" i="17"/>
  <c r="G8" i="25"/>
  <c r="L16" i="27"/>
  <c r="I16" i="10"/>
  <c r="K17" i="27"/>
  <c r="K19" i="27" s="1"/>
  <c r="F9" i="25"/>
  <c r="F9" i="17"/>
  <c r="F45" i="17" s="1"/>
  <c r="H15" i="13"/>
  <c r="H13" i="13"/>
  <c r="H7" i="25" s="1"/>
  <c r="H17" i="13"/>
  <c r="G3" i="17"/>
  <c r="G7" i="17"/>
  <c r="E152" i="17" l="1"/>
  <c r="E154" i="17" s="1"/>
  <c r="E192" i="17" s="1"/>
  <c r="G46" i="10"/>
  <c r="G58" i="10" s="1"/>
  <c r="J22" i="27"/>
  <c r="J32" i="27" s="1"/>
  <c r="J34" i="27" s="1"/>
  <c r="J46" i="27" s="1"/>
  <c r="J58" i="27" s="1"/>
  <c r="E39" i="13"/>
  <c r="E40" i="13"/>
  <c r="H46" i="10"/>
  <c r="H56" i="10" s="1"/>
  <c r="D36" i="13"/>
  <c r="D37" i="13" s="1"/>
  <c r="D152" i="17"/>
  <c r="H48" i="10"/>
  <c r="H58" i="10"/>
  <c r="M15" i="27"/>
  <c r="J15" i="10"/>
  <c r="H8" i="17"/>
  <c r="H8" i="25"/>
  <c r="L17" i="27"/>
  <c r="L19" i="27" s="1"/>
  <c r="J16" i="10"/>
  <c r="M16" i="27"/>
  <c r="G9" i="25"/>
  <c r="G45" i="25" s="1"/>
  <c r="H4" i="17"/>
  <c r="H4" i="25"/>
  <c r="J12" i="10"/>
  <c r="M12" i="27"/>
  <c r="I17" i="10"/>
  <c r="I19" i="10" s="1"/>
  <c r="J14" i="10"/>
  <c r="M14" i="27"/>
  <c r="K43" i="27"/>
  <c r="K34" i="27"/>
  <c r="K46" i="27" s="1"/>
  <c r="F45" i="25"/>
  <c r="F50" i="17"/>
  <c r="F51" i="17" s="1"/>
  <c r="F165" i="17"/>
  <c r="F166" i="17" s="1"/>
  <c r="F190" i="17" s="1"/>
  <c r="F194" i="17"/>
  <c r="H18" i="13"/>
  <c r="H20" i="13" s="1"/>
  <c r="I15" i="13"/>
  <c r="G9" i="17"/>
  <c r="G45" i="17" s="1"/>
  <c r="I17" i="13"/>
  <c r="I13" i="13"/>
  <c r="I7" i="25" s="1"/>
  <c r="H3" i="17"/>
  <c r="H7" i="17"/>
  <c r="E195" i="17" l="1"/>
  <c r="E197" i="17" s="1"/>
  <c r="G56" i="10"/>
  <c r="G48" i="10"/>
  <c r="G57" i="10"/>
  <c r="J56" i="27"/>
  <c r="J48" i="27"/>
  <c r="J57" i="27"/>
  <c r="H57" i="10"/>
  <c r="D39" i="13"/>
  <c r="D40" i="13"/>
  <c r="D195" i="17"/>
  <c r="D197" i="17" s="1"/>
  <c r="D154" i="17"/>
  <c r="D192" i="17" s="1"/>
  <c r="I8" i="17"/>
  <c r="I8" i="25"/>
  <c r="F152" i="17"/>
  <c r="F154" i="17" s="1"/>
  <c r="F192" i="17" s="1"/>
  <c r="I22" i="10"/>
  <c r="I32" i="10" s="1"/>
  <c r="I34" i="10" s="1"/>
  <c r="L22" i="27"/>
  <c r="L32" i="27" s="1"/>
  <c r="L34" i="27" s="1"/>
  <c r="H9" i="25"/>
  <c r="K14" i="10"/>
  <c r="N14" i="27"/>
  <c r="M17" i="27"/>
  <c r="M19" i="27" s="1"/>
  <c r="N16" i="27"/>
  <c r="K16" i="10"/>
  <c r="K12" i="10"/>
  <c r="N12" i="27"/>
  <c r="N17" i="27" s="1"/>
  <c r="N19" i="27" s="1"/>
  <c r="J17" i="10"/>
  <c r="J19" i="10" s="1"/>
  <c r="G194" i="25"/>
  <c r="G50" i="25"/>
  <c r="G51" i="25" s="1"/>
  <c r="G152" i="25" s="1"/>
  <c r="G154" i="25" s="1"/>
  <c r="G165" i="25"/>
  <c r="G166" i="25" s="1"/>
  <c r="G190" i="25" s="1"/>
  <c r="K57" i="27"/>
  <c r="K56" i="27"/>
  <c r="K58" i="27"/>
  <c r="K48" i="27"/>
  <c r="N15" i="27"/>
  <c r="K15" i="10"/>
  <c r="L43" i="27"/>
  <c r="I4" i="17"/>
  <c r="I4" i="25"/>
  <c r="I43" i="10"/>
  <c r="F36" i="13"/>
  <c r="F37" i="13" s="1"/>
  <c r="F194" i="25"/>
  <c r="F50" i="25"/>
  <c r="F165" i="25"/>
  <c r="F166" i="25" s="1"/>
  <c r="G50" i="17"/>
  <c r="G51" i="17" s="1"/>
  <c r="G36" i="13" s="1"/>
  <c r="G37" i="13" s="1"/>
  <c r="G165" i="17"/>
  <c r="G166" i="17" s="1"/>
  <c r="G190" i="17" s="1"/>
  <c r="G194" i="17"/>
  <c r="I18" i="13"/>
  <c r="I20" i="13" s="1"/>
  <c r="J15" i="13"/>
  <c r="H9" i="17"/>
  <c r="H45" i="17" s="1"/>
  <c r="I3" i="17"/>
  <c r="I7" i="17"/>
  <c r="J13" i="13"/>
  <c r="J7" i="25" s="1"/>
  <c r="J17" i="13"/>
  <c r="G195" i="25" l="1"/>
  <c r="G197" i="25"/>
  <c r="I9" i="25"/>
  <c r="I45" i="25" s="1"/>
  <c r="L46" i="27"/>
  <c r="L56" i="27" s="1"/>
  <c r="I46" i="10"/>
  <c r="I48" i="10" s="1"/>
  <c r="G39" i="13"/>
  <c r="G40" i="13"/>
  <c r="B15" i="27"/>
  <c r="G152" i="17"/>
  <c r="G195" i="17" s="1"/>
  <c r="G197" i="17" s="1"/>
  <c r="F39" i="13"/>
  <c r="F40" i="13"/>
  <c r="J8" i="17"/>
  <c r="J8" i="25"/>
  <c r="L58" i="27"/>
  <c r="L57" i="27"/>
  <c r="L12" i="10"/>
  <c r="O12" i="27"/>
  <c r="K17" i="10"/>
  <c r="K19" i="10" s="1"/>
  <c r="N43" i="27"/>
  <c r="L15" i="10"/>
  <c r="O15" i="27"/>
  <c r="H45" i="25"/>
  <c r="J4" i="17"/>
  <c r="J4" i="25"/>
  <c r="M43" i="27"/>
  <c r="I56" i="10"/>
  <c r="I57" i="10"/>
  <c r="I58" i="10"/>
  <c r="G192" i="25"/>
  <c r="L14" i="10"/>
  <c r="O14" i="27"/>
  <c r="O16" i="27"/>
  <c r="L16" i="10"/>
  <c r="I194" i="25"/>
  <c r="I165" i="25"/>
  <c r="I166" i="25" s="1"/>
  <c r="I190" i="25" s="1"/>
  <c r="I50" i="25"/>
  <c r="I51" i="25" s="1"/>
  <c r="I152" i="25" s="1"/>
  <c r="I154" i="25" s="1"/>
  <c r="I192" i="25" s="1"/>
  <c r="J22" i="10"/>
  <c r="J32" i="10" s="1"/>
  <c r="J34" i="10" s="1"/>
  <c r="M22" i="27"/>
  <c r="M32" i="27" s="1"/>
  <c r="F195" i="17"/>
  <c r="F197" i="17" s="1"/>
  <c r="J43" i="10"/>
  <c r="F51" i="25"/>
  <c r="F190" i="25"/>
  <c r="H50" i="17"/>
  <c r="H51" i="17" s="1"/>
  <c r="H152" i="17" s="1"/>
  <c r="H194" i="17"/>
  <c r="H165" i="17"/>
  <c r="H166" i="17" s="1"/>
  <c r="H190" i="17" s="1"/>
  <c r="J18" i="13"/>
  <c r="J20" i="13" s="1"/>
  <c r="K15" i="13"/>
  <c r="J3" i="17"/>
  <c r="J7" i="17"/>
  <c r="K17" i="13"/>
  <c r="K13" i="13"/>
  <c r="K7" i="25" s="1"/>
  <c r="I9" i="17"/>
  <c r="I45" i="17" s="1"/>
  <c r="H36" i="13" l="1"/>
  <c r="H37" i="13" s="1"/>
  <c r="H40" i="13" s="1"/>
  <c r="G154" i="17"/>
  <c r="L48" i="27"/>
  <c r="J46" i="10"/>
  <c r="J56" i="10" s="1"/>
  <c r="J9" i="25"/>
  <c r="J45" i="25" s="1"/>
  <c r="K8" i="17"/>
  <c r="K8" i="25"/>
  <c r="M15" i="10"/>
  <c r="P15" i="27"/>
  <c r="M14" i="10"/>
  <c r="P14" i="27"/>
  <c r="K22" i="10"/>
  <c r="K32" i="10" s="1"/>
  <c r="N22" i="27"/>
  <c r="N32" i="27" s="1"/>
  <c r="N34" i="27" s="1"/>
  <c r="N46" i="27" s="1"/>
  <c r="M34" i="27"/>
  <c r="M46" i="27" s="1"/>
  <c r="K43" i="10"/>
  <c r="B15" i="10"/>
  <c r="O17" i="27"/>
  <c r="O19" i="27" s="1"/>
  <c r="I195" i="25"/>
  <c r="I197" i="25" s="1"/>
  <c r="M12" i="10"/>
  <c r="P12" i="27"/>
  <c r="J50" i="25"/>
  <c r="J51" i="25" s="1"/>
  <c r="J152" i="25" s="1"/>
  <c r="J154" i="25" s="1"/>
  <c r="J194" i="25"/>
  <c r="J165" i="25"/>
  <c r="J166" i="25" s="1"/>
  <c r="J190" i="25" s="1"/>
  <c r="J195" i="25" s="1"/>
  <c r="J197" i="25" s="1"/>
  <c r="L17" i="10"/>
  <c r="L19" i="10" s="1"/>
  <c r="K4" i="17"/>
  <c r="K4" i="25"/>
  <c r="H194" i="25"/>
  <c r="H165" i="25"/>
  <c r="H166" i="25" s="1"/>
  <c r="H190" i="25" s="1"/>
  <c r="H50" i="25"/>
  <c r="M16" i="10"/>
  <c r="P16" i="27"/>
  <c r="F152" i="25"/>
  <c r="F195" i="25" s="1"/>
  <c r="F197" i="25" s="1"/>
  <c r="H195" i="17"/>
  <c r="H197" i="17" s="1"/>
  <c r="I50" i="17"/>
  <c r="I51" i="17" s="1"/>
  <c r="I165" i="17"/>
  <c r="I166" i="17" s="1"/>
  <c r="I190" i="17" s="1"/>
  <c r="I194" i="17"/>
  <c r="K18" i="13"/>
  <c r="K20" i="13" s="1"/>
  <c r="L15" i="13"/>
  <c r="H154" i="17"/>
  <c r="H192" i="17" s="1"/>
  <c r="G192" i="17"/>
  <c r="J9" i="17"/>
  <c r="J45" i="17" s="1"/>
  <c r="K7" i="17"/>
  <c r="L13" i="13"/>
  <c r="L7" i="25" s="1"/>
  <c r="L17" i="13"/>
  <c r="H39" i="13" l="1"/>
  <c r="J58" i="10"/>
  <c r="J57" i="10"/>
  <c r="J48" i="10"/>
  <c r="K9" i="25"/>
  <c r="K34" i="10"/>
  <c r="B17" i="10"/>
  <c r="B19" i="10" s="1"/>
  <c r="B20" i="10" s="1"/>
  <c r="B34" i="10" s="1"/>
  <c r="I152" i="17"/>
  <c r="I195" i="17" s="1"/>
  <c r="I197" i="17" s="1"/>
  <c r="L22" i="10"/>
  <c r="L32" i="10" s="1"/>
  <c r="L34" i="10" s="1"/>
  <c r="O22" i="27"/>
  <c r="O32" i="27" s="1"/>
  <c r="O34" i="27" s="1"/>
  <c r="I36" i="13"/>
  <c r="I37" i="13" s="1"/>
  <c r="K45" i="25"/>
  <c r="B18" i="10"/>
  <c r="K46" i="10"/>
  <c r="M58" i="27"/>
  <c r="M56" i="27"/>
  <c r="M48" i="27"/>
  <c r="M57" i="27"/>
  <c r="N56" i="27"/>
  <c r="N57" i="27"/>
  <c r="N48" i="27"/>
  <c r="N58" i="27"/>
  <c r="N14" i="10"/>
  <c r="Q14" i="27"/>
  <c r="L43" i="10"/>
  <c r="L8" i="17"/>
  <c r="L8" i="25"/>
  <c r="N12" i="10"/>
  <c r="Q12" i="27"/>
  <c r="J192" i="25"/>
  <c r="M17" i="10"/>
  <c r="M19" i="10" s="1"/>
  <c r="P17" i="27"/>
  <c r="P19" i="27" s="1"/>
  <c r="N16" i="10"/>
  <c r="Q16" i="27"/>
  <c r="H51" i="25"/>
  <c r="L4" i="17"/>
  <c r="L4" i="25"/>
  <c r="O43" i="27"/>
  <c r="B16" i="27"/>
  <c r="F154" i="25"/>
  <c r="F192" i="25" s="1"/>
  <c r="J50" i="17"/>
  <c r="J51" i="17" s="1"/>
  <c r="J165" i="17"/>
  <c r="J166" i="17" s="1"/>
  <c r="J190" i="17" s="1"/>
  <c r="J194" i="17"/>
  <c r="L18" i="13"/>
  <c r="M15" i="13"/>
  <c r="L7" i="17"/>
  <c r="L3" i="17"/>
  <c r="L20" i="13"/>
  <c r="M13" i="13"/>
  <c r="M7" i="25" s="1"/>
  <c r="N7" i="25" s="1"/>
  <c r="M17" i="13"/>
  <c r="K3" i="17"/>
  <c r="I154" i="17" l="1"/>
  <c r="O46" i="27"/>
  <c r="L9" i="25"/>
  <c r="L45" i="25" s="1"/>
  <c r="L50" i="25" s="1"/>
  <c r="L51" i="25" s="1"/>
  <c r="L152" i="25" s="1"/>
  <c r="L154" i="25" s="1"/>
  <c r="I39" i="13"/>
  <c r="I40" i="13"/>
  <c r="L46" i="10"/>
  <c r="M22" i="10"/>
  <c r="M32" i="10" s="1"/>
  <c r="M34" i="10" s="1"/>
  <c r="P22" i="27"/>
  <c r="P32" i="27" s="1"/>
  <c r="P34" i="27" s="1"/>
  <c r="K58" i="10"/>
  <c r="K48" i="10"/>
  <c r="K56" i="10"/>
  <c r="K57" i="10"/>
  <c r="Q17" i="27"/>
  <c r="Q19" i="27" s="1"/>
  <c r="B18" i="27"/>
  <c r="B17" i="27"/>
  <c r="M8" i="17"/>
  <c r="M8" i="25"/>
  <c r="N8" i="25" s="1"/>
  <c r="O57" i="27"/>
  <c r="O48" i="27"/>
  <c r="O56" i="27"/>
  <c r="O58" i="27"/>
  <c r="O16" i="10"/>
  <c r="R16" i="27"/>
  <c r="L58" i="10"/>
  <c r="L57" i="10"/>
  <c r="L56" i="10"/>
  <c r="L48" i="10"/>
  <c r="L194" i="25"/>
  <c r="B45" i="10"/>
  <c r="B33" i="10"/>
  <c r="B23" i="10"/>
  <c r="AC17" i="10"/>
  <c r="AD17" i="10" s="1"/>
  <c r="B38" i="10"/>
  <c r="B39" i="10" s="1"/>
  <c r="B31" i="10"/>
  <c r="O15" i="10"/>
  <c r="R15" i="27"/>
  <c r="O14" i="10"/>
  <c r="R14" i="27"/>
  <c r="K165" i="25"/>
  <c r="K166" i="25" s="1"/>
  <c r="K190" i="25" s="1"/>
  <c r="K194" i="25"/>
  <c r="K50" i="25"/>
  <c r="M43" i="10"/>
  <c r="K9" i="17"/>
  <c r="K45" i="17" s="1"/>
  <c r="N15" i="10"/>
  <c r="Q15" i="27"/>
  <c r="M4" i="17"/>
  <c r="M4" i="25"/>
  <c r="H152" i="25"/>
  <c r="O12" i="10"/>
  <c r="R12" i="27"/>
  <c r="N17" i="10"/>
  <c r="N19" i="10" s="1"/>
  <c r="P43" i="27"/>
  <c r="J152" i="17"/>
  <c r="J195" i="17" s="1"/>
  <c r="J197" i="17" s="1"/>
  <c r="J36" i="13"/>
  <c r="J37" i="13" s="1"/>
  <c r="N13" i="13"/>
  <c r="O13" i="13" s="1"/>
  <c r="M18" i="13"/>
  <c r="M20" i="13" s="1"/>
  <c r="N17" i="13"/>
  <c r="O17" i="13" s="1"/>
  <c r="I192" i="17"/>
  <c r="N15" i="13"/>
  <c r="O15" i="13" s="1"/>
  <c r="M7" i="17"/>
  <c r="L9" i="17"/>
  <c r="L45" i="17" s="1"/>
  <c r="L165" i="25" l="1"/>
  <c r="L166" i="25" s="1"/>
  <c r="L190" i="25" s="1"/>
  <c r="L192" i="25" s="1"/>
  <c r="J154" i="17"/>
  <c r="J39" i="13"/>
  <c r="J40" i="13"/>
  <c r="K51" i="25"/>
  <c r="N43" i="10"/>
  <c r="N7" i="17"/>
  <c r="P12" i="10"/>
  <c r="S12" i="27"/>
  <c r="N8" i="17"/>
  <c r="P16" i="10"/>
  <c r="Q16" i="10" s="1"/>
  <c r="R16" i="10" s="1"/>
  <c r="S16" i="27"/>
  <c r="T16" i="27" s="1"/>
  <c r="U16" i="27" s="1"/>
  <c r="R17" i="27"/>
  <c r="R19" i="27" s="1"/>
  <c r="B19" i="27"/>
  <c r="B20" i="27" s="1"/>
  <c r="Q43" i="27"/>
  <c r="H154" i="25"/>
  <c r="H192" i="25" s="1"/>
  <c r="H195" i="25"/>
  <c r="H197" i="25" s="1"/>
  <c r="B50" i="10"/>
  <c r="B56" i="10" s="1"/>
  <c r="B62" i="10" s="1"/>
  <c r="B28" i="10"/>
  <c r="O17" i="10"/>
  <c r="O19" i="10" s="1"/>
  <c r="M9" i="25"/>
  <c r="N4" i="25"/>
  <c r="N4" i="17"/>
  <c r="P14" i="10"/>
  <c r="Q14" i="10" s="1"/>
  <c r="R14" i="10" s="1"/>
  <c r="S14" i="27"/>
  <c r="T14" i="27" s="1"/>
  <c r="U14" i="27" s="1"/>
  <c r="B29" i="10"/>
  <c r="B35" i="10"/>
  <c r="C30" i="10" s="1"/>
  <c r="B32" i="10"/>
  <c r="P38" i="10"/>
  <c r="P41" i="10" s="1"/>
  <c r="M38" i="10"/>
  <c r="N38" i="10"/>
  <c r="N41" i="10" s="1"/>
  <c r="S38" i="10"/>
  <c r="U38" i="10" s="1"/>
  <c r="W38" i="10" s="1"/>
  <c r="O38" i="10"/>
  <c r="O41" i="10" s="1"/>
  <c r="L50" i="17"/>
  <c r="L51" i="17" s="1"/>
  <c r="L165" i="17"/>
  <c r="L166" i="17" s="1"/>
  <c r="L190" i="17" s="1"/>
  <c r="L194" i="17"/>
  <c r="K165" i="17"/>
  <c r="K166" i="17" s="1"/>
  <c r="K190" i="17" s="1"/>
  <c r="K194" i="17"/>
  <c r="J192" i="17"/>
  <c r="M3" i="17"/>
  <c r="K50" i="17"/>
  <c r="L195" i="25" l="1"/>
  <c r="L197" i="25" s="1"/>
  <c r="E20" i="27"/>
  <c r="E34" i="27" s="1"/>
  <c r="L152" i="17"/>
  <c r="R22" i="27"/>
  <c r="R32" i="27" s="1"/>
  <c r="R34" i="27" s="1"/>
  <c r="O22" i="10"/>
  <c r="O32" i="10" s="1"/>
  <c r="O34" i="10" s="1"/>
  <c r="Y38" i="10"/>
  <c r="Y41" i="10" s="1"/>
  <c r="Y46" i="10" s="1"/>
  <c r="W41" i="10"/>
  <c r="W46" i="10" s="1"/>
  <c r="AC14" i="10"/>
  <c r="B46" i="10"/>
  <c r="B47" i="10" s="1"/>
  <c r="B58" i="10" s="1"/>
  <c r="AD32" i="10" s="1"/>
  <c r="AC10" i="10" s="1"/>
  <c r="B67" i="10"/>
  <c r="B68" i="10"/>
  <c r="AC15" i="10" s="1"/>
  <c r="B63" i="10"/>
  <c r="B64" i="10"/>
  <c r="M41" i="10"/>
  <c r="M46" i="10" s="1"/>
  <c r="Q38" i="10"/>
  <c r="L36" i="13"/>
  <c r="L37" i="13" s="1"/>
  <c r="M45" i="25"/>
  <c r="N9" i="25"/>
  <c r="D16" i="18" s="1"/>
  <c r="O43" i="10"/>
  <c r="Q12" i="10"/>
  <c r="R12" i="10" s="1"/>
  <c r="E32" i="27"/>
  <c r="R43" i="27"/>
  <c r="T12" i="27"/>
  <c r="U12" i="27" s="1"/>
  <c r="M9" i="17"/>
  <c r="M45" i="17" s="1"/>
  <c r="M194" i="17" s="1"/>
  <c r="P15" i="10"/>
  <c r="P17" i="10" s="1"/>
  <c r="P19" i="10" s="1"/>
  <c r="S15" i="27"/>
  <c r="S17" i="27" s="1"/>
  <c r="S19" i="27" s="1"/>
  <c r="B34" i="27"/>
  <c r="B23" i="27"/>
  <c r="B31" i="27"/>
  <c r="AF17" i="27"/>
  <c r="AG17" i="27" s="1"/>
  <c r="B38" i="27"/>
  <c r="B39" i="27" s="1"/>
  <c r="B45" i="27"/>
  <c r="B33" i="27"/>
  <c r="K152" i="25"/>
  <c r="L195" i="17"/>
  <c r="L197" i="17" s="1"/>
  <c r="K51" i="17"/>
  <c r="L154" i="17"/>
  <c r="E33" i="27" l="1"/>
  <c r="E31" i="27"/>
  <c r="E35" i="27" s="1"/>
  <c r="E45" i="27"/>
  <c r="E47" i="27" s="1"/>
  <c r="E23" i="27"/>
  <c r="E28" i="27" s="1"/>
  <c r="E29" i="27" s="1"/>
  <c r="O46" i="10"/>
  <c r="O57" i="10" s="1"/>
  <c r="L39" i="13"/>
  <c r="L40" i="13"/>
  <c r="O48" i="10"/>
  <c r="S43" i="27"/>
  <c r="Q38" i="27"/>
  <c r="Q41" i="27" s="1"/>
  <c r="V38" i="27"/>
  <c r="X38" i="27" s="1"/>
  <c r="Z38" i="27" s="1"/>
  <c r="R38" i="27"/>
  <c r="R41" i="27" s="1"/>
  <c r="R46" i="27" s="1"/>
  <c r="P38" i="27"/>
  <c r="S38" i="27"/>
  <c r="S41" i="27" s="1"/>
  <c r="B32" i="27"/>
  <c r="B35" i="27"/>
  <c r="C35" i="27" s="1"/>
  <c r="P43" i="10"/>
  <c r="AD36" i="10"/>
  <c r="AC18" i="10"/>
  <c r="AC20" i="10" s="1"/>
  <c r="B29" i="27"/>
  <c r="B50" i="27"/>
  <c r="B56" i="27" s="1"/>
  <c r="B62" i="27" s="1"/>
  <c r="B28" i="27"/>
  <c r="M165" i="17"/>
  <c r="M166" i="17" s="1"/>
  <c r="M190" i="17" s="1"/>
  <c r="W58" i="10"/>
  <c r="W57" i="10"/>
  <c r="AF35" i="10" s="1"/>
  <c r="W56" i="10"/>
  <c r="M50" i="17"/>
  <c r="M51" i="17" s="1"/>
  <c r="Y58" i="10"/>
  <c r="Y57" i="10"/>
  <c r="AF36" i="10" s="1"/>
  <c r="Y56" i="10"/>
  <c r="D50" i="18"/>
  <c r="D52" i="18"/>
  <c r="D18" i="18"/>
  <c r="F16" i="18"/>
  <c r="G16" i="18" s="1"/>
  <c r="M194" i="25"/>
  <c r="M165" i="25"/>
  <c r="M166" i="25" s="1"/>
  <c r="M190" i="25" s="1"/>
  <c r="M50" i="25"/>
  <c r="N45" i="25"/>
  <c r="M56" i="10"/>
  <c r="M48" i="10"/>
  <c r="M58" i="10"/>
  <c r="M57" i="10"/>
  <c r="N22" i="10"/>
  <c r="N32" i="10" s="1"/>
  <c r="N34" i="10" s="1"/>
  <c r="N46" i="10" s="1"/>
  <c r="Q22" i="27"/>
  <c r="Q32" i="27" s="1"/>
  <c r="Q34" i="27" s="1"/>
  <c r="E39" i="10"/>
  <c r="U39" i="10"/>
  <c r="U41" i="10" s="1"/>
  <c r="U46" i="10" s="1"/>
  <c r="S39" i="10"/>
  <c r="S41" i="10" s="1"/>
  <c r="S46" i="10" s="1"/>
  <c r="K154" i="25"/>
  <c r="K192" i="25" s="1"/>
  <c r="K195" i="25"/>
  <c r="K197" i="25" s="1"/>
  <c r="L192" i="17"/>
  <c r="K36" i="13"/>
  <c r="K152" i="17"/>
  <c r="K195" i="17" s="1"/>
  <c r="K197" i="17" s="1"/>
  <c r="E50" i="27" l="1"/>
  <c r="E56" i="27" s="1"/>
  <c r="E58" i="27" s="1"/>
  <c r="O56" i="10"/>
  <c r="O58" i="10"/>
  <c r="Q46" i="27"/>
  <c r="Q57" i="27" s="1"/>
  <c r="S22" i="27"/>
  <c r="S32" i="27" s="1"/>
  <c r="S34" i="27" s="1"/>
  <c r="P22" i="10"/>
  <c r="P32" i="10" s="1"/>
  <c r="P34" i="10" s="1"/>
  <c r="P46" i="10" s="1"/>
  <c r="M36" i="13"/>
  <c r="M37" i="13" s="1"/>
  <c r="M152" i="17"/>
  <c r="M154" i="17" s="1"/>
  <c r="M192" i="17" s="1"/>
  <c r="M51" i="25"/>
  <c r="N50" i="25"/>
  <c r="AC22" i="10"/>
  <c r="AC24" i="10"/>
  <c r="AC23" i="10"/>
  <c r="AH36" i="10" s="1"/>
  <c r="AI12" i="10" s="1"/>
  <c r="E41" i="10"/>
  <c r="Q39" i="10"/>
  <c r="Q41" i="10" s="1"/>
  <c r="AB38" i="27"/>
  <c r="AB41" i="27" s="1"/>
  <c r="AB46" i="27" s="1"/>
  <c r="Z41" i="27"/>
  <c r="Z46" i="27" s="1"/>
  <c r="Q48" i="27"/>
  <c r="F18" i="18"/>
  <c r="G18" i="18" s="1"/>
  <c r="AI35" i="10"/>
  <c r="S46" i="27"/>
  <c r="N194" i="25"/>
  <c r="T38" i="27"/>
  <c r="P41" i="27"/>
  <c r="P46" i="27" s="1"/>
  <c r="R56" i="27"/>
  <c r="R58" i="27"/>
  <c r="R57" i="27"/>
  <c r="R48" i="27"/>
  <c r="B67" i="27"/>
  <c r="B64" i="27"/>
  <c r="AF14" i="27"/>
  <c r="B68" i="27"/>
  <c r="AF15" i="27" s="1"/>
  <c r="B63" i="27"/>
  <c r="B46" i="27"/>
  <c r="B47" i="27" s="1"/>
  <c r="B58" i="27" s="1"/>
  <c r="AG32" i="27" s="1"/>
  <c r="U58" i="10"/>
  <c r="U56" i="10"/>
  <c r="U57" i="10"/>
  <c r="AF34" i="10" s="1"/>
  <c r="AD37" i="10"/>
  <c r="AG36" i="10" s="1"/>
  <c r="N56" i="10"/>
  <c r="N57" i="10"/>
  <c r="N58" i="10"/>
  <c r="N48" i="10"/>
  <c r="K154" i="17"/>
  <c r="K37" i="13"/>
  <c r="N19" i="13"/>
  <c r="O19" i="13" s="1"/>
  <c r="B3" i="17"/>
  <c r="Q56" i="27" l="1"/>
  <c r="Q58" i="27"/>
  <c r="AG35" i="10"/>
  <c r="K39" i="13"/>
  <c r="K40" i="13"/>
  <c r="M39" i="13"/>
  <c r="M40" i="13"/>
  <c r="AG34" i="10"/>
  <c r="AI34" i="10"/>
  <c r="E15" i="10"/>
  <c r="H15" i="27"/>
  <c r="AF10" i="27"/>
  <c r="S57" i="27"/>
  <c r="S56" i="27"/>
  <c r="S58" i="27"/>
  <c r="S48" i="27"/>
  <c r="M152" i="25"/>
  <c r="N51" i="25"/>
  <c r="X39" i="27"/>
  <c r="X41" i="27" s="1"/>
  <c r="X46" i="27" s="1"/>
  <c r="H39" i="27"/>
  <c r="V39" i="27"/>
  <c r="V41" i="27" s="1"/>
  <c r="V46" i="27" s="1"/>
  <c r="P56" i="10"/>
  <c r="P57" i="10"/>
  <c r="P48" i="10"/>
  <c r="P58" i="10"/>
  <c r="AI36" i="10"/>
  <c r="Z58" i="27"/>
  <c r="Z57" i="27"/>
  <c r="AI35" i="27" s="1"/>
  <c r="Z56" i="27"/>
  <c r="AI9" i="10"/>
  <c r="AI7" i="10"/>
  <c r="AI37" i="10"/>
  <c r="P48" i="27"/>
  <c r="P57" i="27"/>
  <c r="P58" i="27"/>
  <c r="P56" i="27"/>
  <c r="AB58" i="27"/>
  <c r="AB57" i="27"/>
  <c r="AI36" i="27" s="1"/>
  <c r="AB56" i="27"/>
  <c r="M195" i="17"/>
  <c r="M197" i="17" s="1"/>
  <c r="B9" i="17"/>
  <c r="B45" i="17" s="1"/>
  <c r="K192" i="17"/>
  <c r="M154" i="25" l="1"/>
  <c r="M192" i="25" s="1"/>
  <c r="N152" i="25"/>
  <c r="N154" i="25" s="1"/>
  <c r="M195" i="25"/>
  <c r="M197" i="25" s="1"/>
  <c r="AL35" i="27"/>
  <c r="AG36" i="27"/>
  <c r="AF18" i="27"/>
  <c r="AF20" i="27" s="1"/>
  <c r="H17" i="27"/>
  <c r="T39" i="27"/>
  <c r="T41" i="27" s="1"/>
  <c r="H41" i="27"/>
  <c r="V58" i="27"/>
  <c r="V57" i="27"/>
  <c r="AI33" i="27" s="1"/>
  <c r="V56" i="27"/>
  <c r="X57" i="27"/>
  <c r="AI34" i="27" s="1"/>
  <c r="X58" i="27"/>
  <c r="X56" i="27"/>
  <c r="E17" i="10"/>
  <c r="B50" i="17"/>
  <c r="B51" i="17" s="1"/>
  <c r="B36" i="13" s="1"/>
  <c r="B37" i="13" s="1"/>
  <c r="B165" i="17"/>
  <c r="B165" i="25" s="1"/>
  <c r="B194" i="17"/>
  <c r="B39" i="13" l="1"/>
  <c r="B40" i="13"/>
  <c r="AL33" i="27"/>
  <c r="H19" i="27"/>
  <c r="H22" i="27"/>
  <c r="H32" i="27" s="1"/>
  <c r="E22" i="10"/>
  <c r="E32" i="10" s="1"/>
  <c r="E19" i="10"/>
  <c r="B152" i="17"/>
  <c r="B154" i="17" s="1"/>
  <c r="B192" i="17" s="1"/>
  <c r="B166" i="25"/>
  <c r="B190" i="25" s="1"/>
  <c r="N165" i="25"/>
  <c r="N166" i="25" s="1"/>
  <c r="N190" i="25" s="1"/>
  <c r="N195" i="25" s="1"/>
  <c r="N197" i="25" s="1"/>
  <c r="AF22" i="27"/>
  <c r="AF23" i="27"/>
  <c r="AK36" i="27" s="1"/>
  <c r="AL12" i="27" s="1"/>
  <c r="AF24" i="27"/>
  <c r="AG37" i="27"/>
  <c r="AJ34" i="27" s="1"/>
  <c r="AL34" i="27"/>
  <c r="B166" i="17"/>
  <c r="B190" i="17" s="1"/>
  <c r="B195" i="17" l="1"/>
  <c r="B197" i="17" s="1"/>
  <c r="AL36" i="27"/>
  <c r="B195" i="25"/>
  <c r="B197" i="25" s="1"/>
  <c r="B192" i="25"/>
  <c r="E34" i="10"/>
  <c r="E43" i="10"/>
  <c r="AL9" i="27"/>
  <c r="AL7" i="27"/>
  <c r="AL37" i="27"/>
  <c r="AJ35" i="27"/>
  <c r="AJ36" i="27"/>
  <c r="N192" i="25"/>
  <c r="H34" i="27"/>
  <c r="H43" i="27"/>
  <c r="AJ33" i="27"/>
  <c r="C3" i="17"/>
  <c r="N16" i="13"/>
  <c r="O16" i="13" s="1"/>
  <c r="C18" i="13"/>
  <c r="C20" i="13" s="1"/>
  <c r="N20" i="13" l="1"/>
  <c r="H46" i="27"/>
  <c r="E46" i="10"/>
  <c r="F15" i="10"/>
  <c r="I15" i="27"/>
  <c r="C9" i="17"/>
  <c r="C45" i="17" s="1"/>
  <c r="N45" i="17" s="1"/>
  <c r="N194" i="17" s="1"/>
  <c r="N3" i="17"/>
  <c r="N18" i="13"/>
  <c r="O18" i="13" s="1"/>
  <c r="N9" i="17" l="1"/>
  <c r="F17" i="10"/>
  <c r="Q15" i="10"/>
  <c r="R15" i="10" s="1"/>
  <c r="I17" i="27"/>
  <c r="T15" i="27"/>
  <c r="U15" i="27" s="1"/>
  <c r="E48" i="10"/>
  <c r="E57" i="10"/>
  <c r="E58" i="10"/>
  <c r="E56" i="10"/>
  <c r="H57" i="27"/>
  <c r="H56" i="27"/>
  <c r="H58" i="27"/>
  <c r="H48" i="27"/>
  <c r="C50" i="17"/>
  <c r="N50" i="17" s="1"/>
  <c r="C165" i="17"/>
  <c r="C194" i="17"/>
  <c r="C51" i="17" l="1"/>
  <c r="I22" i="27" s="1"/>
  <c r="I32" i="27" s="1"/>
  <c r="I19" i="27"/>
  <c r="T17" i="27"/>
  <c r="F19" i="10"/>
  <c r="Q17" i="10"/>
  <c r="C166" i="17"/>
  <c r="C190" i="17" s="1"/>
  <c r="N165" i="17"/>
  <c r="N166" i="17" s="1"/>
  <c r="N190" i="17" s="1"/>
  <c r="N51" i="17"/>
  <c r="C152" i="17"/>
  <c r="C36" i="13"/>
  <c r="F22" i="10" l="1"/>
  <c r="F32" i="10" s="1"/>
  <c r="D38" i="18"/>
  <c r="T22" i="27"/>
  <c r="Q22" i="10"/>
  <c r="R17" i="10"/>
  <c r="Q10" i="10"/>
  <c r="U17" i="27"/>
  <c r="T10" i="27"/>
  <c r="I43" i="27"/>
  <c r="T43" i="27" s="1"/>
  <c r="I34" i="27"/>
  <c r="T19" i="27"/>
  <c r="F34" i="10"/>
  <c r="F43" i="10"/>
  <c r="Q43" i="10" s="1"/>
  <c r="Q19" i="10"/>
  <c r="C195" i="17"/>
  <c r="C197" i="17" s="1"/>
  <c r="N36" i="13"/>
  <c r="N37" i="13" s="1"/>
  <c r="N39" i="13" s="1"/>
  <c r="C37" i="13"/>
  <c r="D40" i="18"/>
  <c r="F38" i="18"/>
  <c r="G38" i="18" s="1"/>
  <c r="N152" i="17"/>
  <c r="N154" i="17" s="1"/>
  <c r="C154" i="17"/>
  <c r="I46" i="27" l="1"/>
  <c r="F46" i="10"/>
  <c r="F56" i="10" s="1"/>
  <c r="C39" i="13"/>
  <c r="C40" i="13"/>
  <c r="N40" i="13" s="1"/>
  <c r="Q46" i="10"/>
  <c r="R23" i="10"/>
  <c r="R29" i="10"/>
  <c r="R31" i="10"/>
  <c r="R26" i="10"/>
  <c r="R30" i="10"/>
  <c r="R28" i="10"/>
  <c r="R25" i="10"/>
  <c r="R24" i="10"/>
  <c r="R27" i="10"/>
  <c r="I58" i="27"/>
  <c r="I56" i="27"/>
  <c r="I57" i="27"/>
  <c r="I48" i="27"/>
  <c r="T46" i="27"/>
  <c r="F40" i="18"/>
  <c r="G40" i="18" s="1"/>
  <c r="D41" i="18"/>
  <c r="D42" i="18"/>
  <c r="D43" i="18" s="1"/>
  <c r="B44" i="18" s="1"/>
  <c r="T32" i="27"/>
  <c r="T34" i="27" s="1"/>
  <c r="U34" i="27" s="1"/>
  <c r="U22" i="27"/>
  <c r="E15" i="27"/>
  <c r="U24" i="27"/>
  <c r="U30" i="27"/>
  <c r="U26" i="27"/>
  <c r="U31" i="27"/>
  <c r="U28" i="27"/>
  <c r="U23" i="27"/>
  <c r="U27" i="27"/>
  <c r="U25" i="27"/>
  <c r="U29" i="27"/>
  <c r="Q32" i="10"/>
  <c r="R32" i="10" s="1"/>
  <c r="R22" i="10"/>
  <c r="N195" i="17"/>
  <c r="N197" i="17" s="1"/>
  <c r="C192" i="17"/>
  <c r="N192" i="17" s="1"/>
  <c r="S57" i="10"/>
  <c r="AF33" i="10" s="1"/>
  <c r="S56" i="10"/>
  <c r="S58" i="10"/>
  <c r="F48" i="10" l="1"/>
  <c r="F57" i="10"/>
  <c r="F58" i="10"/>
  <c r="T58" i="27"/>
  <c r="T56" i="27"/>
  <c r="T57" i="27"/>
  <c r="AI32" i="27" s="1"/>
  <c r="T48" i="27"/>
  <c r="E16" i="27"/>
  <c r="E17" i="27" s="1"/>
  <c r="U32" i="27"/>
  <c r="Q56" i="10"/>
  <c r="Q48" i="10"/>
  <c r="Q58" i="10"/>
  <c r="Q57" i="10"/>
  <c r="AF32" i="10" s="1"/>
  <c r="Q34" i="10"/>
  <c r="R34" i="10" s="1"/>
  <c r="AI33" i="10"/>
  <c r="AG33" i="10"/>
  <c r="AI32" i="10" l="1"/>
  <c r="AG32" i="10"/>
  <c r="AG37" i="10" s="1"/>
  <c r="AI17" i="10" s="1"/>
  <c r="AI37" i="27"/>
  <c r="AL11" i="27" s="1"/>
  <c r="AL13" i="27" s="1"/>
  <c r="AJ32" i="27"/>
  <c r="AJ37" i="27" s="1"/>
  <c r="AL17" i="27" s="1"/>
  <c r="AL32" i="27"/>
  <c r="AL38" i="27" s="1"/>
  <c r="AL19" i="27" s="1"/>
  <c r="AF37" i="10"/>
  <c r="AI11" i="10" s="1"/>
  <c r="AI13" i="10" s="1"/>
  <c r="AI16" i="10" s="1"/>
  <c r="AI38" i="10"/>
  <c r="AI19" i="10" s="1"/>
  <c r="AL16" i="27" l="1"/>
  <c r="AL18" i="27"/>
  <c r="AI18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1" authorId="0" shapeId="0" xr:uid="{00000000-0006-0000-0100-000003000000}">
      <text>
        <r>
          <rPr>
            <sz val="11"/>
            <color rgb="FF000000"/>
            <rFont val="Arial"/>
            <family val="2"/>
            <scheme val="minor"/>
          </rPr>
          <t>======
ID#AAABv6EQwY4
tc={5AF18A2F-E701-4114-A1A3-33596C154F0E}    (2025-11-11 17:00:34)
[Threaded comment]
Your version of Excel allows you to read this threaded comment; however, any edits to it will get removed if the file is opened in a newer version of Excel. Learn more: https://go.microsoft.com/fwlink/?linkid=870924
Comment:
    10 full month, 5 half, avg rent 1300O</t>
        </r>
      </text>
    </comment>
    <comment ref="J11" authorId="0" shapeId="0" xr:uid="{00000000-0006-0000-0100-000004000000}">
      <text>
        <r>
          <rPr>
            <sz val="11"/>
            <color rgb="FF000000"/>
            <rFont val="Arial"/>
            <family val="2"/>
            <scheme val="minor"/>
          </rPr>
          <t>======
ID#AAABv6EQwYs
tc={48FC67CD-6478-4A95-915C-C877D5BB8F59}    (2025-11-11 17:00:34)
[Threaded comment]
Your version of Excel allows you to read this threaded comment; however, any edits to it will get removed if the file is opened in a newer version of Excel. Learn more: https://go.microsoft.com/fwlink/?linkid=870924
Comment:
    10 full month, 5 half, avg rent 1300O</t>
        </r>
      </text>
    </comment>
    <comment ref="K11" authorId="0" shapeId="0" xr:uid="{00000000-0006-0000-0100-000002000000}">
      <text>
        <r>
          <rPr>
            <sz val="11"/>
            <color rgb="FF000000"/>
            <rFont val="Arial"/>
            <family val="2"/>
            <scheme val="minor"/>
          </rPr>
          <t>======
ID#AAABv6EQwY8
tc={FF2EDE4C-8087-4103-A850-1B9983BDEBB6}    (2025-11-11 17:00:34)
[Threaded comment]
Your version of Excel allows you to read this threaded comment; however, any edits to it will get removed if the file is opened in a newer version of Excel. Learn more: https://go.microsoft.com/fwlink/?linkid=870924
Comment:
    10 full month, 5 half, avg rent 1300O</t>
        </r>
      </text>
    </comment>
    <comment ref="E61" authorId="0" shapeId="0" xr:uid="{00000000-0006-0000-0100-000001000000}">
      <text>
        <r>
          <rPr>
            <sz val="11"/>
            <color rgb="FF000000"/>
            <rFont val="Arial"/>
            <family val="2"/>
            <scheme val="minor"/>
          </rPr>
          <t>======
ID#AAABv6EQwZI
tc={438636FE-6E41-4245-96BF-7BF5461D119C}    (2025-11-11 17:00:34)
[Threaded comment]
Your version of Excel allows you to read this threaded comment; however, any edits to it will get removed if the file is opened in a newer version of Excel. Learn more: https://go.microsoft.com/fwlink/?linkid=870924
Comment:
    One time expense of 32500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mnxpR7SUb5atOlayzI3lE9OWtu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 Sanchez</author>
  </authors>
  <commentList>
    <comment ref="A11" authorId="0" shapeId="0" xr:uid="{5159EBA0-AA40-AC40-B697-8F63C7401118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 GL where this tracking now is Waiver Deposit Service Fee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 Sanchez</author>
  </authors>
  <commentList>
    <comment ref="A11" authorId="0" shapeId="0" xr:uid="{850B75AD-AA16-8F4F-AC97-93A95E78DD9C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 GL where this tracking now is Waiver Deposit Service Fee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T10" authorId="0" shapeId="0" xr:uid="{9BDA5A65-DFFD-1E4F-8844-7E41B8D56421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U10" authorId="0" shapeId="0" xr:uid="{2AD59E40-2B90-F444-8C0D-2705AE5A5D39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V10" authorId="0" shapeId="0" xr:uid="{68A4C33C-73B3-6E4A-870F-527EC387837E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W10" authorId="0" shapeId="0" xr:uid="{670C0073-D518-B84D-96E3-B8C0432BDA82}">
      <text>
        <r>
          <rPr>
            <sz val="11"/>
            <color rgb="FF000000"/>
            <rFont val="Arial"/>
            <family val="2"/>
          </rPr>
          <t xml:space="preserve">From T-12
</t>
        </r>
        <r>
          <rPr>
            <sz val="11"/>
            <color rgb="FF000000"/>
            <rFont val="Arial"/>
            <family val="2"/>
          </rPr>
          <t xml:space="preserve">Concessions: 17426.50
</t>
        </r>
        <r>
          <rPr>
            <sz val="11"/>
            <color rgb="FF000000"/>
            <rFont val="Arial"/>
            <family val="2"/>
          </rPr>
          <t xml:space="preserve">LTL:+856.42
</t>
        </r>
        <r>
          <rPr>
            <sz val="11"/>
            <color rgb="FF000000"/>
            <rFont val="Arial"/>
            <family val="2"/>
          </rPr>
          <t xml:space="preserve">Bad Debt:16661.19
</t>
        </r>
        <r>
          <rPr>
            <sz val="11"/>
            <color rgb="FF000000"/>
            <rFont val="Arial"/>
            <family val="2"/>
          </rPr>
          <t>======</t>
        </r>
      </text>
    </comment>
    <comment ref="AX10" authorId="0" shapeId="0" xr:uid="{DD070774-91ED-3749-A49C-39176D6D5FF7}">
      <text>
        <r>
          <rPr>
            <sz val="11"/>
            <color rgb="FF000000"/>
            <rFont val="Arial"/>
            <family val="2"/>
          </rPr>
          <t xml:space="preserve">From T-12
</t>
        </r>
        <r>
          <rPr>
            <sz val="11"/>
            <color rgb="FF000000"/>
            <rFont val="Arial"/>
            <family val="2"/>
          </rPr>
          <t xml:space="preserve">Concessions: 17426.50
</t>
        </r>
        <r>
          <rPr>
            <sz val="11"/>
            <color rgb="FF000000"/>
            <rFont val="Arial"/>
            <family val="2"/>
          </rPr>
          <t xml:space="preserve">LTL:+856.42
</t>
        </r>
        <r>
          <rPr>
            <sz val="11"/>
            <color rgb="FF000000"/>
            <rFont val="Arial"/>
            <family val="2"/>
          </rPr>
          <t xml:space="preserve">Bad Debt:16661.19
</t>
        </r>
        <r>
          <rPr>
            <sz val="11"/>
            <color rgb="FF000000"/>
            <rFont val="Arial"/>
            <family val="2"/>
          </rPr>
          <t>======</t>
        </r>
      </text>
    </comment>
    <comment ref="AY10" authorId="0" shapeId="0" xr:uid="{26891AAC-2A18-EB4B-99ED-43517552C024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Z10" authorId="0" shapeId="0" xr:uid="{E8A26192-18B7-E34F-9C57-C83A9516C3E0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BA10" authorId="0" shapeId="0" xr:uid="{3C0D3AC7-69EA-674A-9EB5-0CD9AAFED7FC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BB10" authorId="0" shapeId="0" xr:uid="{1BBCCBE9-7E1B-1549-A88B-DD55FFA24F37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O17" authorId="0" shapeId="0" xr:uid="{00000000-0006-0000-0900-000004000000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P17" authorId="0" shapeId="0" xr:uid="{00000000-0006-0000-0900-000005000000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Q17" authorId="0" shapeId="0" xr:uid="{00000000-0006-0000-0900-000006000000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R17" authorId="0" shapeId="0" xr:uid="{00000000-0006-0000-0900-000007000000}">
      <text>
        <r>
          <rPr>
            <sz val="11"/>
            <color rgb="FF000000"/>
            <rFont val="Arial"/>
            <family val="2"/>
          </rPr>
          <t xml:space="preserve">From T-12
</t>
        </r>
        <r>
          <rPr>
            <sz val="11"/>
            <color rgb="FF000000"/>
            <rFont val="Arial"/>
            <family val="2"/>
          </rPr>
          <t xml:space="preserve">Concessions: 17426.50
</t>
        </r>
        <r>
          <rPr>
            <sz val="11"/>
            <color rgb="FF000000"/>
            <rFont val="Arial"/>
            <family val="2"/>
          </rPr>
          <t xml:space="preserve">LTL:+856.42
</t>
        </r>
        <r>
          <rPr>
            <sz val="11"/>
            <color rgb="FF000000"/>
            <rFont val="Arial"/>
            <family val="2"/>
          </rPr>
          <t xml:space="preserve">Bad Debt:16661.19
</t>
        </r>
        <r>
          <rPr>
            <sz val="11"/>
            <color rgb="FF000000"/>
            <rFont val="Arial"/>
            <family val="2"/>
          </rPr>
          <t>======</t>
        </r>
      </text>
    </comment>
    <comment ref="AS17" authorId="0" shapeId="0" xr:uid="{00000000-0006-0000-0900-000008000000}">
      <text>
        <r>
          <rPr>
            <sz val="11"/>
            <color rgb="FF000000"/>
            <rFont val="Arial"/>
            <family val="2"/>
          </rPr>
          <t xml:space="preserve">From T-12
</t>
        </r>
        <r>
          <rPr>
            <sz val="11"/>
            <color rgb="FF000000"/>
            <rFont val="Arial"/>
            <family val="2"/>
          </rPr>
          <t xml:space="preserve">Concessions: 17426.50
</t>
        </r>
        <r>
          <rPr>
            <sz val="11"/>
            <color rgb="FF000000"/>
            <rFont val="Arial"/>
            <family val="2"/>
          </rPr>
          <t xml:space="preserve">LTL:+856.42
</t>
        </r>
        <r>
          <rPr>
            <sz val="11"/>
            <color rgb="FF000000"/>
            <rFont val="Arial"/>
            <family val="2"/>
          </rPr>
          <t xml:space="preserve">Bad Debt:16661.19
</t>
        </r>
        <r>
          <rPr>
            <sz val="11"/>
            <color rgb="FF000000"/>
            <rFont val="Arial"/>
            <family val="2"/>
          </rPr>
          <t>======</t>
        </r>
      </text>
    </comment>
    <comment ref="AT17" authorId="0" shapeId="0" xr:uid="{00000000-0006-0000-0900-000009000000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U17" authorId="0" shapeId="0" xr:uid="{00000000-0006-0000-0900-00000A000000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V17" authorId="0" shapeId="0" xr:uid="{00000000-0006-0000-0900-00000B000000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  <comment ref="AW17" authorId="0" shapeId="0" xr:uid="{00000000-0006-0000-0900-00000C000000}">
      <text>
        <r>
          <rPr>
            <sz val="11"/>
            <color rgb="FF000000"/>
            <rFont val="Arial"/>
            <family val="2"/>
            <scheme val="minor"/>
          </rPr>
          <t>From T-12
Concessions: 17426.50
LTL:+856.42
Bad Debt:16661.19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 Sanchez</author>
  </authors>
  <commentList>
    <comment ref="K13" authorId="0" shapeId="0" xr:uid="{D141E9E9-9B42-6B40-A07B-0DD50A44062B}">
      <text>
        <r>
          <rPr>
            <b/>
            <sz val="10"/>
            <color rgb="FF000000"/>
            <rFont val="Tahoma"/>
            <family val="2"/>
          </rPr>
          <t xml:space="preserve">Additional fees paid to keep Optivo's PMS platform online during the transition.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- PM change. property setup charges. 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 Sanchez</author>
  </authors>
  <commentList>
    <comment ref="B69" authorId="0" shapeId="0" xr:uid="{88764BEC-CD2B-1C40-8760-D8F3BC1401D2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Backflow inspection</t>
        </r>
      </text>
    </comment>
    <comment ref="I70" authorId="0" shapeId="0" xr:uid="{54D16F66-ABDC-0644-96A6-BB7EA2BFCC9A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$1400 charged to payment processing fees. I believe this should have been under payroll. 
</t>
        </r>
      </text>
    </comment>
    <comment ref="H72" authorId="0" shapeId="0" xr:uid="{28864DE7-8DFD-BE4D-99B4-A39245BE0C97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$439 First Coast Apartments Association annual Membership</t>
        </r>
      </text>
    </comment>
    <comment ref="B74" authorId="0" shapeId="0" xr:uid="{3C9B27DF-FB01-944D-9B4D-7E3968E61B49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Optivo was coding evictions under this GL. </t>
        </r>
      </text>
    </comment>
    <comment ref="I79" authorId="0" shapeId="0" xr:uid="{239E85F0-23E4-614A-A1D1-E3D0108161BF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 time recruiting fee. 
</t>
        </r>
      </text>
    </comment>
    <comment ref="M79" authorId="0" shapeId="0" xr:uid="{387BF02C-D559-D342-95A7-28EAED1B234C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AssureHire Access cost. Appears to be annual.</t>
        </r>
      </text>
    </comment>
    <comment ref="H80" authorId="0" shapeId="0" xr:uid="{18783426-4D15-9F4A-9896-CD7AFA026C8E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2 evictions Writ of posession.</t>
        </r>
      </text>
    </comment>
    <comment ref="I80" authorId="0" shapeId="0" xr:uid="{F08DDBDB-011E-424A-B281-5F6C7D92998D}">
      <text>
        <r>
          <rPr>
            <b/>
            <sz val="10"/>
            <color rgb="FF000000"/>
            <rFont val="Tahoma"/>
            <family val="2"/>
          </rPr>
          <t xml:space="preserve">Claudio Sanchez
</t>
        </r>
        <r>
          <rPr>
            <b/>
            <sz val="10"/>
            <color rgb="FF000000"/>
            <rFont val="Tahoma"/>
            <family val="2"/>
          </rPr>
          <t xml:space="preserve">(2) Evictions </t>
        </r>
      </text>
    </comment>
    <comment ref="J80" authorId="0" shapeId="0" xr:uid="{93AC914D-E87D-5B44-A3C1-AE7A59399602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 Evictions filed. </t>
        </r>
      </text>
    </comment>
    <comment ref="L80" authorId="0" shapeId="0" xr:uid="{DC23CF95-CBE6-8E48-B698-2B0C7A3C9CC2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(1) Writ of possession</t>
        </r>
      </text>
    </comment>
    <comment ref="G81" authorId="0" shapeId="0" xr:uid="{A9AD4120-8654-5446-899C-5A4D646155BF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Payment to Vinnie for Tax prep paid directly via credit card to B.PAtel CPA</t>
        </r>
      </text>
    </comment>
    <comment ref="B82" authorId="0" shapeId="0" xr:uid="{DC672931-CF43-AC48-9CED-DC8FDA655118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6,500 Cost Seggretation Study
</t>
        </r>
        <r>
          <rPr>
            <sz val="10"/>
            <color rgb="FF000000"/>
            <rFont val="Tahoma"/>
            <family val="2"/>
          </rPr>
          <t xml:space="preserve">7,500 AFI Early termination fee
</t>
        </r>
        <r>
          <rPr>
            <sz val="10"/>
            <color rgb="FF000000"/>
            <rFont val="Tahoma"/>
            <family val="2"/>
          </rPr>
          <t xml:space="preserve">$300 - TItle Search for land in the back.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All are one time fees.
</t>
        </r>
        <r>
          <rPr>
            <sz val="10"/>
            <color rgb="FF000000"/>
            <rFont val="Tahoma"/>
            <family val="2"/>
          </rPr>
          <t xml:space="preserve">  </t>
        </r>
      </text>
    </comment>
    <comment ref="G82" authorId="0" shapeId="0" xr:uid="{9E6D9C7F-4B5A-BB45-821B-4636E36D8D31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Tax prep by </t>
        </r>
        <r>
          <rPr>
            <i/>
            <sz val="10"/>
            <color rgb="FF000000"/>
            <rFont val="Arial"/>
            <family val="2"/>
          </rPr>
          <t>Bhavesh B. Patel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$1,400 &amp; $4,100
</t>
        </r>
        <r>
          <rPr>
            <sz val="10"/>
            <color rgb="FF000000"/>
            <rFont val="Tahoma"/>
            <family val="2"/>
          </rPr>
          <t xml:space="preserve">Likely a mistake in bookkeeping.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Check with vinnie on the 5,633.42 reimbursement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C84" authorId="0" shapeId="0" xr:uid="{9E4FFB7F-FEB0-7141-845E-6E54D6AEC158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National Apartment Association 
Click and Lease Membership</t>
        </r>
      </text>
    </comment>
    <comment ref="F84" authorId="0" shapeId="0" xr:uid="{4BCD35FD-F0B8-6245-993C-54358FFBD07B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Pool permit. Likely annual</t>
        </r>
      </text>
    </comment>
    <comment ref="I86" authorId="0" shapeId="0" xr:uid="{AE14B9C1-D0C1-4A4D-B09B-45AAA1026B57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$2,108.35 CashFLow Portal
</t>
        </r>
        <r>
          <rPr>
            <sz val="10"/>
            <color rgb="FF000000"/>
            <rFont val="Tahoma"/>
            <family val="2"/>
          </rPr>
          <t xml:space="preserve"> (2) Months of ATRIUM PMS charges.</t>
        </r>
      </text>
    </comment>
    <comment ref="L87" authorId="0" shapeId="0" xr:uid="{FB5E9DB0-8D83-CE4C-8BE1-192680002545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Service was canceled, and an early cancelation fee was charged. </t>
        </r>
      </text>
    </comment>
    <comment ref="I88" authorId="0" shapeId="0" xr:uid="{0511AA3B-FA16-5046-892B-73EBC58D01D6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One time fee. Does not repeat in 2026.</t>
        </r>
      </text>
    </comment>
    <comment ref="E91" authorId="0" shapeId="0" xr:uid="{38FF3EF7-02C3-5643-8B01-DE84A065B2BF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THese charges should not occur. Optivo was likely charging us WAY TOO MUCH. </t>
        </r>
      </text>
    </comment>
    <comment ref="M91" authorId="0" shapeId="0" xr:uid="{DA26165C-BA0C-514E-B8E3-C685C8336927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$100 charge for 10 screenings. 
Need to check with Atrium if the 100 charge is monthly or when the 10 screenings are executed</t>
        </r>
      </text>
    </comment>
    <comment ref="I93" authorId="0" shapeId="0" xr:uid="{10F51BE4-822F-FF45-A2D7-B79709B5FD1E}">
      <text>
        <r>
          <rPr>
            <b/>
            <sz val="10"/>
            <color rgb="FF000000"/>
            <rFont val="Tahoma"/>
            <family val="2"/>
          </rPr>
          <t xml:space="preserve">Additional fees paid to keep Optivo's PMS platform online during the transition. 
</t>
        </r>
        <r>
          <rPr>
            <b/>
            <sz val="10"/>
            <color rgb="FF000000"/>
            <rFont val="Tahoma"/>
            <family val="2"/>
          </rPr>
          <t xml:space="preserve">- PM change. property setup charges. 
</t>
        </r>
      </text>
    </comment>
    <comment ref="M129" authorId="0" shapeId="0" xr:uid="{F28420C7-87F3-3A47-AC53-31F35E755A75}">
      <text>
        <r>
          <rPr>
            <b/>
            <sz val="10"/>
            <color rgb="FF000000"/>
            <rFont val="Tahoma"/>
            <family val="2"/>
          </rPr>
          <t>Claudio Sanchez: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88 Fire </t>
        </r>
        <r>
          <rPr>
            <sz val="10"/>
            <color rgb="FF000000"/>
            <rFont val="Arial"/>
            <family val="2"/>
            <scheme val="minor"/>
          </rPr>
          <t>extinguishers were inspecterf, and 15</t>
        </r>
        <r>
          <rPr>
            <sz val="10"/>
            <color rgb="FF000000"/>
            <rFont val="Arial"/>
            <family val="2"/>
            <scheme val="minor"/>
          </rPr>
          <t xml:space="preserve"> refilled. 
In additiona, City of JAX has to also inspect the units, at a cost of 1.80 per unit.</t>
        </r>
        <r>
          <rPr>
            <sz val="10"/>
            <color rgb="FF000000"/>
            <rFont val="Tahoma"/>
            <family val="2"/>
          </rPr>
          <t xml:space="preserve">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Claudio Sanchez</author>
  </authors>
  <commentList>
    <comment ref="J10" authorId="0" shapeId="0" xr:uid="{C4A706AF-F746-264B-9E74-570300904C29}">
      <text>
        <r>
          <rPr>
            <b/>
            <sz val="10"/>
            <color rgb="FF000000"/>
            <rFont val="Tahoma"/>
            <family val="2"/>
          </rPr>
          <t xml:space="preserve">Additional fees paid to keep Optivo's PMS platform online during the transition.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- PM change. property setup charges. 
</t>
        </r>
      </text>
    </comment>
    <comment ref="J22" authorId="0" shapeId="0" xr:uid="{FEF0B316-C1FB-444B-8F87-6F7BA0F284EC}">
      <text>
        <r>
          <rPr>
            <b/>
            <sz val="10"/>
            <color rgb="FF000000"/>
            <rFont val="Tahoma"/>
            <family val="2"/>
          </rPr>
          <t xml:space="preserve">Additional fees paid to keep Optivo's PMS platform online during the transition. 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- PM change. property setup charges. 
</t>
        </r>
      </text>
    </comment>
  </commentList>
</comments>
</file>

<file path=xl/sharedStrings.xml><?xml version="1.0" encoding="utf-8"?>
<sst xmlns="http://schemas.openxmlformats.org/spreadsheetml/2006/main" count="2787" uniqueCount="1015">
  <si>
    <t>Account Number</t>
  </si>
  <si>
    <t>Account Name</t>
  </si>
  <si>
    <t>Apr 2025</t>
  </si>
  <si>
    <t>May 2025</t>
  </si>
  <si>
    <t>Jun 2025</t>
  </si>
  <si>
    <t>Total</t>
  </si>
  <si>
    <t>Avg units</t>
  </si>
  <si>
    <t>Avg Rent</t>
  </si>
  <si>
    <t>3110</t>
  </si>
  <si>
    <t>Rent</t>
  </si>
  <si>
    <t>3115</t>
  </si>
  <si>
    <t>Late fee</t>
  </si>
  <si>
    <t>3124</t>
  </si>
  <si>
    <t>Bad Debt Offset</t>
  </si>
  <si>
    <t>3130</t>
  </si>
  <si>
    <t>Application Process</t>
  </si>
  <si>
    <t>3443</t>
  </si>
  <si>
    <t xml:space="preserve">Pest Control </t>
  </si>
  <si>
    <t>3712</t>
  </si>
  <si>
    <t>Utility pass thru</t>
  </si>
  <si>
    <t>3719</t>
  </si>
  <si>
    <t>Utility pass thru Trash</t>
  </si>
  <si>
    <t xml:space="preserve">    Total Operating Income</t>
  </si>
  <si>
    <t xml:space="preserve">    Expense</t>
  </si>
  <si>
    <t>Maintenance Subtotal</t>
  </si>
  <si>
    <t>4416</t>
  </si>
  <si>
    <t xml:space="preserve">    Cleaning Supplies</t>
  </si>
  <si>
    <t>4433</t>
  </si>
  <si>
    <t xml:space="preserve">    Pest Control</t>
  </si>
  <si>
    <t>4455</t>
  </si>
  <si>
    <t xml:space="preserve">    Equipment Rep &amp; Maint.</t>
  </si>
  <si>
    <t>4541</t>
  </si>
  <si>
    <t xml:space="preserve">    Turnover - Paint Labor</t>
  </si>
  <si>
    <t>Total Maintenance Subtotal</t>
  </si>
  <si>
    <t>Utilities Subtotal</t>
  </si>
  <si>
    <t>4549</t>
  </si>
  <si>
    <t xml:space="preserve">    Turnover - Utility</t>
  </si>
  <si>
    <t>4580</t>
  </si>
  <si>
    <t xml:space="preserve">    Electricity</t>
  </si>
  <si>
    <t>4606</t>
  </si>
  <si>
    <t xml:space="preserve">    Exp Reim - Cellphone</t>
  </si>
  <si>
    <t>4610</t>
  </si>
  <si>
    <t xml:space="preserve">    Water &amp; Sewer</t>
  </si>
  <si>
    <t>4620</t>
  </si>
  <si>
    <t xml:space="preserve">    Trash</t>
  </si>
  <si>
    <t>4691</t>
  </si>
  <si>
    <t xml:space="preserve">    High Speed Internet Service</t>
  </si>
  <si>
    <t>4692</t>
  </si>
  <si>
    <t xml:space="preserve">    Telephone, Regular Service</t>
  </si>
  <si>
    <t>Utilities</t>
  </si>
  <si>
    <t>Asset Management Subtotal</t>
  </si>
  <si>
    <t>4632</t>
  </si>
  <si>
    <t xml:space="preserve">    Offsite Services Fee</t>
  </si>
  <si>
    <t>Total Property Management Subtotal</t>
  </si>
  <si>
    <t>Advertising Subtotal</t>
  </si>
  <si>
    <t>4604</t>
  </si>
  <si>
    <t xml:space="preserve">    Exp Reim - Online Advertising</t>
  </si>
  <si>
    <t>4647</t>
  </si>
  <si>
    <t xml:space="preserve">    Print Advertising</t>
  </si>
  <si>
    <t>4649</t>
  </si>
  <si>
    <t xml:space="preserve">    Advertising Signs/Banners</t>
  </si>
  <si>
    <t>Total Advertising Subtotal</t>
  </si>
  <si>
    <t>Taxes &amp; Licensing Subtotal</t>
  </si>
  <si>
    <t>4638</t>
  </si>
  <si>
    <t xml:space="preserve">    Annual Inspection - Fire</t>
  </si>
  <si>
    <t>4640</t>
  </si>
  <si>
    <t xml:space="preserve">    Taxes &amp; Licenses</t>
  </si>
  <si>
    <t>4670</t>
  </si>
  <si>
    <t xml:space="preserve">    Property Tax</t>
  </si>
  <si>
    <t>Total Taxes &amp; Licensing Subtotal</t>
  </si>
  <si>
    <t>Security Subtotal</t>
  </si>
  <si>
    <t>4676</t>
  </si>
  <si>
    <t xml:space="preserve">    Security/Courtesy Officer</t>
  </si>
  <si>
    <t>4677</t>
  </si>
  <si>
    <t xml:space="preserve">    Monitored Security/Fire Alarm</t>
  </si>
  <si>
    <t>Total Security Subtotal</t>
  </si>
  <si>
    <t>Office Admin Subtotal</t>
  </si>
  <si>
    <t>4600</t>
  </si>
  <si>
    <t xml:space="preserve">    Exp Reim - LISA</t>
  </si>
  <si>
    <t>4602</t>
  </si>
  <si>
    <t xml:space="preserve">    Exp Reim - Crd Crim Tenant Screening</t>
  </si>
  <si>
    <t>4605</t>
  </si>
  <si>
    <t xml:space="preserve">    Exp Reim - Postage &amp; Shipping</t>
  </si>
  <si>
    <t>4609</t>
  </si>
  <si>
    <t xml:space="preserve">    Exp Reim - Mgmt Software</t>
  </si>
  <si>
    <t>4612</t>
  </si>
  <si>
    <t xml:space="preserve">    Exp Reim - Premium Leads</t>
  </si>
  <si>
    <t>4613</t>
  </si>
  <si>
    <t xml:space="preserve">    Exp Reim - After Hours Answering Serv</t>
  </si>
  <si>
    <t>4631</t>
  </si>
  <si>
    <t xml:space="preserve">    Eviction Fees</t>
  </si>
  <si>
    <t>4657</t>
  </si>
  <si>
    <t xml:space="preserve">    Recruitment Expense</t>
  </si>
  <si>
    <t>4665</t>
  </si>
  <si>
    <t xml:space="preserve">    Bank Fees</t>
  </si>
  <si>
    <t>4672</t>
  </si>
  <si>
    <t xml:space="preserve">    Exp Reim - E Check Processing</t>
  </si>
  <si>
    <t>4681</t>
  </si>
  <si>
    <t xml:space="preserve">    Training/Certification</t>
  </si>
  <si>
    <t>4684</t>
  </si>
  <si>
    <t xml:space="preserve">    Software Subscription</t>
  </si>
  <si>
    <t>4685</t>
  </si>
  <si>
    <t xml:space="preserve">    Office Supplies</t>
  </si>
  <si>
    <t>4686</t>
  </si>
  <si>
    <t xml:space="preserve">    Postage &amp; Shipping</t>
  </si>
  <si>
    <t>4689</t>
  </si>
  <si>
    <t xml:space="preserve">    Legal and Professional</t>
  </si>
  <si>
    <t>4708</t>
  </si>
  <si>
    <t xml:space="preserve">    Accounting Expense</t>
  </si>
  <si>
    <t>Total Office Admin Subtotal</t>
  </si>
  <si>
    <t>Insurance Subtotal</t>
  </si>
  <si>
    <t>4700</t>
  </si>
  <si>
    <t>Property Insurance</t>
  </si>
  <si>
    <t>Total Insurance Subtotal</t>
  </si>
  <si>
    <t>Salaries and Related Subtotal</t>
  </si>
  <si>
    <t>4807</t>
  </si>
  <si>
    <t xml:space="preserve">    Traveling Property Operations Salary</t>
  </si>
  <si>
    <t>4810</t>
  </si>
  <si>
    <t xml:space="preserve">    Manager, salary</t>
  </si>
  <si>
    <t>4815</t>
  </si>
  <si>
    <t xml:space="preserve">    Leasing and Renewal Bonus</t>
  </si>
  <si>
    <t>4820</t>
  </si>
  <si>
    <t xml:space="preserve">    Maintenance, salary</t>
  </si>
  <si>
    <t>4850</t>
  </si>
  <si>
    <t xml:space="preserve">    Payroll Taxes</t>
  </si>
  <si>
    <t>4851</t>
  </si>
  <si>
    <t xml:space="preserve">    Payroll Processing Fees</t>
  </si>
  <si>
    <t>4861</t>
  </si>
  <si>
    <t xml:space="preserve">    401k, Co. Contrb</t>
  </si>
  <si>
    <t>4862</t>
  </si>
  <si>
    <t xml:space="preserve">    Work Comp Insurance</t>
  </si>
  <si>
    <t>Total Salaries and Related Subtotal</t>
  </si>
  <si>
    <t xml:space="preserve">    Total Operating Expense</t>
  </si>
  <si>
    <t xml:space="preserve">    NOI - Net Operating Income</t>
  </si>
  <si>
    <t>Other Income &amp; Expense</t>
  </si>
  <si>
    <t xml:space="preserve">    Other Expense</t>
  </si>
  <si>
    <t>4710</t>
  </si>
  <si>
    <t>1st Mortgage, interest</t>
  </si>
  <si>
    <t>FAS CAPEX Subtotal</t>
  </si>
  <si>
    <t>4212</t>
  </si>
  <si>
    <t xml:space="preserve">    FAS Capex-Electrical</t>
  </si>
  <si>
    <t>4216</t>
  </si>
  <si>
    <t xml:space="preserve">    FAS Capex-Entry Door - Exterior</t>
  </si>
  <si>
    <t>4228</t>
  </si>
  <si>
    <t xml:space="preserve">    FAS Capex-Insulation</t>
  </si>
  <si>
    <t>4236</t>
  </si>
  <si>
    <t xml:space="preserve">    FAS Capex-Painting - Exterior</t>
  </si>
  <si>
    <t>4242</t>
  </si>
  <si>
    <t xml:space="preserve">    FAS Capex-Plumbing/Boilers</t>
  </si>
  <si>
    <t>4248</t>
  </si>
  <si>
    <t xml:space="preserve">    FAS Capex-Security Cameras/WiFi</t>
  </si>
  <si>
    <t>4262</t>
  </si>
  <si>
    <t xml:space="preserve">    FAS Capex-Unit Interiors - Vacant</t>
  </si>
  <si>
    <t>4266</t>
  </si>
  <si>
    <t xml:space="preserve">    FAS Capex-Windows</t>
  </si>
  <si>
    <t>Total FAS CAPEX Subtotal</t>
  </si>
  <si>
    <t>Improvement Subtotal</t>
  </si>
  <si>
    <t>4368</t>
  </si>
  <si>
    <t xml:space="preserve">    IMP - Leasing Office Remodel</t>
  </si>
  <si>
    <t>4373</t>
  </si>
  <si>
    <t xml:space="preserve">    IMP - Sidewalk/Concrete</t>
  </si>
  <si>
    <t>4374</t>
  </si>
  <si>
    <t xml:space="preserve">    IMP - Exterior Paint/Repair</t>
  </si>
  <si>
    <t>4375</t>
  </si>
  <si>
    <t xml:space="preserve">    IMP - Interior Upgrades - Vacant</t>
  </si>
  <si>
    <t>4386</t>
  </si>
  <si>
    <t xml:space="preserve">    IMP - Landscaping/Common Areas</t>
  </si>
  <si>
    <t>4387</t>
  </si>
  <si>
    <t xml:space="preserve">    IMP - Security Camera System</t>
  </si>
  <si>
    <t>4388</t>
  </si>
  <si>
    <t xml:space="preserve">    IMP - Exterior Signage</t>
  </si>
  <si>
    <t>4389</t>
  </si>
  <si>
    <t xml:space="preserve">    IMP - Plumbing</t>
  </si>
  <si>
    <t>4390</t>
  </si>
  <si>
    <t xml:space="preserve">    IMP - Electrical Upgrades</t>
  </si>
  <si>
    <t>4399</t>
  </si>
  <si>
    <t xml:space="preserve">    IMP - Project Supervisor</t>
  </si>
  <si>
    <t>4417</t>
  </si>
  <si>
    <t xml:space="preserve">    IMP - Appliance - Replace</t>
  </si>
  <si>
    <t>Total Improvement Subtotal</t>
  </si>
  <si>
    <t xml:space="preserve">    Total Other Expense</t>
  </si>
  <si>
    <t xml:space="preserve">    Net Income</t>
  </si>
  <si>
    <t>Cash On Hand</t>
  </si>
  <si>
    <t>Cash at Chase</t>
  </si>
  <si>
    <t>Units</t>
  </si>
  <si>
    <t>Oasis at San Marco</t>
  </si>
  <si>
    <t>Per unit</t>
  </si>
  <si>
    <t>Total Rental Income</t>
  </si>
  <si>
    <t>Total Other Income</t>
  </si>
  <si>
    <t>Total Operating Income</t>
  </si>
  <si>
    <t>Expense</t>
  </si>
  <si>
    <t>Management Fees</t>
  </si>
  <si>
    <t>Total Admin Expenses</t>
  </si>
  <si>
    <t>Total Turn Costs</t>
  </si>
  <si>
    <t>Advertising</t>
  </si>
  <si>
    <t>Total Advertising</t>
  </si>
  <si>
    <t>Total Repairs and Maintenance</t>
  </si>
  <si>
    <t>Contract Services</t>
  </si>
  <si>
    <t>Total Contract Services</t>
  </si>
  <si>
    <t>Total Utilities</t>
  </si>
  <si>
    <t>Total Taxes and Insurance</t>
  </si>
  <si>
    <t>Payroll</t>
  </si>
  <si>
    <t>Total Payroll Expenses</t>
  </si>
  <si>
    <t>Total Operating Expense</t>
  </si>
  <si>
    <t>Net Operating Income</t>
  </si>
  <si>
    <t>Max LTV</t>
  </si>
  <si>
    <t>Interest rate</t>
  </si>
  <si>
    <t>Cap rate</t>
  </si>
  <si>
    <t>Appraised Value</t>
  </si>
  <si>
    <t>NOI</t>
  </si>
  <si>
    <t>Existing loan payoff</t>
  </si>
  <si>
    <t>4800 Atlantic Blvd, Jacksonville, FL 32207</t>
  </si>
  <si>
    <t>Unit Type</t>
  </si>
  <si>
    <t>Type</t>
  </si>
  <si>
    <t>Advertised Rent</t>
  </si>
  <si>
    <t>Sqft</t>
  </si>
  <si>
    <t>2/1.5 Classic</t>
  </si>
  <si>
    <t>Vacant-Rented</t>
  </si>
  <si>
    <t>Vacant-Unrented</t>
  </si>
  <si>
    <t>1/1 Classic</t>
  </si>
  <si>
    <t>Current</t>
  </si>
  <si>
    <t>2/1.5 Signature</t>
  </si>
  <si>
    <t>Evict</t>
  </si>
  <si>
    <t>2/1 Classic</t>
  </si>
  <si>
    <t>Gross Potential Rent</t>
  </si>
  <si>
    <t>Loss/Gain to Market</t>
  </si>
  <si>
    <t>Concessions</t>
  </si>
  <si>
    <t>Concessions - Recurring</t>
  </si>
  <si>
    <t>Concessions - Employee Unit</t>
  </si>
  <si>
    <t>Vacancy</t>
  </si>
  <si>
    <t>Bad Debt - Contra</t>
  </si>
  <si>
    <t>Month</t>
  </si>
  <si>
    <t>127 Unit Multifamily</t>
  </si>
  <si>
    <t>Now</t>
  </si>
  <si>
    <t>PSF</t>
  </si>
  <si>
    <t>INCOME</t>
  </si>
  <si>
    <t>Utility Reimbursements</t>
  </si>
  <si>
    <t>Trash Fee</t>
  </si>
  <si>
    <t>Pet Monthly Fee</t>
  </si>
  <si>
    <t>Pest Control Fee</t>
  </si>
  <si>
    <t>Laundry Income</t>
  </si>
  <si>
    <t>App/Late/Admin Fee</t>
  </si>
  <si>
    <t>Less Market Vacancy @</t>
  </si>
  <si>
    <t>Effective Gross Inc.</t>
  </si>
  <si>
    <t>EXPENSES</t>
  </si>
  <si>
    <t>Insurance</t>
  </si>
  <si>
    <t>R&amp;M + Contract Services</t>
  </si>
  <si>
    <t>Water &amp; Sewer</t>
  </si>
  <si>
    <t>Electric</t>
  </si>
  <si>
    <t>Electric - Common</t>
  </si>
  <si>
    <t>Garbage &amp; Recycling</t>
  </si>
  <si>
    <t>Gas</t>
  </si>
  <si>
    <t>Admin + Advertising</t>
  </si>
  <si>
    <t>Management</t>
  </si>
  <si>
    <t>RE Assessment</t>
  </si>
  <si>
    <t>TOTAL OPERATING EXP.</t>
  </si>
  <si>
    <t>RE Tax</t>
  </si>
  <si>
    <t>Assessment</t>
  </si>
  <si>
    <t>RE TAXES (In-Place 160,038)</t>
  </si>
  <si>
    <t>Mill rate @</t>
  </si>
  <si>
    <t>Replacement Reserves</t>
  </si>
  <si>
    <t>TOTAL EXPENSES</t>
  </si>
  <si>
    <t>NET OPERATING INCOME</t>
  </si>
  <si>
    <t>Value</t>
  </si>
  <si>
    <t>Cap Rate</t>
  </si>
  <si>
    <t>Max Perm Debt</t>
  </si>
  <si>
    <t>Loan to Value</t>
  </si>
  <si>
    <t>Debt Service Coverage Ratio</t>
  </si>
  <si>
    <t>Amount</t>
  </si>
  <si>
    <t>Rate</t>
  </si>
  <si>
    <t>Amortization</t>
  </si>
  <si>
    <t>IO Monthly pymt</t>
  </si>
  <si>
    <t>Monthly pymt</t>
  </si>
  <si>
    <t>Annual</t>
  </si>
  <si>
    <t>DSCR</t>
  </si>
  <si>
    <t>Unit</t>
  </si>
  <si>
    <t>Repair and Maintenance</t>
  </si>
  <si>
    <t>Income Statement - 12 Month</t>
  </si>
  <si>
    <t>Turn Over</t>
  </si>
  <si>
    <t>Exported On: 12/10/2025 03:27 PM</t>
  </si>
  <si>
    <t xml:space="preserve">    Gas &amp; Electric</t>
  </si>
  <si>
    <t>Atrium Management Company</t>
  </si>
  <si>
    <t xml:space="preserve">    Trash Removal</t>
  </si>
  <si>
    <t>Properties: Oasis at San Marco - 4800 Atlantic Blvd Jacksonville, FL 32207</t>
  </si>
  <si>
    <t xml:space="preserve">    Water and Sewer</t>
  </si>
  <si>
    <t>Fund Type: All</t>
  </si>
  <si>
    <t>General/Admin</t>
  </si>
  <si>
    <t>Period Range: Dec 2024 to Nov 2025 (Trailing 12 Months)</t>
  </si>
  <si>
    <t>Accounting Basis: Accrual</t>
  </si>
  <si>
    <t>RE Taxes</t>
  </si>
  <si>
    <t>GL Account Map: None - use master chart of accounts</t>
  </si>
  <si>
    <t>Legal</t>
  </si>
  <si>
    <t>Level of Detail: Detail View</t>
  </si>
  <si>
    <t>Include Zero Balance GL Accounts: No</t>
  </si>
  <si>
    <t>PM Fees</t>
  </si>
  <si>
    <t>Deposit to Replacement Reserves</t>
  </si>
  <si>
    <t>T-3</t>
  </si>
  <si>
    <t>Category</t>
  </si>
  <si>
    <t>Subcategory</t>
  </si>
  <si>
    <t>Total T12 operating expenses</t>
  </si>
  <si>
    <t>Rental Income</t>
  </si>
  <si>
    <t>Other Income</t>
  </si>
  <si>
    <t>Lease Lock</t>
  </si>
  <si>
    <t>NSF Fees Collected</t>
  </si>
  <si>
    <t>Late Fee</t>
  </si>
  <si>
    <t>Utility Income</t>
  </si>
  <si>
    <t>Electricity Income</t>
  </si>
  <si>
    <t>Resident Liability &amp; Contents Coverage</t>
  </si>
  <si>
    <t>1st month - Resident Liability &amp; Contents Coverage</t>
  </si>
  <si>
    <t>AppFolio Insurance Admin Fee</t>
  </si>
  <si>
    <t>Pet Fee - Non Refundable</t>
  </si>
  <si>
    <t>Bad Debt Recovery</t>
  </si>
  <si>
    <t>Pet Application Fee</t>
  </si>
  <si>
    <t>Monthly Pet Rent</t>
  </si>
  <si>
    <t>Admin Fee</t>
  </si>
  <si>
    <t>Early Lease Termination Fee</t>
  </si>
  <si>
    <t>Application Fee Income</t>
  </si>
  <si>
    <t>Extended Month to Month Fee</t>
  </si>
  <si>
    <t>Move Out Charges</t>
  </si>
  <si>
    <t>Move In Charges - Misc</t>
  </si>
  <si>
    <t>Resident Transfer fee</t>
  </si>
  <si>
    <t>Miscellaneous Income</t>
  </si>
  <si>
    <t>Misc Reimbursements</t>
  </si>
  <si>
    <t>Damages</t>
  </si>
  <si>
    <t>Amenity Fee</t>
  </si>
  <si>
    <t>Maintenance Fee</t>
  </si>
  <si>
    <t>Waiver Deposit Fee</t>
  </si>
  <si>
    <t>PM Service Fee</t>
  </si>
  <si>
    <t>Utility - OW Service Fee</t>
  </si>
  <si>
    <t>Interest on Bank Accounts</t>
  </si>
  <si>
    <t>Bad Debt - Contra Other Income</t>
  </si>
  <si>
    <t>Management Fee Expenses</t>
  </si>
  <si>
    <t>Lease Renewal Fee</t>
  </si>
  <si>
    <t>Management Fee - Multifamily</t>
  </si>
  <si>
    <t>Total Management Fee Expenses</t>
  </si>
  <si>
    <t>Admin Expenses</t>
  </si>
  <si>
    <t>Property Inspections</t>
  </si>
  <si>
    <t>Payment Processing Fees</t>
  </si>
  <si>
    <t>Telephone Expense</t>
  </si>
  <si>
    <t>Memberships/Professional Organizations</t>
  </si>
  <si>
    <t>Uniforms</t>
  </si>
  <si>
    <t>Legal Fees - Retail</t>
  </si>
  <si>
    <t>Office Rent</t>
  </si>
  <si>
    <t>Office Supplies</t>
  </si>
  <si>
    <t>Marketing - Entertainment</t>
  </si>
  <si>
    <t>Bank Fees</t>
  </si>
  <si>
    <t>Office Miscellaneous Expenses</t>
  </si>
  <si>
    <t>Legal Expenses</t>
  </si>
  <si>
    <t>Accounting Expenses</t>
  </si>
  <si>
    <t>Other Professional Fees</t>
  </si>
  <si>
    <t>Postage and Shipping Expenses</t>
  </si>
  <si>
    <t>License and Permits</t>
  </si>
  <si>
    <t>Education and Training</t>
  </si>
  <si>
    <t>Computer Software</t>
  </si>
  <si>
    <t>After Hours Cell Phone</t>
  </si>
  <si>
    <t>Property Setup Fee</t>
  </si>
  <si>
    <t>Online Bill Pay</t>
  </si>
  <si>
    <t>Recruiting Expense</t>
  </si>
  <si>
    <t>Verifast</t>
  </si>
  <si>
    <t>Staff-Meals/Entertainment</t>
  </si>
  <si>
    <t>Turn Costs</t>
  </si>
  <si>
    <t>Carpet/ Floor Replacement - Turns</t>
  </si>
  <si>
    <t>Painting Turn</t>
  </si>
  <si>
    <t>Cleaning/Janitorial Turn</t>
  </si>
  <si>
    <t>Key/Lock Turn</t>
  </si>
  <si>
    <t>Carpet/Tile Cleaning - Turns</t>
  </si>
  <si>
    <t>Turn Repairs R&amp;M</t>
  </si>
  <si>
    <t>Tub/Shower Resurfacing - Turns</t>
  </si>
  <si>
    <t>Advertising - General</t>
  </si>
  <si>
    <t>Website</t>
  </si>
  <si>
    <t>Resident Referral Fees</t>
  </si>
  <si>
    <t>Marketing / Promotions</t>
  </si>
  <si>
    <t>Resident Refreshments and Events</t>
  </si>
  <si>
    <t>Model Expense</t>
  </si>
  <si>
    <t>Apartments.com</t>
  </si>
  <si>
    <t>Zillow</t>
  </si>
  <si>
    <t>Repairs and Maintenance</t>
  </si>
  <si>
    <t>HVAC (Heat, Ventilation, Air) R&amp;M</t>
  </si>
  <si>
    <t>Plumbing R&amp;M</t>
  </si>
  <si>
    <t>Electrical R&amp;M</t>
  </si>
  <si>
    <t>Roof R&amp;M</t>
  </si>
  <si>
    <t>Supplies R&amp;M</t>
  </si>
  <si>
    <t>Window and Screen R&amp;M</t>
  </si>
  <si>
    <t>Repair R&amp;M</t>
  </si>
  <si>
    <t>Equipment/Tools R&amp;M</t>
  </si>
  <si>
    <t>Maintenance Services Request</t>
  </si>
  <si>
    <t>Trash Cleanup</t>
  </si>
  <si>
    <t>Trash</t>
  </si>
  <si>
    <t>Bulk Trash Pickup</t>
  </si>
  <si>
    <t>Vehicle Maint &amp; Fuel</t>
  </si>
  <si>
    <t>Pool R&amp;M</t>
  </si>
  <si>
    <t>Security/Fire Alarm R&amp;M</t>
  </si>
  <si>
    <t>Lift Station R&amp;M</t>
  </si>
  <si>
    <t>Handy Trac Monthly Service</t>
  </si>
  <si>
    <t>Security/Fire Alarm Contract</t>
  </si>
  <si>
    <t>Garbage/Recycling Expense</t>
  </si>
  <si>
    <t>Landscaping Contract</t>
  </si>
  <si>
    <t>Television and Internet Contract</t>
  </si>
  <si>
    <t>Pest Control Contract</t>
  </si>
  <si>
    <t>Pool Service Contract</t>
  </si>
  <si>
    <t>Electricity Expense</t>
  </si>
  <si>
    <t>Gas &amp; Electric</t>
  </si>
  <si>
    <t>Gas Expense</t>
  </si>
  <si>
    <t>Water Expense</t>
  </si>
  <si>
    <t>Sewer Expense</t>
  </si>
  <si>
    <t>Electricity Expense - House</t>
  </si>
  <si>
    <t>Electricity Expense - Unit</t>
  </si>
  <si>
    <t>Water Expense - House</t>
  </si>
  <si>
    <t>Taxes and Insurance</t>
  </si>
  <si>
    <t>Insurance - Property</t>
  </si>
  <si>
    <t>Property (Real Estate) Tax</t>
  </si>
  <si>
    <t>Taxes</t>
  </si>
  <si>
    <t>Payroll Expenses</t>
  </si>
  <si>
    <t>Cell Phone Reimbursement</t>
  </si>
  <si>
    <t>Wages</t>
  </si>
  <si>
    <t>Social Security</t>
  </si>
  <si>
    <t>Medicare</t>
  </si>
  <si>
    <t>FUTA</t>
  </si>
  <si>
    <t>SUI</t>
  </si>
  <si>
    <t>Workers Comp</t>
  </si>
  <si>
    <t>Paylocity Fee</t>
  </si>
  <si>
    <t>Health Insurance</t>
  </si>
  <si>
    <t>Bonuses</t>
  </si>
  <si>
    <t>ER Paid Life Insurance</t>
  </si>
  <si>
    <t>ER Paid STD Insurance</t>
  </si>
  <si>
    <t>Commissions Expense</t>
  </si>
  <si>
    <t>Monthly Payroll Expense</t>
  </si>
  <si>
    <t>NOI - Net Operating Income</t>
  </si>
  <si>
    <t>Interest Income</t>
  </si>
  <si>
    <t>Other Expense</t>
  </si>
  <si>
    <t>Mortgage Interest Expense</t>
  </si>
  <si>
    <t>Mortgage Fees</t>
  </si>
  <si>
    <t>OWNER/ASSET LEVEL EXPENSE</t>
  </si>
  <si>
    <t>Meals/Entertainment</t>
  </si>
  <si>
    <t>Total OWNER/ASSET LEVEL EXPENSE</t>
  </si>
  <si>
    <t>CAPITAL EXPENDITURES</t>
  </si>
  <si>
    <t>Reno - Bldg Improv Interior</t>
  </si>
  <si>
    <t>Reno - Bldg Improv Exterior</t>
  </si>
  <si>
    <t>Reno Interiors - Appliances</t>
  </si>
  <si>
    <t>Reno Interiors - Flooring</t>
  </si>
  <si>
    <t>Reno Interiors - Painting</t>
  </si>
  <si>
    <t>Reno Interiors - Electrical</t>
  </si>
  <si>
    <t>Reno Interiors - Supplies/Chad Pack</t>
  </si>
  <si>
    <t>Reno - Misc</t>
  </si>
  <si>
    <t>Reno Common Area - Pool Area Repairs</t>
  </si>
  <si>
    <t>Reno Common Area - Pool Area Enhancements</t>
  </si>
  <si>
    <t>RENO COMMON AREA - SECURITY/CAMERAS/FOBS/OT</t>
  </si>
  <si>
    <t>Major Roof Repair Expense</t>
  </si>
  <si>
    <t>Flooring Replacement Expense</t>
  </si>
  <si>
    <t>HVAC Replacement Expense</t>
  </si>
  <si>
    <t>Renovation Expense</t>
  </si>
  <si>
    <t>Plumbing Fixtures Replacement Expense</t>
  </si>
  <si>
    <t>Water Heater Replacement Expense</t>
  </si>
  <si>
    <t>Tub/Shower Resurfacing - Capital Expenses</t>
  </si>
  <si>
    <t>Major Window and Glass Expense</t>
  </si>
  <si>
    <t>Major Interior Bldg Expense</t>
  </si>
  <si>
    <t>Interior Unit Repairs - Major</t>
  </si>
  <si>
    <t>Total CAPITAL EXPENDITURES</t>
  </si>
  <si>
    <t>Total Other Expense</t>
  </si>
  <si>
    <t>Net Other Income</t>
  </si>
  <si>
    <t>Total Income</t>
  </si>
  <si>
    <t>Total Expense</t>
  </si>
  <si>
    <t>Net Income</t>
  </si>
  <si>
    <t>Source</t>
  </si>
  <si>
    <t>T-12</t>
  </si>
  <si>
    <t>Sept-25</t>
  </si>
  <si>
    <t>DEC</t>
  </si>
  <si>
    <t>JAN</t>
  </si>
  <si>
    <t>FEB</t>
  </si>
  <si>
    <t>MAR</t>
  </si>
  <si>
    <t>APR</t>
  </si>
  <si>
    <t>MAY</t>
  </si>
  <si>
    <t>Year 3</t>
  </si>
  <si>
    <t>Year 4</t>
  </si>
  <si>
    <t>Year 5</t>
  </si>
  <si>
    <t>Financial Assumptions</t>
  </si>
  <si>
    <t>Annual Rent Escalator</t>
  </si>
  <si>
    <t>Annual Expense Escalator</t>
  </si>
  <si>
    <t>Refinance - Agency</t>
  </si>
  <si>
    <t>Sale</t>
  </si>
  <si>
    <t>Average In-Place Rent</t>
  </si>
  <si>
    <t>Exit Cap Rate</t>
  </si>
  <si>
    <t>GPR</t>
  </si>
  <si>
    <t>Gross Potential Rent (GPR)</t>
  </si>
  <si>
    <t>Insurance/Tax/Lender Escrows</t>
  </si>
  <si>
    <t xml:space="preserve">  - Vacancy</t>
  </si>
  <si>
    <t>Operating Reserves Remaining</t>
  </si>
  <si>
    <t xml:space="preserve">  - Concessions, Loss to Lease, Bad Debt</t>
  </si>
  <si>
    <t>Sales Price</t>
  </si>
  <si>
    <t xml:space="preserve">        Consessions</t>
  </si>
  <si>
    <t xml:space="preserve">        Loss To Lease</t>
  </si>
  <si>
    <t xml:space="preserve">        Bad Debt</t>
  </si>
  <si>
    <t>Gross Potential Income (GPI)</t>
  </si>
  <si>
    <t>Sales Cost at 4%</t>
  </si>
  <si>
    <t>Outstanding Loan Balance</t>
  </si>
  <si>
    <t>Effective Gross Income</t>
  </si>
  <si>
    <t>Total Equity Outstanding</t>
  </si>
  <si>
    <t>T-12 Expenses</t>
  </si>
  <si>
    <t>New Debt Service</t>
  </si>
  <si>
    <t>Amortized Per Annum</t>
  </si>
  <si>
    <t>Monthly Debt Service</t>
  </si>
  <si>
    <t>Interest Only</t>
  </si>
  <si>
    <t>Monthly I/O</t>
  </si>
  <si>
    <t>Year</t>
  </si>
  <si>
    <t>Return of Capital</t>
  </si>
  <si>
    <t>Pref. Returns</t>
  </si>
  <si>
    <t>Cash Flow</t>
  </si>
  <si>
    <t>Effective LTV</t>
  </si>
  <si>
    <t>Souces and Uses</t>
  </si>
  <si>
    <t>Source(s)</t>
  </si>
  <si>
    <t>Total Expenses</t>
  </si>
  <si>
    <t>Debt Service</t>
  </si>
  <si>
    <t>Uses</t>
  </si>
  <si>
    <t>Existing Loan Payoff</t>
  </si>
  <si>
    <t>Total Debt Service</t>
  </si>
  <si>
    <t>Cash Flow available for Distribution</t>
  </si>
  <si>
    <t>Distributions from Cash Flow</t>
  </si>
  <si>
    <t>Asset Management Fee @ 2%</t>
  </si>
  <si>
    <t>Members Preferred Return Due</t>
  </si>
  <si>
    <t>Members Preferred Return Deficiency</t>
  </si>
  <si>
    <t>Return of Capital to Members</t>
  </si>
  <si>
    <t>Members Prefered Return Paid</t>
  </si>
  <si>
    <t>Short term Pref/Mezz Debt</t>
  </si>
  <si>
    <t>Sources</t>
  </si>
  <si>
    <t>Loan</t>
  </si>
  <si>
    <t>Origination @ 2.5%</t>
  </si>
  <si>
    <t>Legal and Closing @ 1%</t>
  </si>
  <si>
    <t>Current Interest Rate</t>
  </si>
  <si>
    <t>Defferred Interest Rate</t>
  </si>
  <si>
    <t>Rent Comps - Dec 30, 2025</t>
  </si>
  <si>
    <t>Unit Mix</t>
  </si>
  <si>
    <t>Current Rent</t>
  </si>
  <si>
    <t>1Bd/1bth - Classic</t>
  </si>
  <si>
    <t>2bd/1bth - Classic</t>
  </si>
  <si>
    <t>2bd/1.5bth - Classic</t>
  </si>
  <si>
    <t>2bd/1.5bth - Signature</t>
  </si>
  <si>
    <t>3bd/2bth</t>
  </si>
  <si>
    <t># Units</t>
  </si>
  <si>
    <t>Avg Sq Ft</t>
  </si>
  <si>
    <t>Average</t>
  </si>
  <si>
    <t>Vintage</t>
  </si>
  <si>
    <t>Property Name</t>
  </si>
  <si>
    <t>Rating</t>
  </si>
  <si>
    <t>Price/Sqft</t>
  </si>
  <si>
    <t>The Landings at San Marco</t>
  </si>
  <si>
    <t>Prospect Heights</t>
  </si>
  <si>
    <t>Park Place Apts</t>
  </si>
  <si>
    <t>Marco Meadows</t>
  </si>
  <si>
    <t>Total / Average</t>
  </si>
  <si>
    <t>Manchester Apartments</t>
  </si>
  <si>
    <t>2026 Proforma</t>
  </si>
  <si>
    <t>Advertised Rents</t>
  </si>
  <si>
    <t>2026 Market Rents</t>
  </si>
  <si>
    <t>Advertised Rents - Dec 2025</t>
  </si>
  <si>
    <t>Target Rent - Y5</t>
  </si>
  <si>
    <t>$/SqFt</t>
  </si>
  <si>
    <t>Oasis at San Marco, Advertised 2026 Rent Strategy</t>
  </si>
  <si>
    <t>Q1</t>
  </si>
  <si>
    <t>Q2</t>
  </si>
  <si>
    <t>Q3</t>
  </si>
  <si>
    <t>Q4</t>
  </si>
  <si>
    <t>2026 MARKET</t>
  </si>
  <si>
    <t>Psf</t>
  </si>
  <si>
    <t>Advt. Rent</t>
  </si>
  <si>
    <t>Increase</t>
  </si>
  <si>
    <t>Target</t>
  </si>
  <si>
    <t>Q1 Rent</t>
  </si>
  <si>
    <t>Q2 Rent</t>
  </si>
  <si>
    <t>Q3 Rent</t>
  </si>
  <si>
    <t>Q4 Rent</t>
  </si>
  <si>
    <t>2026 Market</t>
  </si>
  <si>
    <t>2027 Market</t>
  </si>
  <si>
    <t>2028 Market</t>
  </si>
  <si>
    <t>Rent Comps - Jan 12, 2025</t>
  </si>
  <si>
    <t>Row Labels</t>
  </si>
  <si>
    <t>Grand Total</t>
  </si>
  <si>
    <t>Sum of Rent</t>
  </si>
  <si>
    <t>Count of Unit</t>
  </si>
  <si>
    <t>T-1</t>
  </si>
  <si>
    <t>TOTAL</t>
  </si>
  <si>
    <t>Vacant Units</t>
  </si>
  <si>
    <t>TOTAL (%)</t>
  </si>
  <si>
    <t>$ -</t>
  </si>
  <si>
    <t>2026 T-1 Expenses Baseline</t>
  </si>
  <si>
    <t>Rationale</t>
  </si>
  <si>
    <t>Expense analysis and projection for 2026 Budget</t>
  </si>
  <si>
    <t>More in-line with last 6 mo pattern</t>
  </si>
  <si>
    <t>Less turn over as we are estabilized</t>
  </si>
  <si>
    <t xml:space="preserve">Diff (%) </t>
  </si>
  <si>
    <t>Diff ($)</t>
  </si>
  <si>
    <t>T-6</t>
  </si>
  <si>
    <t>T-1 NOV</t>
  </si>
  <si>
    <t xml:space="preserve"> </t>
  </si>
  <si>
    <t>Members Prefered Return Deffered</t>
  </si>
  <si>
    <t>Capex Expenses</t>
  </si>
  <si>
    <t>IRR</t>
  </si>
  <si>
    <t>Interest Only Period</t>
  </si>
  <si>
    <t>Mezz/HML</t>
  </si>
  <si>
    <t>Total Sources</t>
  </si>
  <si>
    <t>Total Uses</t>
  </si>
  <si>
    <t>B. Cash out (in)</t>
  </si>
  <si>
    <t xml:space="preserve">D. Existing GP Loans </t>
  </si>
  <si>
    <t>E. Accrued AM Fees</t>
  </si>
  <si>
    <t>F. LP's Unpaid pref (Class A at 10%)</t>
  </si>
  <si>
    <t>G. Operating Reserves</t>
  </si>
  <si>
    <t>Senior Loan Principal</t>
  </si>
  <si>
    <t>Senior Loan Interest</t>
  </si>
  <si>
    <t>Short term Mezz Debt Interest</t>
  </si>
  <si>
    <t xml:space="preserve">Annual Current Interest </t>
  </si>
  <si>
    <t>Annual Deferred Interest</t>
  </si>
  <si>
    <t>Senior Loan Proceeds</t>
  </si>
  <si>
    <t>Total Charges</t>
  </si>
  <si>
    <t>Pref/Mezz Principal Payoff</t>
  </si>
  <si>
    <t>Return of Member Capital</t>
  </si>
  <si>
    <t>Defferred Interest Pref/Mezz Payoff</t>
  </si>
  <si>
    <t>K. Capex</t>
  </si>
  <si>
    <t>Cash On Cash</t>
  </si>
  <si>
    <t>Capital Invested</t>
  </si>
  <si>
    <t>Limited Partner Returns</t>
  </si>
  <si>
    <t>Sale Proceeds</t>
  </si>
  <si>
    <t>Equity Multiple</t>
  </si>
  <si>
    <t>ARR</t>
  </si>
  <si>
    <t>LP Metrics</t>
  </si>
  <si>
    <t>3/2 Classic</t>
  </si>
  <si>
    <t xml:space="preserve">T-12 </t>
  </si>
  <si>
    <t>2026 Atrium Budget</t>
  </si>
  <si>
    <t>2026 Ownership budget</t>
  </si>
  <si>
    <t>Reviewed and Final</t>
  </si>
  <si>
    <t>Yes, by Claudio Sanchez</t>
  </si>
  <si>
    <t>We took the budget from Atrium.</t>
  </si>
  <si>
    <t>Ownership's discretion based on T-12 after takeover</t>
  </si>
  <si>
    <t>Ownership's discretion. A list of supplies needed was not identified</t>
  </si>
  <si>
    <t>We don't have vehicles to maintain</t>
  </si>
  <si>
    <t>Ownership's discretion base on T-12 after takeover</t>
  </si>
  <si>
    <t xml:space="preserve">N/A </t>
  </si>
  <si>
    <t>Optivo's made up charges to have their staff clean up dumpster area</t>
  </si>
  <si>
    <t xml:space="preserve">Legal is covered inside of Admin Expenses Already. </t>
  </si>
  <si>
    <t>ATRIUM vs Ownership version of the budget</t>
  </si>
  <si>
    <t>We need review this ENTIRE CATEGORY W/ ATRIUM</t>
  </si>
  <si>
    <t>Units Economically occupied</t>
  </si>
  <si>
    <t>New Leases with consessions (75% off 1st Month)</t>
  </si>
  <si>
    <t>This category is no longer used; amounts are classified as electricity in house and unit.</t>
  </si>
  <si>
    <t>T-6 Based due to inconsistency with OPTIVO data.</t>
  </si>
  <si>
    <t>Per PMA - 250/m per employee</t>
  </si>
  <si>
    <t>Need an explanation for this additional fee on top of the payroll processing cost.</t>
  </si>
  <si>
    <t>Excess Cash Flow</t>
  </si>
  <si>
    <t>Optivo's T-12 includes lots of irregular payments. They were always late paying bills</t>
  </si>
  <si>
    <t>Debt Yield</t>
  </si>
  <si>
    <t>Q4 2025</t>
  </si>
  <si>
    <t>#</t>
  </si>
  <si>
    <t>Debt Sizing Tool</t>
  </si>
  <si>
    <t>Bonus Structure for New Leases/Renewals</t>
  </si>
  <si>
    <t>Q1 Bonus</t>
  </si>
  <si>
    <t>B1111</t>
  </si>
  <si>
    <t>Bonus Max</t>
  </si>
  <si>
    <t>Achieved Rent</t>
  </si>
  <si>
    <t>Factor</t>
  </si>
  <si>
    <t>Min</t>
  </si>
  <si>
    <t>Max</t>
  </si>
  <si>
    <t>Bonus</t>
  </si>
  <si>
    <t>RENEWAL SIMULATOR</t>
  </si>
  <si>
    <t>Bonus Achieved</t>
  </si>
  <si>
    <t>Factor Achieved</t>
  </si>
  <si>
    <t>Tenant Increase</t>
  </si>
  <si>
    <t>Q2 Bonus</t>
  </si>
  <si>
    <t xml:space="preserve">BONUS </t>
  </si>
  <si>
    <t>Quarter</t>
  </si>
  <si>
    <t>Quarter Bonus Max</t>
  </si>
  <si>
    <t>Prior Rent</t>
  </si>
  <si>
    <t>New Rent</t>
  </si>
  <si>
    <t>Lease Trade Out ($)</t>
  </si>
  <si>
    <t>Lease Trade Out (%)</t>
  </si>
  <si>
    <t>EXAMPLE REPORT TO BE PROVIDED BY PM TO CALCULATE PAYOUT</t>
  </si>
  <si>
    <t>General / Admin</t>
  </si>
  <si>
    <t>Insurance + RE Taxes</t>
  </si>
  <si>
    <t>0</t>
  </si>
  <si>
    <t xml:space="preserve">No longer used. </t>
  </si>
  <si>
    <t>Bonuses need to be tied up to Goals. REVIEW BONUS Worksheet.</t>
  </si>
  <si>
    <t>Need to see line item charges in invoice, as opposed to blended fee</t>
  </si>
  <si>
    <t>6800-08 - Atrium's budget. Is 1380 for the entire year. Please provide details</t>
  </si>
  <si>
    <t>Will reduce Apts.com in Q4</t>
  </si>
  <si>
    <t>Elimited one-time expenses in T-12, left with only Apts.com and Zillow.com</t>
  </si>
  <si>
    <t>Eviction Units</t>
  </si>
  <si>
    <t>Sum of Recurring Charges</t>
  </si>
  <si>
    <t>Starting Avg. Market Rent</t>
  </si>
  <si>
    <t>Total Income/Month</t>
  </si>
  <si>
    <t>2027 MARKET RENT</t>
  </si>
  <si>
    <t>2028 MARKET RENT</t>
  </si>
  <si>
    <t>Asset Management Fee (2%)</t>
  </si>
  <si>
    <t>Dec 2025</t>
  </si>
  <si>
    <t>December</t>
  </si>
  <si>
    <t>Replace Reserve Deposits</t>
  </si>
  <si>
    <t>Residual Cash After LP Capital + Pref</t>
  </si>
  <si>
    <t>Distributed to Members (70%)</t>
  </si>
  <si>
    <t>Distributed to Manager (30%)</t>
  </si>
  <si>
    <t>Year 6</t>
  </si>
  <si>
    <t>Year 7</t>
  </si>
  <si>
    <t>Min DSCR</t>
  </si>
  <si>
    <t>Refi proceeds</t>
  </si>
  <si>
    <t>In-Place Rent</t>
  </si>
  <si>
    <t>SALE</t>
  </si>
  <si>
    <t>From Sales Proceeds</t>
  </si>
  <si>
    <t>Contributions</t>
  </si>
  <si>
    <t>Spread</t>
  </si>
  <si>
    <t>REFINANCE</t>
  </si>
  <si>
    <t>Expenses (MAY-JUL '26)</t>
  </si>
  <si>
    <t>Income (MAY-JUL '26)</t>
  </si>
  <si>
    <t>Initial Replacement Reserves</t>
  </si>
  <si>
    <t>Closing costs @ 1.5%</t>
  </si>
  <si>
    <t>Closing Charges</t>
  </si>
  <si>
    <t>T-5 Treasury</t>
  </si>
  <si>
    <t>EXIT at Year 7</t>
  </si>
  <si>
    <t>Exit Fee @ 2%of Sales price</t>
  </si>
  <si>
    <t>Net Proceeds to be distributed</t>
  </si>
  <si>
    <t>Net Proceeds paid to Members (70%)</t>
  </si>
  <si>
    <t>Net Proceeds paid to Manager (30%)</t>
  </si>
  <si>
    <t>Preferred returns</t>
  </si>
  <si>
    <t>From Cash Flow</t>
  </si>
  <si>
    <t>Total Distributions</t>
  </si>
  <si>
    <t>Income analysis and projection for 2026 Budget</t>
  </si>
  <si>
    <t>Expense to Income</t>
  </si>
  <si>
    <t>Valuation at 6.5% Cap rate</t>
  </si>
  <si>
    <t xml:space="preserve">Impact to Valuation </t>
  </si>
  <si>
    <t>Average EGI per Unit (Annual)</t>
  </si>
  <si>
    <t>Other Income Per Unit (Annual)</t>
  </si>
  <si>
    <t>Other Income Per Unit (in relation to EGI)</t>
  </si>
  <si>
    <t>Vacancy (Annualized)</t>
  </si>
  <si>
    <t>Income to Expense Ratio</t>
  </si>
  <si>
    <t>Expense to Income Ratio</t>
  </si>
  <si>
    <t>Agency Debt Modeling</t>
  </si>
  <si>
    <t xml:space="preserve">HUD 223(f) </t>
  </si>
  <si>
    <t>Interest Rate</t>
  </si>
  <si>
    <t>HUD Note Rate</t>
  </si>
  <si>
    <t>Amortization (Years)</t>
  </si>
  <si>
    <t>HUD Min DSCR</t>
  </si>
  <si>
    <t>HUD Max LTV</t>
  </si>
  <si>
    <t>RR $/Unit/Yr (PCA placeholder)</t>
  </si>
  <si>
    <t> Initial RR Deposit (Months)</t>
  </si>
  <si>
    <t>HUD Financing Costs % (all-in)</t>
  </si>
  <si>
    <t>HUD Refi Proceeds</t>
  </si>
  <si>
    <t>Hud Financing Costs</t>
  </si>
  <si>
    <t>initial replacement reserves deposit</t>
  </si>
  <si>
    <t>Cash Out</t>
  </si>
  <si>
    <t>Amourt Months</t>
  </si>
  <si>
    <t xml:space="preserve">Atrium's income projections are equivalent to the asset being in the mid 80% ecc. Occupancy. </t>
  </si>
  <si>
    <t xml:space="preserve">Atrium other income has a larger portion of Late fee, early termination fees </t>
  </si>
  <si>
    <t>JUL 25 - JUL 26</t>
  </si>
  <si>
    <t>AUG 25- AUG 26</t>
  </si>
  <si>
    <t>SEPT 25 - SEPT 26</t>
  </si>
  <si>
    <t>OCT - OCT</t>
  </si>
  <si>
    <t>NOV-NOV</t>
  </si>
  <si>
    <t>DEC-DEC</t>
  </si>
  <si>
    <t>Jun 2025 -  MAy 2026</t>
  </si>
  <si>
    <t>In-place Average Rent</t>
  </si>
  <si>
    <t>Tenant</t>
  </si>
  <si>
    <t>Status</t>
  </si>
  <si>
    <t>Market Rent</t>
  </si>
  <si>
    <t>Recurring Charges</t>
  </si>
  <si>
    <t>Lease From</t>
  </si>
  <si>
    <t>Lease To</t>
  </si>
  <si>
    <t>Move-in</t>
  </si>
  <si>
    <t>Move-out</t>
  </si>
  <si>
    <t>Past Due</t>
  </si>
  <si>
    <t>A106</t>
  </si>
  <si>
    <t>A107</t>
  </si>
  <si>
    <t>B137</t>
  </si>
  <si>
    <t>G138</t>
  </si>
  <si>
    <t>G240</t>
  </si>
  <si>
    <t>3 Bed 2 Bath</t>
  </si>
  <si>
    <t>I253</t>
  </si>
  <si>
    <t>I255</t>
  </si>
  <si>
    <t>Maria E. Henderson</t>
  </si>
  <si>
    <t>B132</t>
  </si>
  <si>
    <t>Vivian Jenkins</t>
  </si>
  <si>
    <t>B236</t>
  </si>
  <si>
    <t>Persharon Jennings</t>
  </si>
  <si>
    <t>B136</t>
  </si>
  <si>
    <t>Arlene Marcellus-Summers</t>
  </si>
  <si>
    <t>Notice-Rented</t>
  </si>
  <si>
    <t>F213</t>
  </si>
  <si>
    <t>Doris Blake</t>
  </si>
  <si>
    <t>F113</t>
  </si>
  <si>
    <t>Lisa Colon</t>
  </si>
  <si>
    <t>B134</t>
  </si>
  <si>
    <t>Myia M. Natson-Green</t>
  </si>
  <si>
    <t>B232</t>
  </si>
  <si>
    <t>Jemuel A. Derla</t>
  </si>
  <si>
    <t>B234</t>
  </si>
  <si>
    <t>Tavish D. Reynolds</t>
  </si>
  <si>
    <t>F111</t>
  </si>
  <si>
    <t>Asia R. Lincoln</t>
  </si>
  <si>
    <t>F115</t>
  </si>
  <si>
    <t>Donnalyn A. Montgomery</t>
  </si>
  <si>
    <t>I156</t>
  </si>
  <si>
    <t>Carlos A. Garcia</t>
  </si>
  <si>
    <t>I254</t>
  </si>
  <si>
    <t>Adriana Pedroso</t>
  </si>
  <si>
    <t>B233</t>
  </si>
  <si>
    <t>Vanness White</t>
  </si>
  <si>
    <t>B133</t>
  </si>
  <si>
    <t>Allison Jones</t>
  </si>
  <si>
    <t>I258</t>
  </si>
  <si>
    <t>Burton Martinez</t>
  </si>
  <si>
    <t>C131</t>
  </si>
  <si>
    <t>Victoria Acevedo</t>
  </si>
  <si>
    <t>B135</t>
  </si>
  <si>
    <t>Leslie Montalvo</t>
  </si>
  <si>
    <t>B237</t>
  </si>
  <si>
    <t>Juan Esteban</t>
  </si>
  <si>
    <t>C128</t>
  </si>
  <si>
    <t>Jasmine Mixson</t>
  </si>
  <si>
    <t>C129</t>
  </si>
  <si>
    <t>Julio Galindo Hernandez</t>
  </si>
  <si>
    <t>C130</t>
  </si>
  <si>
    <t>Leana  S. Aldama</t>
  </si>
  <si>
    <t>C231</t>
  </si>
  <si>
    <t>Julianna Martinez</t>
  </si>
  <si>
    <t>E119</t>
  </si>
  <si>
    <t>Michael Hays</t>
  </si>
  <si>
    <t>F110</t>
  </si>
  <si>
    <t>Alfredo Raudez Ramos</t>
  </si>
  <si>
    <t>Notice-Unrented</t>
  </si>
  <si>
    <t>F112</t>
  </si>
  <si>
    <t>Frantzso Etienne</t>
  </si>
  <si>
    <t>F114</t>
  </si>
  <si>
    <t>Yerili Rodriguez Chong</t>
  </si>
  <si>
    <t>F210</t>
  </si>
  <si>
    <t>Jose Morles Hernandez</t>
  </si>
  <si>
    <t>F212</t>
  </si>
  <si>
    <t>Shawn Geddes</t>
  </si>
  <si>
    <t>F214</t>
  </si>
  <si>
    <t>Wayne Wicker</t>
  </si>
  <si>
    <t>I158</t>
  </si>
  <si>
    <t>Kassidy King</t>
  </si>
  <si>
    <t>I256</t>
  </si>
  <si>
    <t>Nelson Perdomo Alvarez</t>
  </si>
  <si>
    <t>J246</t>
  </si>
  <si>
    <t>Pashent Robinson</t>
  </si>
  <si>
    <t>J247</t>
  </si>
  <si>
    <t>Shelly Diallo</t>
  </si>
  <si>
    <t>J249</t>
  </si>
  <si>
    <t>Aaliyah K. Myers</t>
  </si>
  <si>
    <t>E118</t>
  </si>
  <si>
    <t>Miguel Munoz Alvarado</t>
  </si>
  <si>
    <t>C228</t>
  </si>
  <si>
    <t>Ability Housing, Inc.</t>
  </si>
  <si>
    <t>C230</t>
  </si>
  <si>
    <t>Yanely Gomez</t>
  </si>
  <si>
    <t>F215</t>
  </si>
  <si>
    <t>Presbyterian Social Ministries</t>
  </si>
  <si>
    <t>D225</t>
  </si>
  <si>
    <t>Omega  A. Johnson</t>
  </si>
  <si>
    <t>J150</t>
  </si>
  <si>
    <t>Lacoria S. Glover</t>
  </si>
  <si>
    <t>D226</t>
  </si>
  <si>
    <t>Lisandro Matos</t>
  </si>
  <si>
    <t>C229</t>
  </si>
  <si>
    <t>Beryl Davis III</t>
  </si>
  <si>
    <t>B235</t>
  </si>
  <si>
    <t>Andre Outlaw</t>
  </si>
  <si>
    <t>A103</t>
  </si>
  <si>
    <t>Nicole J. Rhodes</t>
  </si>
  <si>
    <t>D126</t>
  </si>
  <si>
    <t>SanTonio M. Davis</t>
  </si>
  <si>
    <t>D127</t>
  </si>
  <si>
    <t>Genesis Badnegas</t>
  </si>
  <si>
    <t>E116</t>
  </si>
  <si>
    <t>Nicole  A. Cunningham</t>
  </si>
  <si>
    <t>F211</t>
  </si>
  <si>
    <t>Erick Torres Escalera</t>
  </si>
  <si>
    <t>G143</t>
  </si>
  <si>
    <t>Temeka R. Stanley</t>
  </si>
  <si>
    <t>G145</t>
  </si>
  <si>
    <t>wilfrido sanchez martinez</t>
  </si>
  <si>
    <t>H262</t>
  </si>
  <si>
    <t>Thomas Cortes</t>
  </si>
  <si>
    <t>H263</t>
  </si>
  <si>
    <t>Seifelyazal H. Ali</t>
  </si>
  <si>
    <t>H264</t>
  </si>
  <si>
    <t>Dennis  M. Simanovich</t>
  </si>
  <si>
    <t>I152</t>
  </si>
  <si>
    <t>Daniel P. Ellison</t>
  </si>
  <si>
    <t>E117</t>
  </si>
  <si>
    <t>Carlos Sardinas</t>
  </si>
  <si>
    <t>E217</t>
  </si>
  <si>
    <t>Osmany Rojas</t>
  </si>
  <si>
    <t>E218</t>
  </si>
  <si>
    <t>Myra Castillo</t>
  </si>
  <si>
    <t>J148</t>
  </si>
  <si>
    <t>Silas Gordon</t>
  </si>
  <si>
    <t>J149</t>
  </si>
  <si>
    <t>Luis Romero</t>
  </si>
  <si>
    <t>J151</t>
  </si>
  <si>
    <t>Jorge Escobar</t>
  </si>
  <si>
    <t>J248</t>
  </si>
  <si>
    <t>Shalita Frazier</t>
  </si>
  <si>
    <t>J146</t>
  </si>
  <si>
    <t>DeNaja Banks</t>
  </si>
  <si>
    <t>E219</t>
  </si>
  <si>
    <t>Roalndo Gonzalez</t>
  </si>
  <si>
    <t>G238</t>
  </si>
  <si>
    <t>Pamela Midcap</t>
  </si>
  <si>
    <t>J251</t>
  </si>
  <si>
    <t>Mujtaba Mahamoodzada</t>
  </si>
  <si>
    <t>A108</t>
  </si>
  <si>
    <t>Kaelin C. Pooler</t>
  </si>
  <si>
    <t>I259</t>
  </si>
  <si>
    <t>Elaina L. Fogus</t>
  </si>
  <si>
    <t>D220</t>
  </si>
  <si>
    <t>Patrick Hahn</t>
  </si>
  <si>
    <t>G144</t>
  </si>
  <si>
    <t>Tyrone Liddell</t>
  </si>
  <si>
    <t>A105</t>
  </si>
  <si>
    <t>Kioni D. Campbell</t>
  </si>
  <si>
    <t>A202</t>
  </si>
  <si>
    <t>Catina D. Attaway</t>
  </si>
  <si>
    <t>A206</t>
  </si>
  <si>
    <t>Jorge L. Escalona Salinas</t>
  </si>
  <si>
    <t>A208</t>
  </si>
  <si>
    <t>Tashauna S. Hills</t>
  </si>
  <si>
    <t>D123</t>
  </si>
  <si>
    <t>Angel Jhazzell</t>
  </si>
  <si>
    <t>D124</t>
  </si>
  <si>
    <t>Safiullah Jalali</t>
  </si>
  <si>
    <t>D223</t>
  </si>
  <si>
    <t>Meikaja D. Bass</t>
  </si>
  <si>
    <t>E216</t>
  </si>
  <si>
    <t>Gretell Castro</t>
  </si>
  <si>
    <t>G244</t>
  </si>
  <si>
    <t>Courtney A. Brannen</t>
  </si>
  <si>
    <t>G245</t>
  </si>
  <si>
    <t>Harry J. Black</t>
  </si>
  <si>
    <t>H163</t>
  </si>
  <si>
    <t>Dajanae Brown</t>
  </si>
  <si>
    <t>H260</t>
  </si>
  <si>
    <t>Janell A. Joyce</t>
  </si>
  <si>
    <t>H265</t>
  </si>
  <si>
    <t>Ezekiel  L. Anderson</t>
  </si>
  <si>
    <t>A204</t>
  </si>
  <si>
    <t>Yenisel Fernandez</t>
  </si>
  <si>
    <t>G142</t>
  </si>
  <si>
    <t>Danier Delagado Sanchez</t>
  </si>
  <si>
    <t>D120</t>
  </si>
  <si>
    <t>Najah Mayo</t>
  </si>
  <si>
    <t>I154</t>
  </si>
  <si>
    <t>Cecilio O. Orta-Martinez</t>
  </si>
  <si>
    <t>G241</t>
  </si>
  <si>
    <t>Delia Eslavon</t>
  </si>
  <si>
    <t>A104</t>
  </si>
  <si>
    <t>Yisen Montalvo</t>
  </si>
  <si>
    <t>D222</t>
  </si>
  <si>
    <t>Ameer Hamza</t>
  </si>
  <si>
    <t>H165</t>
  </si>
  <si>
    <t>Deborah L. Anderson</t>
  </si>
  <si>
    <t>A109</t>
  </si>
  <si>
    <t>Adams Ghaji</t>
  </si>
  <si>
    <t>D122</t>
  </si>
  <si>
    <t>Moises Francisco</t>
  </si>
  <si>
    <t>D227</t>
  </si>
  <si>
    <t>Antwanette Johnekins</t>
  </si>
  <si>
    <t>J250</t>
  </si>
  <si>
    <t>Angel Moya</t>
  </si>
  <si>
    <t>G243</t>
  </si>
  <si>
    <t>Tilor Correll</t>
  </si>
  <si>
    <t>G141</t>
  </si>
  <si>
    <t>Phylicia Carter</t>
  </si>
  <si>
    <t>A203</t>
  </si>
  <si>
    <t>Scheila Chagas</t>
  </si>
  <si>
    <t>G139</t>
  </si>
  <si>
    <t>Alexander Lucas Zapata</t>
  </si>
  <si>
    <t>H261</t>
  </si>
  <si>
    <t>Latif Nedimovic</t>
  </si>
  <si>
    <t>I153</t>
  </si>
  <si>
    <t>Jaw  M. Hay</t>
  </si>
  <si>
    <t>I159</t>
  </si>
  <si>
    <t>Tantania Burkett</t>
  </si>
  <si>
    <t>I252</t>
  </si>
  <si>
    <t>Ana Rodriguez De Garcia</t>
  </si>
  <si>
    <t>D221</t>
  </si>
  <si>
    <t>Dinia Banegas</t>
  </si>
  <si>
    <t>D224</t>
  </si>
  <si>
    <t>Jose Ramos</t>
  </si>
  <si>
    <t>H160</t>
  </si>
  <si>
    <t>Billenia Smith</t>
  </si>
  <si>
    <t>H161</t>
  </si>
  <si>
    <t>Yosainer Rodriguez</t>
  </si>
  <si>
    <t>H162</t>
  </si>
  <si>
    <t>Andreina Carmen</t>
  </si>
  <si>
    <t>H164</t>
  </si>
  <si>
    <t>Chanting Jackson</t>
  </si>
  <si>
    <t>J147</t>
  </si>
  <si>
    <t>Robert Stephens</t>
  </si>
  <si>
    <t>D121</t>
  </si>
  <si>
    <t>Justice Williams</t>
  </si>
  <si>
    <t>D125</t>
  </si>
  <si>
    <t>Mary Hale</t>
  </si>
  <si>
    <t>I157</t>
  </si>
  <si>
    <t>Avery Kwame</t>
  </si>
  <si>
    <t>A205</t>
  </si>
  <si>
    <t>Arifa Rezai</t>
  </si>
  <si>
    <t>A207</t>
  </si>
  <si>
    <t>Agneli Herrera Ruz</t>
  </si>
  <si>
    <t>A209</t>
  </si>
  <si>
    <t>Alexi Lopez</t>
  </si>
  <si>
    <t>G140</t>
  </si>
  <si>
    <t>Tarsha Daise</t>
  </si>
  <si>
    <t>G239</t>
  </si>
  <si>
    <t>Joshua Reed-Buck</t>
  </si>
  <si>
    <t>G242</t>
  </si>
  <si>
    <t>Yordan Montesino</t>
  </si>
  <si>
    <t>I257</t>
  </si>
  <si>
    <t>Carlanika T. Brown</t>
  </si>
  <si>
    <t>I155</t>
  </si>
  <si>
    <t>Abdullah Hassan</t>
  </si>
  <si>
    <t>December 2025 Rent Roll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</si>
</sst>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\-#,##0.00"/>
    <numFmt numFmtId="165" formatCode="_(* #,##0_);_(* \(#,##0\);_(* &quot;-&quot;??_);_(@_)"/>
    <numFmt numFmtId="166" formatCode="#,##0;[Red]\-#,##0"/>
    <numFmt numFmtId="167" formatCode="&quot;$&quot;#,##0.00"/>
    <numFmt numFmtId="168" formatCode="&quot;$&quot;#,##0"/>
    <numFmt numFmtId="169" formatCode="mmm\-d"/>
    <numFmt numFmtId="170" formatCode="mm/dd/yyyy"/>
    <numFmt numFmtId="171" formatCode="&quot;$&quot;#,##0.000"/>
    <numFmt numFmtId="172" formatCode="mmmm\ d"/>
    <numFmt numFmtId="173" formatCode="#,##0.0_);\(#,##0.0\)"/>
    <numFmt numFmtId="174" formatCode="#,##0.000000"/>
    <numFmt numFmtId="175" formatCode="#,##0.0000000"/>
    <numFmt numFmtId="176" formatCode="0.0%"/>
    <numFmt numFmtId="177" formatCode="mmm\ yyyy"/>
    <numFmt numFmtId="178" formatCode="mmmm\ yyyy"/>
    <numFmt numFmtId="179" formatCode="_(&quot;$&quot;* #,##0_);_(&quot;$&quot;* \(#,##0\);_(&quot;$&quot;* &quot;-&quot;??_);_(@_)"/>
    <numFmt numFmtId="180" formatCode="m/d"/>
    <numFmt numFmtId="181" formatCode="_(* #,##0.000_);_(* \(#,##0.000\);_(* &quot;-&quot;??_);_(@_)"/>
    <numFmt numFmtId="182" formatCode="0.000%"/>
    <numFmt numFmtId="183" formatCode="0.0000%"/>
    <numFmt numFmtId="184" formatCode="0.00000%"/>
    <numFmt numFmtId="185" formatCode="_(&quot;$&quot;* #,##0.0_);_(&quot;$&quot;* \(#,##0.0\);_(&quot;$&quot;* &quot;-&quot;????_);_(@_)"/>
    <numFmt numFmtId="186" formatCode="[$-409]mmm\-yy;@"/>
    <numFmt numFmtId="187" formatCode="yyyy"/>
  </numFmts>
  <fonts count="62">
    <font>
      <sz val="11"/>
      <color rgb="FF000000"/>
      <name val="Arial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rgb="FF303030"/>
      <name val="Arial"/>
      <family val="2"/>
    </font>
    <font>
      <b/>
      <sz val="12"/>
      <color rgb="FF303030"/>
      <name val="Arial"/>
      <family val="2"/>
    </font>
    <font>
      <sz val="12"/>
      <color rgb="FF30303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00FF"/>
      <name val="Arial"/>
      <family val="2"/>
    </font>
    <font>
      <b/>
      <sz val="12"/>
      <color rgb="FF0000FF"/>
      <name val="Arial"/>
      <family val="2"/>
    </font>
    <font>
      <b/>
      <sz val="12"/>
      <color theme="1"/>
      <name val="Arial"/>
      <family val="2"/>
      <scheme val="minor"/>
    </font>
    <font>
      <b/>
      <sz val="18"/>
      <color rgb="FF303030"/>
      <name val="Arial"/>
      <family val="2"/>
    </font>
    <font>
      <b/>
      <sz val="9"/>
      <color theme="1"/>
      <name val="Arial"/>
      <family val="2"/>
    </font>
    <font>
      <sz val="9"/>
      <color rgb="FF303030"/>
      <name val="Arial"/>
      <family val="2"/>
    </font>
    <font>
      <sz val="12"/>
      <color rgb="FFFF0000"/>
      <name val="Arial"/>
      <family val="2"/>
    </font>
    <font>
      <u/>
      <sz val="12"/>
      <color rgb="FF303030"/>
      <name val="Arial"/>
      <family val="2"/>
    </font>
    <font>
      <b/>
      <sz val="12"/>
      <color rgb="FFFF0000"/>
      <name val="Arial"/>
      <family val="2"/>
    </font>
    <font>
      <i/>
      <sz val="11"/>
      <color theme="1"/>
      <name val="Arial"/>
      <family val="2"/>
      <scheme val="minor"/>
    </font>
    <font>
      <i/>
      <sz val="11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rgb="FF0000FF"/>
      <name val="Arial"/>
      <family val="2"/>
      <scheme val="minor"/>
    </font>
    <font>
      <u/>
      <sz val="11"/>
      <color rgb="FF0000FF"/>
      <name val="Arial"/>
      <family val="2"/>
    </font>
    <font>
      <u/>
      <sz val="11"/>
      <color rgb="FF467886"/>
      <name val="&quot;Google Sans&quot;"/>
    </font>
    <font>
      <u/>
      <sz val="11"/>
      <color rgb="FF467886"/>
      <name val="Arial"/>
      <family val="2"/>
    </font>
    <font>
      <sz val="16"/>
      <color theme="1"/>
      <name val="Arial"/>
      <family val="2"/>
      <scheme val="minor"/>
    </font>
    <font>
      <sz val="17"/>
      <color theme="1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ptos Narrow"/>
    </font>
    <font>
      <sz val="10"/>
      <color rgb="FF000000"/>
      <name val="Tahoma"/>
      <family val="2"/>
    </font>
    <font>
      <sz val="12"/>
      <color rgb="FF303030"/>
      <name val="Arial"/>
      <family val="1"/>
    </font>
    <font>
      <b/>
      <sz val="10"/>
      <color rgb="FF000000"/>
      <name val="Tahoma"/>
      <family val="2"/>
    </font>
    <font>
      <b/>
      <sz val="20"/>
      <color theme="1"/>
      <name val="Arial"/>
      <family val="2"/>
    </font>
    <font>
      <b/>
      <sz val="11"/>
      <color theme="2"/>
      <name val="Arial"/>
      <family val="2"/>
    </font>
    <font>
      <sz val="11"/>
      <color theme="2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3"/>
      <color rgb="FF303030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trike/>
      <sz val="12"/>
      <name val="Arial"/>
      <family val="2"/>
    </font>
    <font>
      <sz val="10"/>
      <color theme="1"/>
      <name val="Tahoma"/>
      <family val="2"/>
    </font>
    <font>
      <b/>
      <sz val="13"/>
      <color rgb="FF303030"/>
      <name val="Arial"/>
      <family val="1"/>
    </font>
    <font>
      <b/>
      <sz val="11"/>
      <color theme="2"/>
      <name val="Arial"/>
      <family val="2"/>
      <scheme val="minor"/>
    </font>
    <font>
      <b/>
      <sz val="12"/>
      <color rgb="FF303030"/>
      <name val="Arial"/>
      <family val="1"/>
    </font>
    <font>
      <b/>
      <sz val="18"/>
      <color rgb="FF000000"/>
      <name val="Arial"/>
      <family val="2"/>
      <scheme val="minor"/>
    </font>
    <font>
      <sz val="11"/>
      <color rgb="FFFF0000"/>
      <name val="Arial"/>
      <family val="2"/>
    </font>
    <font>
      <b/>
      <sz val="11"/>
      <color rgb="FFFF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Arial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CC0000"/>
        <bgColor rgb="FFCC0000"/>
      </patternFill>
    </fill>
    <fill>
      <patternFill patternType="solid">
        <fgColor rgb="FFF1C232"/>
        <bgColor rgb="FFF1C232"/>
      </patternFill>
    </fill>
    <fill>
      <patternFill patternType="solid">
        <fgColor rgb="FFECF3F9"/>
        <bgColor rgb="FFECF3F9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B7B7B7"/>
        <bgColor rgb="FFB7B7B7"/>
      </patternFill>
    </fill>
    <fill>
      <patternFill patternType="solid">
        <fgColor rgb="FFE7E6E6"/>
        <bgColor rgb="FFE7E6E6"/>
      </patternFill>
    </fill>
    <fill>
      <patternFill patternType="solid">
        <fgColor rgb="FF666666"/>
        <bgColor rgb="FF666666"/>
      </patternFill>
    </fill>
    <fill>
      <patternFill patternType="solid">
        <fgColor rgb="FFBFBFBF"/>
        <bgColor rgb="FFBFBFBF"/>
      </patternFill>
    </fill>
    <fill>
      <patternFill patternType="solid">
        <fgColor rgb="FFC1F1ED"/>
        <bgColor rgb="FFC1F1ED"/>
      </patternFill>
    </fill>
    <fill>
      <patternFill patternType="solid">
        <fgColor rgb="FF0000FF"/>
        <bgColor rgb="FF00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B7B7B7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CAEDFB"/>
        <bgColor rgb="FFCCCCCC"/>
      </patternFill>
    </fill>
    <fill>
      <patternFill patternType="solid">
        <fgColor rgb="FFC1F0C8"/>
        <bgColor rgb="FFCCCCCC"/>
      </patternFill>
    </fill>
    <fill>
      <patternFill patternType="solid">
        <fgColor rgb="FFFBE2D5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8"/>
        <bgColor theme="9"/>
      </patternFill>
    </fill>
    <fill>
      <patternFill patternType="solid">
        <fgColor theme="7"/>
        <bgColor theme="9"/>
      </patternFill>
    </fill>
    <fill>
      <patternFill patternType="solid">
        <fgColor theme="9"/>
        <bgColor rgb="FFD9D9D9"/>
      </patternFill>
    </fill>
  </fills>
  <borders count="53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ck">
        <color rgb="FF0000F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rgb="FF30303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37" fillId="0" borderId="0" applyFont="0" applyFill="0" applyBorder="0" applyAlignment="0" applyProtection="0"/>
    <xf numFmtId="44" fontId="37" fillId="0" borderId="0" applyFont="0" applyFill="0" applyBorder="0" applyAlignment="0" applyProtection="0"/>
    <xf numFmtId="9" fontId="37" fillId="0" borderId="0" applyFont="0" applyFill="0" applyBorder="0" applyAlignment="0" applyProtection="0"/>
  </cellStyleXfs>
  <cellXfs count="516">
    <xf numFmtId="0" fontId="0" fillId="0" borderId="0" xfId="0"/>
    <xf numFmtId="0" fontId="1" fillId="0" borderId="0" xfId="0" applyFont="1"/>
    <xf numFmtId="165" fontId="1" fillId="0" borderId="0" xfId="0" applyNumberFormat="1" applyFont="1"/>
    <xf numFmtId="43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38" fontId="1" fillId="0" borderId="0" xfId="0" applyNumberFormat="1" applyFont="1"/>
    <xf numFmtId="0" fontId="3" fillId="2" borderId="1" xfId="0" applyFont="1" applyFill="1" applyBorder="1" applyAlignment="1">
      <alignment horizontal="left"/>
    </xf>
    <xf numFmtId="17" fontId="3" fillId="2" borderId="1" xfId="0" applyNumberFormat="1" applyFont="1" applyFill="1" applyBorder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164" fontId="5" fillId="0" borderId="0" xfId="0" applyNumberFormat="1" applyFont="1"/>
    <xf numFmtId="165" fontId="4" fillId="0" borderId="0" xfId="0" applyNumberFormat="1" applyFont="1"/>
    <xf numFmtId="164" fontId="4" fillId="0" borderId="2" xfId="0" applyNumberFormat="1" applyFont="1" applyBorder="1"/>
    <xf numFmtId="166" fontId="4" fillId="0" borderId="0" xfId="0" applyNumberFormat="1" applyFont="1"/>
    <xf numFmtId="165" fontId="5" fillId="0" borderId="0" xfId="0" applyNumberFormat="1" applyFont="1"/>
    <xf numFmtId="165" fontId="5" fillId="0" borderId="2" xfId="0" applyNumberFormat="1" applyFont="1" applyBorder="1"/>
    <xf numFmtId="38" fontId="5" fillId="0" borderId="0" xfId="0" applyNumberFormat="1" applyFont="1"/>
    <xf numFmtId="166" fontId="5" fillId="0" borderId="0" xfId="0" applyNumberFormat="1" applyFont="1"/>
    <xf numFmtId="164" fontId="4" fillId="0" borderId="3" xfId="0" applyNumberFormat="1" applyFont="1" applyBorder="1"/>
    <xf numFmtId="0" fontId="7" fillId="0" borderId="0" xfId="0" applyFont="1"/>
    <xf numFmtId="0" fontId="8" fillId="0" borderId="0" xfId="0" applyFont="1"/>
    <xf numFmtId="0" fontId="10" fillId="0" borderId="0" xfId="0" applyFont="1"/>
    <xf numFmtId="37" fontId="1" fillId="0" borderId="0" xfId="0" applyNumberFormat="1" applyFont="1"/>
    <xf numFmtId="0" fontId="1" fillId="0" borderId="4" xfId="0" applyFont="1" applyBorder="1"/>
    <xf numFmtId="3" fontId="1" fillId="0" borderId="0" xfId="0" applyNumberFormat="1" applyFont="1"/>
    <xf numFmtId="0" fontId="1" fillId="0" borderId="8" xfId="0" applyFont="1" applyBorder="1"/>
    <xf numFmtId="0" fontId="1" fillId="0" borderId="0" xfId="0" applyFont="1" applyAlignment="1">
      <alignment wrapText="1"/>
    </xf>
    <xf numFmtId="10" fontId="1" fillId="0" borderId="0" xfId="0" applyNumberFormat="1" applyFont="1"/>
    <xf numFmtId="168" fontId="7" fillId="0" borderId="0" xfId="0" applyNumberFormat="1" applyFont="1"/>
    <xf numFmtId="167" fontId="7" fillId="0" borderId="0" xfId="0" applyNumberFormat="1" applyFont="1"/>
    <xf numFmtId="0" fontId="12" fillId="0" borderId="0" xfId="0" applyFont="1"/>
    <xf numFmtId="0" fontId="7" fillId="9" borderId="0" xfId="0" applyFont="1" applyFill="1"/>
    <xf numFmtId="168" fontId="1" fillId="0" borderId="0" xfId="0" applyNumberFormat="1" applyFont="1"/>
    <xf numFmtId="9" fontId="1" fillId="0" borderId="0" xfId="0" applyNumberFormat="1" applyFont="1"/>
    <xf numFmtId="3" fontId="1" fillId="0" borderId="8" xfId="0" applyNumberFormat="1" applyFont="1" applyBorder="1"/>
    <xf numFmtId="0" fontId="12" fillId="6" borderId="0" xfId="0" applyFont="1" applyFill="1"/>
    <xf numFmtId="172" fontId="12" fillId="0" borderId="0" xfId="0" applyNumberFormat="1" applyFont="1" applyAlignment="1">
      <alignment horizontal="center"/>
    </xf>
    <xf numFmtId="173" fontId="1" fillId="0" borderId="0" xfId="0" applyNumberFormat="1" applyFont="1"/>
    <xf numFmtId="0" fontId="12" fillId="0" borderId="4" xfId="0" applyFont="1" applyBorder="1"/>
    <xf numFmtId="37" fontId="1" fillId="0" borderId="4" xfId="0" applyNumberFormat="1" applyFont="1" applyBorder="1"/>
    <xf numFmtId="173" fontId="1" fillId="0" borderId="4" xfId="0" applyNumberFormat="1" applyFont="1" applyBorder="1"/>
    <xf numFmtId="0" fontId="13" fillId="0" borderId="4" xfId="0" applyFont="1" applyBorder="1"/>
    <xf numFmtId="37" fontId="12" fillId="0" borderId="4" xfId="0" applyNumberFormat="1" applyFont="1" applyBorder="1" applyAlignment="1">
      <alignment horizontal="center"/>
    </xf>
    <xf numFmtId="173" fontId="12" fillId="0" borderId="4" xfId="0" applyNumberFormat="1" applyFont="1" applyBorder="1" applyAlignment="1">
      <alignment horizontal="center"/>
    </xf>
    <xf numFmtId="37" fontId="1" fillId="3" borderId="4" xfId="0" applyNumberFormat="1" applyFont="1" applyFill="1" applyBorder="1"/>
    <xf numFmtId="37" fontId="13" fillId="3" borderId="4" xfId="0" applyNumberFormat="1" applyFont="1" applyFill="1" applyBorder="1" applyAlignment="1">
      <alignment horizontal="center"/>
    </xf>
    <xf numFmtId="173" fontId="13" fillId="3" borderId="4" xfId="0" applyNumberFormat="1" applyFont="1" applyFill="1" applyBorder="1" applyAlignment="1">
      <alignment horizontal="center"/>
    </xf>
    <xf numFmtId="37" fontId="13" fillId="0" borderId="4" xfId="0" applyNumberFormat="1" applyFont="1" applyBorder="1" applyAlignment="1">
      <alignment horizontal="center"/>
    </xf>
    <xf numFmtId="9" fontId="13" fillId="0" borderId="4" xfId="0" applyNumberFormat="1" applyFont="1" applyBorder="1" applyAlignment="1">
      <alignment horizontal="center"/>
    </xf>
    <xf numFmtId="0" fontId="13" fillId="0" borderId="0" xfId="0" applyFont="1" applyAlignment="1">
      <alignment horizontal="right"/>
    </xf>
    <xf numFmtId="37" fontId="13" fillId="10" borderId="4" xfId="0" applyNumberFormat="1" applyFont="1" applyFill="1" applyBorder="1" applyAlignment="1">
      <alignment horizontal="center"/>
    </xf>
    <xf numFmtId="173" fontId="13" fillId="10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" fillId="3" borderId="0" xfId="0" applyFont="1" applyFill="1"/>
    <xf numFmtId="173" fontId="13" fillId="0" borderId="4" xfId="0" applyNumberFormat="1" applyFont="1" applyBorder="1" applyAlignment="1">
      <alignment horizontal="center"/>
    </xf>
    <xf numFmtId="3" fontId="12" fillId="0" borderId="4" xfId="0" applyNumberFormat="1" applyFont="1" applyBorder="1"/>
    <xf numFmtId="3" fontId="1" fillId="0" borderId="7" xfId="0" applyNumberFormat="1" applyFont="1" applyBorder="1"/>
    <xf numFmtId="3" fontId="1" fillId="0" borderId="9" xfId="0" applyNumberFormat="1" applyFont="1" applyBorder="1"/>
    <xf numFmtId="3" fontId="1" fillId="0" borderId="10" xfId="0" applyNumberFormat="1" applyFont="1" applyBorder="1"/>
    <xf numFmtId="3" fontId="13" fillId="0" borderId="10" xfId="0" applyNumberFormat="1" applyFont="1" applyBorder="1" applyAlignment="1">
      <alignment horizontal="center"/>
    </xf>
    <xf numFmtId="9" fontId="13" fillId="0" borderId="10" xfId="0" applyNumberFormat="1" applyFont="1" applyBorder="1" applyAlignment="1">
      <alignment horizontal="center"/>
    </xf>
    <xf numFmtId="3" fontId="13" fillId="0" borderId="4" xfId="0" applyNumberFormat="1" applyFont="1" applyBorder="1" applyAlignment="1">
      <alignment horizontal="center"/>
    </xf>
    <xf numFmtId="174" fontId="13" fillId="0" borderId="10" xfId="0" applyNumberFormat="1" applyFont="1" applyBorder="1" applyAlignment="1">
      <alignment horizontal="center"/>
    </xf>
    <xf numFmtId="3" fontId="13" fillId="5" borderId="10" xfId="0" applyNumberFormat="1" applyFont="1" applyFill="1" applyBorder="1" applyAlignment="1">
      <alignment horizontal="center"/>
    </xf>
    <xf numFmtId="10" fontId="1" fillId="0" borderId="4" xfId="0" applyNumberFormat="1" applyFont="1" applyBorder="1"/>
    <xf numFmtId="37" fontId="13" fillId="11" borderId="4" xfId="0" applyNumberFormat="1" applyFont="1" applyFill="1" applyBorder="1" applyAlignment="1">
      <alignment horizontal="center"/>
    </xf>
    <xf numFmtId="173" fontId="13" fillId="11" borderId="4" xfId="0" applyNumberFormat="1" applyFont="1" applyFill="1" applyBorder="1" applyAlignment="1">
      <alignment horizontal="center"/>
    </xf>
    <xf numFmtId="9" fontId="1" fillId="0" borderId="4" xfId="0" applyNumberFormat="1" applyFont="1" applyBorder="1"/>
    <xf numFmtId="175" fontId="1" fillId="0" borderId="0" xfId="0" applyNumberFormat="1" applyFont="1"/>
    <xf numFmtId="10" fontId="13" fillId="0" borderId="4" xfId="0" applyNumberFormat="1" applyFont="1" applyBorder="1" applyAlignment="1">
      <alignment horizontal="center"/>
    </xf>
    <xf numFmtId="176" fontId="13" fillId="0" borderId="4" xfId="0" applyNumberFormat="1" applyFont="1" applyBorder="1" applyAlignment="1">
      <alignment horizontal="center"/>
    </xf>
    <xf numFmtId="39" fontId="13" fillId="0" borderId="4" xfId="0" applyNumberFormat="1" applyFont="1" applyBorder="1" applyAlignment="1">
      <alignment horizontal="center"/>
    </xf>
    <xf numFmtId="0" fontId="20" fillId="12" borderId="0" xfId="0" applyFont="1" applyFill="1"/>
    <xf numFmtId="0" fontId="3" fillId="2" borderId="14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0" fontId="23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20" fillId="0" borderId="0" xfId="0" applyFont="1"/>
    <xf numFmtId="0" fontId="2" fillId="0" borderId="4" xfId="0" applyFont="1" applyBorder="1" applyAlignment="1">
      <alignment horizontal="left"/>
    </xf>
    <xf numFmtId="4" fontId="7" fillId="0" borderId="4" xfId="0" applyNumberFormat="1" applyFont="1" applyBorder="1"/>
    <xf numFmtId="0" fontId="2" fillId="5" borderId="4" xfId="0" applyFont="1" applyFill="1" applyBorder="1" applyAlignment="1">
      <alignment horizontal="left"/>
    </xf>
    <xf numFmtId="0" fontId="7" fillId="5" borderId="4" xfId="0" applyFont="1" applyFill="1" applyBorder="1"/>
    <xf numFmtId="4" fontId="7" fillId="5" borderId="4" xfId="0" applyNumberFormat="1" applyFont="1" applyFill="1" applyBorder="1"/>
    <xf numFmtId="0" fontId="7" fillId="0" borderId="4" xfId="0" applyFont="1" applyBorder="1"/>
    <xf numFmtId="177" fontId="3" fillId="2" borderId="14" xfId="0" applyNumberFormat="1" applyFont="1" applyFill="1" applyBorder="1" applyAlignment="1">
      <alignment horizontal="left"/>
    </xf>
    <xf numFmtId="178" fontId="3" fillId="2" borderId="14" xfId="0" applyNumberFormat="1" applyFont="1" applyFill="1" applyBorder="1" applyAlignment="1">
      <alignment horizontal="left"/>
    </xf>
    <xf numFmtId="0" fontId="8" fillId="0" borderId="4" xfId="0" applyFont="1" applyBorder="1"/>
    <xf numFmtId="4" fontId="8" fillId="0" borderId="4" xfId="0" applyNumberFormat="1" applyFont="1" applyBorder="1"/>
    <xf numFmtId="167" fontId="8" fillId="0" borderId="0" xfId="0" applyNumberFormat="1" applyFont="1"/>
    <xf numFmtId="4" fontId="23" fillId="0" borderId="0" xfId="0" applyNumberFormat="1" applyFont="1" applyAlignment="1">
      <alignment horizontal="right"/>
    </xf>
    <xf numFmtId="4" fontId="4" fillId="0" borderId="2" xfId="0" applyNumberFormat="1" applyFont="1" applyBorder="1" applyAlignment="1">
      <alignment horizontal="right"/>
    </xf>
    <xf numFmtId="4" fontId="7" fillId="0" borderId="0" xfId="0" applyNumberFormat="1" applyFont="1"/>
    <xf numFmtId="4" fontId="8" fillId="0" borderId="0" xfId="0" applyNumberFormat="1" applyFont="1"/>
    <xf numFmtId="0" fontId="4" fillId="0" borderId="2" xfId="0" applyFont="1" applyBorder="1" applyAlignment="1">
      <alignment horizontal="right"/>
    </xf>
    <xf numFmtId="0" fontId="24" fillId="0" borderId="0" xfId="0" applyFont="1"/>
    <xf numFmtId="0" fontId="5" fillId="5" borderId="0" xfId="0" applyFont="1" applyFill="1"/>
    <xf numFmtId="0" fontId="5" fillId="5" borderId="0" xfId="0" applyFont="1" applyFill="1" applyAlignment="1">
      <alignment horizontal="right"/>
    </xf>
    <xf numFmtId="4" fontId="7" fillId="5" borderId="0" xfId="0" applyNumberFormat="1" applyFont="1" applyFill="1"/>
    <xf numFmtId="4" fontId="5" fillId="5" borderId="0" xfId="0" applyNumberFormat="1" applyFont="1" applyFill="1" applyAlignment="1">
      <alignment horizontal="right"/>
    </xf>
    <xf numFmtId="4" fontId="25" fillId="0" borderId="2" xfId="0" applyNumberFormat="1" applyFont="1" applyBorder="1" applyAlignment="1">
      <alignment horizontal="right"/>
    </xf>
    <xf numFmtId="0" fontId="26" fillId="13" borderId="0" xfId="0" applyFont="1" applyFill="1"/>
    <xf numFmtId="0" fontId="26" fillId="6" borderId="0" xfId="0" applyFont="1" applyFill="1"/>
    <xf numFmtId="0" fontId="27" fillId="6" borderId="0" xfId="0" applyFont="1" applyFill="1"/>
    <xf numFmtId="0" fontId="2" fillId="14" borderId="0" xfId="0" applyFont="1" applyFill="1"/>
    <xf numFmtId="169" fontId="2" fillId="14" borderId="0" xfId="0" applyNumberFormat="1" applyFont="1" applyFill="1"/>
    <xf numFmtId="10" fontId="1" fillId="0" borderId="0" xfId="0" applyNumberFormat="1" applyFont="1" applyAlignment="1">
      <alignment horizontal="right"/>
    </xf>
    <xf numFmtId="0" fontId="2" fillId="15" borderId="0" xfId="0" applyFont="1" applyFill="1"/>
    <xf numFmtId="0" fontId="1" fillId="15" borderId="0" xfId="0" applyFont="1" applyFill="1"/>
    <xf numFmtId="9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0" fontId="1" fillId="0" borderId="12" xfId="0" applyFont="1" applyBorder="1"/>
    <xf numFmtId="179" fontId="1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168" fontId="1" fillId="0" borderId="8" xfId="0" applyNumberFormat="1" applyFont="1" applyBorder="1" applyAlignment="1">
      <alignment horizontal="right"/>
    </xf>
    <xf numFmtId="179" fontId="1" fillId="0" borderId="8" xfId="0" applyNumberFormat="1" applyFont="1" applyBorder="1"/>
    <xf numFmtId="179" fontId="1" fillId="0" borderId="8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10" fontId="1" fillId="0" borderId="8" xfId="0" applyNumberFormat="1" applyFont="1" applyBorder="1" applyAlignment="1">
      <alignment horizontal="right"/>
    </xf>
    <xf numFmtId="0" fontId="2" fillId="0" borderId="19" xfId="0" applyFont="1" applyBorder="1"/>
    <xf numFmtId="168" fontId="2" fillId="0" borderId="19" xfId="0" applyNumberFormat="1" applyFont="1" applyBorder="1" applyAlignment="1">
      <alignment horizontal="right"/>
    </xf>
    <xf numFmtId="0" fontId="1" fillId="0" borderId="19" xfId="0" applyFont="1" applyBorder="1"/>
    <xf numFmtId="179" fontId="2" fillId="0" borderId="19" xfId="0" applyNumberFormat="1" applyFont="1" applyBorder="1" applyAlignment="1">
      <alignment horizontal="right"/>
    </xf>
    <xf numFmtId="37" fontId="1" fillId="0" borderId="0" xfId="0" applyNumberFormat="1" applyFont="1" applyAlignment="1">
      <alignment horizontal="right"/>
    </xf>
    <xf numFmtId="168" fontId="2" fillId="16" borderId="19" xfId="0" applyNumberFormat="1" applyFont="1" applyFill="1" applyBorder="1" applyAlignment="1">
      <alignment horizontal="right"/>
    </xf>
    <xf numFmtId="4" fontId="1" fillId="4" borderId="4" xfId="0" applyNumberFormat="1" applyFont="1" applyFill="1" applyBorder="1" applyAlignment="1">
      <alignment horizontal="right"/>
    </xf>
    <xf numFmtId="168" fontId="1" fillId="15" borderId="0" xfId="0" applyNumberFormat="1" applyFont="1" applyFill="1" applyAlignment="1">
      <alignment horizontal="right"/>
    </xf>
    <xf numFmtId="0" fontId="2" fillId="17" borderId="0" xfId="0" applyFont="1" applyFill="1"/>
    <xf numFmtId="0" fontId="1" fillId="17" borderId="0" xfId="0" applyFont="1" applyFill="1"/>
    <xf numFmtId="0" fontId="1" fillId="4" borderId="4" xfId="0" applyFont="1" applyFill="1" applyBorder="1" applyAlignment="1">
      <alignment horizontal="right"/>
    </xf>
    <xf numFmtId="4" fontId="1" fillId="4" borderId="4" xfId="0" applyNumberFormat="1" applyFont="1" applyFill="1" applyBorder="1"/>
    <xf numFmtId="0" fontId="2" fillId="17" borderId="16" xfId="0" applyFont="1" applyFill="1" applyBorder="1"/>
    <xf numFmtId="0" fontId="2" fillId="17" borderId="17" xfId="0" applyFont="1" applyFill="1" applyBorder="1"/>
    <xf numFmtId="39" fontId="2" fillId="0" borderId="12" xfId="0" applyNumberFormat="1" applyFont="1" applyBorder="1"/>
    <xf numFmtId="37" fontId="1" fillId="0" borderId="18" xfId="0" applyNumberFormat="1" applyFont="1" applyBorder="1" applyAlignment="1">
      <alignment horizontal="right"/>
    </xf>
    <xf numFmtId="10" fontId="2" fillId="0" borderId="19" xfId="0" applyNumberFormat="1" applyFont="1" applyBorder="1" applyAlignment="1">
      <alignment horizontal="right"/>
    </xf>
    <xf numFmtId="168" fontId="1" fillId="15" borderId="8" xfId="0" applyNumberFormat="1" applyFont="1" applyFill="1" applyBorder="1" applyAlignment="1">
      <alignment horizontal="right"/>
    </xf>
    <xf numFmtId="0" fontId="7" fillId="0" borderId="12" xfId="0" applyFont="1" applyBorder="1"/>
    <xf numFmtId="168" fontId="7" fillId="0" borderId="18" xfId="0" applyNumberFormat="1" applyFont="1" applyBorder="1"/>
    <xf numFmtId="179" fontId="2" fillId="15" borderId="0" xfId="0" applyNumberFormat="1" applyFont="1" applyFill="1" applyAlignment="1">
      <alignment horizontal="right"/>
    </xf>
    <xf numFmtId="39" fontId="1" fillId="0" borderId="12" xfId="0" applyNumberFormat="1" applyFont="1" applyBorder="1"/>
    <xf numFmtId="0" fontId="8" fillId="0" borderId="12" xfId="0" applyFont="1" applyBorder="1"/>
    <xf numFmtId="0" fontId="7" fillId="0" borderId="18" xfId="0" applyFont="1" applyBorder="1"/>
    <xf numFmtId="37" fontId="7" fillId="0" borderId="18" xfId="0" applyNumberFormat="1" applyFont="1" applyBorder="1"/>
    <xf numFmtId="179" fontId="1" fillId="0" borderId="19" xfId="0" applyNumberFormat="1" applyFont="1" applyBorder="1" applyAlignment="1">
      <alignment horizontal="right"/>
    </xf>
    <xf numFmtId="39" fontId="1" fillId="0" borderId="11" xfId="0" applyNumberFormat="1" applyFont="1" applyBorder="1"/>
    <xf numFmtId="168" fontId="1" fillId="7" borderId="10" xfId="0" applyNumberFormat="1" applyFont="1" applyFill="1" applyBorder="1" applyAlignment="1">
      <alignment horizontal="right"/>
    </xf>
    <xf numFmtId="0" fontId="14" fillId="18" borderId="4" xfId="0" applyFont="1" applyFill="1" applyBorder="1"/>
    <xf numFmtId="168" fontId="15" fillId="3" borderId="0" xfId="0" applyNumberFormat="1" applyFont="1" applyFill="1" applyAlignment="1">
      <alignment vertical="top"/>
    </xf>
    <xf numFmtId="0" fontId="15" fillId="3" borderId="0" xfId="0" applyFont="1" applyFill="1" applyAlignment="1">
      <alignment vertical="top"/>
    </xf>
    <xf numFmtId="0" fontId="15" fillId="18" borderId="4" xfId="0" applyFont="1" applyFill="1" applyBorder="1"/>
    <xf numFmtId="168" fontId="15" fillId="18" borderId="4" xfId="0" applyNumberFormat="1" applyFont="1" applyFill="1" applyBorder="1" applyAlignment="1">
      <alignment vertical="top"/>
    </xf>
    <xf numFmtId="168" fontId="15" fillId="18" borderId="5" xfId="0" applyNumberFormat="1" applyFont="1" applyFill="1" applyBorder="1" applyAlignment="1">
      <alignment vertical="top"/>
    </xf>
    <xf numFmtId="168" fontId="16" fillId="18" borderId="4" xfId="0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4" fillId="18" borderId="4" xfId="0" applyFont="1" applyFill="1" applyBorder="1" applyAlignment="1">
      <alignment vertical="top"/>
    </xf>
    <xf numFmtId="0" fontId="14" fillId="18" borderId="4" xfId="0" applyFont="1" applyFill="1" applyBorder="1" applyAlignment="1">
      <alignment horizontal="center" vertical="top"/>
    </xf>
    <xf numFmtId="0" fontId="17" fillId="3" borderId="4" xfId="0" applyFont="1" applyFill="1" applyBorder="1" applyAlignment="1">
      <alignment horizontal="center" vertical="top"/>
    </xf>
    <xf numFmtId="3" fontId="15" fillId="3" borderId="4" xfId="0" applyNumberFormat="1" applyFont="1" applyFill="1" applyBorder="1" applyAlignment="1">
      <alignment vertical="top"/>
    </xf>
    <xf numFmtId="165" fontId="17" fillId="3" borderId="4" xfId="0" applyNumberFormat="1" applyFont="1" applyFill="1" applyBorder="1" applyAlignment="1">
      <alignment horizontal="center" vertical="top"/>
    </xf>
    <xf numFmtId="165" fontId="15" fillId="3" borderId="4" xfId="0" applyNumberFormat="1" applyFont="1" applyFill="1" applyBorder="1" applyAlignment="1">
      <alignment horizontal="center" vertical="top"/>
    </xf>
    <xf numFmtId="8" fontId="17" fillId="3" borderId="4" xfId="0" applyNumberFormat="1" applyFont="1" applyFill="1" applyBorder="1" applyAlignment="1">
      <alignment horizontal="center" vertical="top"/>
    </xf>
    <xf numFmtId="6" fontId="17" fillId="3" borderId="4" xfId="0" applyNumberFormat="1" applyFont="1" applyFill="1" applyBorder="1" applyAlignment="1">
      <alignment horizontal="center" vertical="top"/>
    </xf>
    <xf numFmtId="6" fontId="15" fillId="3" borderId="4" xfId="0" applyNumberFormat="1" applyFont="1" applyFill="1" applyBorder="1" applyAlignment="1">
      <alignment horizontal="center" vertical="top"/>
    </xf>
    <xf numFmtId="0" fontId="29" fillId="0" borderId="21" xfId="0" applyFont="1" applyBorder="1"/>
    <xf numFmtId="180" fontId="7" fillId="0" borderId="22" xfId="0" applyNumberFormat="1" applyFont="1" applyBorder="1"/>
    <xf numFmtId="168" fontId="7" fillId="0" borderId="22" xfId="0" applyNumberFormat="1" applyFont="1" applyBorder="1"/>
    <xf numFmtId="0" fontId="7" fillId="0" borderId="22" xfId="0" applyFont="1" applyBorder="1"/>
    <xf numFmtId="167" fontId="7" fillId="0" borderId="22" xfId="0" applyNumberFormat="1" applyFont="1" applyBorder="1"/>
    <xf numFmtId="167" fontId="7" fillId="0" borderId="23" xfId="0" applyNumberFormat="1" applyFont="1" applyBorder="1"/>
    <xf numFmtId="168" fontId="15" fillId="3" borderId="4" xfId="0" applyNumberFormat="1" applyFont="1" applyFill="1" applyBorder="1" applyAlignment="1">
      <alignment vertical="top"/>
    </xf>
    <xf numFmtId="0" fontId="30" fillId="9" borderId="0" xfId="0" applyFont="1" applyFill="1"/>
    <xf numFmtId="180" fontId="7" fillId="9" borderId="0" xfId="0" applyNumberFormat="1" applyFont="1" applyFill="1"/>
    <xf numFmtId="168" fontId="7" fillId="9" borderId="0" xfId="0" applyNumberFormat="1" applyFont="1" applyFill="1"/>
    <xf numFmtId="167" fontId="7" fillId="9" borderId="0" xfId="0" applyNumberFormat="1" applyFont="1" applyFill="1"/>
    <xf numFmtId="168" fontId="8" fillId="9" borderId="0" xfId="0" applyNumberFormat="1" applyFont="1" applyFill="1"/>
    <xf numFmtId="0" fontId="8" fillId="9" borderId="0" xfId="0" applyFont="1" applyFill="1"/>
    <xf numFmtId="167" fontId="8" fillId="9" borderId="0" xfId="0" applyNumberFormat="1" applyFont="1" applyFill="1"/>
    <xf numFmtId="168" fontId="7" fillId="19" borderId="0" xfId="0" applyNumberFormat="1" applyFont="1" applyFill="1"/>
    <xf numFmtId="0" fontId="7" fillId="19" borderId="0" xfId="0" applyFont="1" applyFill="1"/>
    <xf numFmtId="180" fontId="7" fillId="0" borderId="0" xfId="0" applyNumberFormat="1" applyFont="1"/>
    <xf numFmtId="0" fontId="31" fillId="3" borderId="0" xfId="0" applyFont="1" applyFill="1" applyAlignment="1">
      <alignment horizontal="left"/>
    </xf>
    <xf numFmtId="168" fontId="14" fillId="20" borderId="4" xfId="0" applyNumberFormat="1" applyFont="1" applyFill="1" applyBorder="1" applyAlignment="1">
      <alignment vertical="top"/>
    </xf>
    <xf numFmtId="0" fontId="18" fillId="20" borderId="4" xfId="0" applyFont="1" applyFill="1" applyBorder="1" applyAlignment="1">
      <alignment horizontal="center" vertical="top"/>
    </xf>
    <xf numFmtId="43" fontId="15" fillId="21" borderId="4" xfId="0" applyNumberFormat="1" applyFont="1" applyFill="1" applyBorder="1" applyAlignment="1">
      <alignment vertical="top"/>
    </xf>
    <xf numFmtId="165" fontId="14" fillId="20" borderId="4" xfId="0" applyNumberFormat="1" applyFont="1" applyFill="1" applyBorder="1" applyAlignment="1">
      <alignment horizontal="center" vertical="top"/>
    </xf>
    <xf numFmtId="171" fontId="14" fillId="21" borderId="4" xfId="0" applyNumberFormat="1" applyFont="1" applyFill="1" applyBorder="1" applyAlignment="1">
      <alignment horizontal="center" vertical="top"/>
    </xf>
    <xf numFmtId="168" fontId="14" fillId="21" borderId="4" xfId="0" applyNumberFormat="1" applyFont="1" applyFill="1" applyBorder="1" applyAlignment="1">
      <alignment horizontal="center" vertical="top"/>
    </xf>
    <xf numFmtId="6" fontId="14" fillId="20" borderId="4" xfId="0" applyNumberFormat="1" applyFont="1" applyFill="1" applyBorder="1" applyAlignment="1">
      <alignment horizontal="center" vertical="top"/>
    </xf>
    <xf numFmtId="0" fontId="32" fillId="0" borderId="0" xfId="0" applyFont="1"/>
    <xf numFmtId="0" fontId="19" fillId="5" borderId="0" xfId="0" applyFont="1" applyFill="1" applyAlignment="1">
      <alignment horizontal="center"/>
    </xf>
    <xf numFmtId="6" fontId="14" fillId="5" borderId="8" xfId="0" applyNumberFormat="1" applyFont="1" applyFill="1" applyBorder="1" applyAlignment="1">
      <alignment horizontal="center" vertical="top"/>
    </xf>
    <xf numFmtId="168" fontId="16" fillId="18" borderId="27" xfId="0" applyNumberFormat="1" applyFont="1" applyFill="1" applyBorder="1" applyAlignment="1">
      <alignment horizontal="center" vertical="top"/>
    </xf>
    <xf numFmtId="168" fontId="16" fillId="18" borderId="28" xfId="0" applyNumberFormat="1" applyFont="1" applyFill="1" applyBorder="1" applyAlignment="1">
      <alignment horizontal="center" vertical="top"/>
    </xf>
    <xf numFmtId="0" fontId="14" fillId="18" borderId="27" xfId="0" applyFont="1" applyFill="1" applyBorder="1" applyAlignment="1">
      <alignment horizontal="center" vertical="top"/>
    </xf>
    <xf numFmtId="0" fontId="14" fillId="18" borderId="5" xfId="0" applyFont="1" applyFill="1" applyBorder="1" applyAlignment="1">
      <alignment horizontal="center" vertical="top"/>
    </xf>
    <xf numFmtId="0" fontId="14" fillId="18" borderId="28" xfId="0" applyFont="1" applyFill="1" applyBorder="1" applyAlignment="1">
      <alignment horizontal="center" vertical="top"/>
    </xf>
    <xf numFmtId="0" fontId="14" fillId="18" borderId="7" xfId="0" applyFont="1" applyFill="1" applyBorder="1" applyAlignment="1">
      <alignment horizontal="center" vertical="top"/>
    </xf>
    <xf numFmtId="6" fontId="15" fillId="3" borderId="5" xfId="0" applyNumberFormat="1" applyFont="1" applyFill="1" applyBorder="1" applyAlignment="1">
      <alignment horizontal="center" vertical="top"/>
    </xf>
    <xf numFmtId="8" fontId="15" fillId="3" borderId="27" xfId="0" applyNumberFormat="1" applyFont="1" applyFill="1" applyBorder="1" applyAlignment="1">
      <alignment horizontal="center" vertical="top"/>
    </xf>
    <xf numFmtId="168" fontId="14" fillId="5" borderId="4" xfId="0" applyNumberFormat="1" applyFont="1" applyFill="1" applyBorder="1" applyAlignment="1">
      <alignment horizontal="center" vertical="top"/>
    </xf>
    <xf numFmtId="6" fontId="15" fillId="3" borderId="28" xfId="0" applyNumberFormat="1" applyFont="1" applyFill="1" applyBorder="1" applyAlignment="1">
      <alignment horizontal="center" vertical="top"/>
    </xf>
    <xf numFmtId="6" fontId="17" fillId="3" borderId="7" xfId="0" applyNumberFormat="1" applyFont="1" applyFill="1" applyBorder="1" applyAlignment="1">
      <alignment horizontal="center" vertical="top"/>
    </xf>
    <xf numFmtId="6" fontId="14" fillId="20" borderId="5" xfId="0" applyNumberFormat="1" applyFont="1" applyFill="1" applyBorder="1" applyAlignment="1">
      <alignment horizontal="center" vertical="top"/>
    </xf>
    <xf numFmtId="171" fontId="14" fillId="21" borderId="29" xfId="0" applyNumberFormat="1" applyFont="1" applyFill="1" applyBorder="1" applyAlignment="1">
      <alignment horizontal="center" vertical="top"/>
    </xf>
    <xf numFmtId="168" fontId="14" fillId="21" borderId="30" xfId="0" applyNumberFormat="1" applyFont="1" applyFill="1" applyBorder="1" applyAlignment="1">
      <alignment horizontal="center" vertical="top"/>
    </xf>
    <xf numFmtId="6" fontId="14" fillId="20" borderId="31" xfId="0" applyNumberFormat="1" applyFont="1" applyFill="1" applyBorder="1" applyAlignment="1">
      <alignment horizontal="center" vertical="top"/>
    </xf>
    <xf numFmtId="168" fontId="14" fillId="21" borderId="7" xfId="0" applyNumberFormat="1" applyFont="1" applyFill="1" applyBorder="1" applyAlignment="1">
      <alignment horizontal="center" vertical="top"/>
    </xf>
    <xf numFmtId="10" fontId="7" fillId="0" borderId="0" xfId="0" applyNumberFormat="1" applyFont="1"/>
    <xf numFmtId="0" fontId="7" fillId="9" borderId="4" xfId="0" applyFont="1" applyFill="1" applyBorder="1"/>
    <xf numFmtId="0" fontId="8" fillId="7" borderId="4" xfId="0" applyFont="1" applyFill="1" applyBorder="1"/>
    <xf numFmtId="0" fontId="8" fillId="4" borderId="4" xfId="0" applyFont="1" applyFill="1" applyBorder="1"/>
    <xf numFmtId="0" fontId="8" fillId="13" borderId="4" xfId="0" applyFont="1" applyFill="1" applyBorder="1"/>
    <xf numFmtId="0" fontId="35" fillId="22" borderId="4" xfId="0" applyFont="1" applyFill="1" applyBorder="1"/>
    <xf numFmtId="0" fontId="8" fillId="8" borderId="4" xfId="0" applyFont="1" applyFill="1" applyBorder="1" applyAlignment="1">
      <alignment horizontal="center"/>
    </xf>
    <xf numFmtId="168" fontId="7" fillId="0" borderId="4" xfId="0" applyNumberFormat="1" applyFont="1" applyBorder="1"/>
    <xf numFmtId="8" fontId="7" fillId="0" borderId="0" xfId="0" applyNumberFormat="1" applyFont="1"/>
    <xf numFmtId="6" fontId="7" fillId="0" borderId="0" xfId="0" applyNumberFormat="1" applyFont="1"/>
    <xf numFmtId="171" fontId="7" fillId="0" borderId="0" xfId="0" applyNumberFormat="1" applyFont="1"/>
    <xf numFmtId="168" fontId="8" fillId="0" borderId="0" xfId="0" applyNumberFormat="1" applyFont="1"/>
    <xf numFmtId="6" fontId="8" fillId="0" borderId="0" xfId="0" applyNumberFormat="1" applyFont="1"/>
    <xf numFmtId="170" fontId="7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44" fontId="0" fillId="0" borderId="0" xfId="0" applyNumberFormat="1"/>
    <xf numFmtId="179" fontId="0" fillId="0" borderId="0" xfId="0" applyNumberFormat="1"/>
    <xf numFmtId="44" fontId="0" fillId="0" borderId="0" xfId="2" applyFont="1"/>
    <xf numFmtId="0" fontId="36" fillId="0" borderId="0" xfId="0" applyFont="1"/>
    <xf numFmtId="44" fontId="38" fillId="0" borderId="0" xfId="2" applyFont="1"/>
    <xf numFmtId="0" fontId="38" fillId="0" borderId="0" xfId="0" applyFont="1"/>
    <xf numFmtId="44" fontId="38" fillId="0" borderId="0" xfId="0" applyNumberFormat="1" applyFont="1"/>
    <xf numFmtId="179" fontId="1" fillId="0" borderId="8" xfId="2" applyNumberFormat="1" applyFont="1" applyBorder="1"/>
    <xf numFmtId="179" fontId="2" fillId="0" borderId="19" xfId="2" applyNumberFormat="1" applyFont="1" applyBorder="1"/>
    <xf numFmtId="10" fontId="0" fillId="0" borderId="0" xfId="0" applyNumberFormat="1"/>
    <xf numFmtId="179" fontId="2" fillId="0" borderId="8" xfId="2" applyNumberFormat="1" applyFont="1" applyBorder="1"/>
    <xf numFmtId="179" fontId="36" fillId="0" borderId="0" xfId="0" applyNumberFormat="1" applyFont="1"/>
    <xf numFmtId="9" fontId="0" fillId="0" borderId="0" xfId="3" applyFont="1"/>
    <xf numFmtId="10" fontId="0" fillId="0" borderId="0" xfId="3" applyNumberFormat="1" applyFont="1"/>
    <xf numFmtId="179" fontId="0" fillId="0" borderId="0" xfId="2" applyNumberFormat="1" applyFont="1"/>
    <xf numFmtId="10" fontId="2" fillId="0" borderId="19" xfId="2" applyNumberFormat="1" applyFont="1" applyBorder="1"/>
    <xf numFmtId="0" fontId="39" fillId="0" borderId="0" xfId="0" applyFont="1"/>
    <xf numFmtId="16" fontId="9" fillId="0" borderId="0" xfId="0" applyNumberFormat="1" applyFont="1"/>
    <xf numFmtId="9" fontId="10" fillId="0" borderId="0" xfId="0" applyNumberFormat="1" applyFont="1"/>
    <xf numFmtId="3" fontId="10" fillId="0" borderId="0" xfId="0" applyNumberFormat="1" applyFont="1"/>
    <xf numFmtId="3" fontId="9" fillId="0" borderId="0" xfId="0" applyNumberFormat="1" applyFont="1"/>
    <xf numFmtId="164" fontId="41" fillId="0" borderId="0" xfId="0" applyNumberFormat="1" applyFont="1"/>
    <xf numFmtId="6" fontId="0" fillId="0" borderId="0" xfId="0" applyNumberFormat="1"/>
    <xf numFmtId="10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8" fontId="0" fillId="0" borderId="0" xfId="0" applyNumberFormat="1"/>
    <xf numFmtId="0" fontId="6" fillId="0" borderId="0" xfId="0" applyFont="1"/>
    <xf numFmtId="6" fontId="6" fillId="0" borderId="0" xfId="0" applyNumberFormat="1" applyFont="1"/>
    <xf numFmtId="0" fontId="36" fillId="0" borderId="13" xfId="0" applyFont="1" applyBorder="1"/>
    <xf numFmtId="0" fontId="38" fillId="0" borderId="13" xfId="0" applyFont="1" applyBorder="1"/>
    <xf numFmtId="17" fontId="0" fillId="0" borderId="0" xfId="0" applyNumberFormat="1"/>
    <xf numFmtId="17" fontId="38" fillId="0" borderId="0" xfId="0" applyNumberFormat="1" applyFont="1"/>
    <xf numFmtId="4" fontId="4" fillId="24" borderId="2" xfId="0" applyNumberFormat="1" applyFont="1" applyFill="1" applyBorder="1" applyAlignment="1">
      <alignment horizontal="right"/>
    </xf>
    <xf numFmtId="4" fontId="5" fillId="24" borderId="0" xfId="0" applyNumberFormat="1" applyFont="1" applyFill="1" applyAlignment="1">
      <alignment horizontal="right"/>
    </xf>
    <xf numFmtId="0" fontId="5" fillId="24" borderId="0" xfId="0" applyFont="1" applyFill="1" applyAlignment="1">
      <alignment horizontal="right"/>
    </xf>
    <xf numFmtId="0" fontId="28" fillId="0" borderId="0" xfId="0" applyFont="1" applyAlignment="1">
      <alignment wrapText="1"/>
    </xf>
    <xf numFmtId="37" fontId="2" fillId="0" borderId="20" xfId="0" applyNumberFormat="1" applyFont="1" applyBorder="1" applyAlignment="1">
      <alignment horizontal="right"/>
    </xf>
    <xf numFmtId="37" fontId="8" fillId="0" borderId="33" xfId="0" applyNumberFormat="1" applyFont="1" applyBorder="1"/>
    <xf numFmtId="0" fontId="1" fillId="0" borderId="13" xfId="0" applyFont="1" applyBorder="1"/>
    <xf numFmtId="168" fontId="1" fillId="0" borderId="13" xfId="0" applyNumberFormat="1" applyFont="1" applyBorder="1" applyAlignment="1">
      <alignment horizontal="right"/>
    </xf>
    <xf numFmtId="0" fontId="0" fillId="0" borderId="32" xfId="0" applyBorder="1"/>
    <xf numFmtId="168" fontId="38" fillId="0" borderId="32" xfId="0" applyNumberFormat="1" applyFont="1" applyBorder="1"/>
    <xf numFmtId="37" fontId="1" fillId="0" borderId="13" xfId="0" applyNumberFormat="1" applyFont="1" applyBorder="1" applyAlignment="1">
      <alignment horizontal="right"/>
    </xf>
    <xf numFmtId="0" fontId="0" fillId="0" borderId="13" xfId="0" applyBorder="1"/>
    <xf numFmtId="37" fontId="0" fillId="0" borderId="0" xfId="0" applyNumberFormat="1"/>
    <xf numFmtId="179" fontId="1" fillId="0" borderId="13" xfId="0" applyNumberFormat="1" applyFont="1" applyBorder="1" applyAlignment="1">
      <alignment horizontal="right"/>
    </xf>
    <xf numFmtId="0" fontId="2" fillId="14" borderId="34" xfId="0" applyFont="1" applyFill="1" applyBorder="1"/>
    <xf numFmtId="0" fontId="1" fillId="14" borderId="35" xfId="0" applyFont="1" applyFill="1" applyBorder="1"/>
    <xf numFmtId="0" fontId="1" fillId="0" borderId="36" xfId="0" applyFont="1" applyBorder="1"/>
    <xf numFmtId="179" fontId="1" fillId="0" borderId="37" xfId="0" applyNumberFormat="1" applyFont="1" applyBorder="1" applyAlignment="1">
      <alignment horizontal="right"/>
    </xf>
    <xf numFmtId="0" fontId="1" fillId="0" borderId="38" xfId="0" applyFont="1" applyBorder="1"/>
    <xf numFmtId="10" fontId="1" fillId="0" borderId="39" xfId="0" applyNumberFormat="1" applyFont="1" applyBorder="1" applyAlignment="1">
      <alignment horizontal="right"/>
    </xf>
    <xf numFmtId="0" fontId="1" fillId="0" borderId="39" xfId="0" applyFont="1" applyBorder="1" applyAlignment="1">
      <alignment horizontal="right"/>
    </xf>
    <xf numFmtId="168" fontId="1" fillId="0" borderId="39" xfId="0" applyNumberFormat="1" applyFont="1" applyBorder="1" applyAlignment="1">
      <alignment horizontal="right"/>
    </xf>
    <xf numFmtId="0" fontId="0" fillId="0" borderId="38" xfId="0" applyBorder="1"/>
    <xf numFmtId="0" fontId="0" fillId="0" borderId="39" xfId="0" applyBorder="1"/>
    <xf numFmtId="179" fontId="1" fillId="0" borderId="39" xfId="0" applyNumberFormat="1" applyFont="1" applyBorder="1" applyAlignment="1">
      <alignment horizontal="right"/>
    </xf>
    <xf numFmtId="0" fontId="1" fillId="0" borderId="40" xfId="0" applyFont="1" applyBorder="1"/>
    <xf numFmtId="0" fontId="1" fillId="0" borderId="41" xfId="0" applyFont="1" applyBorder="1"/>
    <xf numFmtId="168" fontId="1" fillId="0" borderId="42" xfId="0" applyNumberFormat="1" applyFont="1" applyBorder="1" applyAlignment="1">
      <alignment horizontal="right"/>
    </xf>
    <xf numFmtId="168" fontId="1" fillId="0" borderId="43" xfId="0" applyNumberFormat="1" applyFont="1" applyBorder="1" applyAlignment="1">
      <alignment horizontal="right"/>
    </xf>
    <xf numFmtId="0" fontId="1" fillId="0" borderId="45" xfId="0" applyFont="1" applyBorder="1"/>
    <xf numFmtId="168" fontId="2" fillId="0" borderId="42" xfId="0" applyNumberFormat="1" applyFont="1" applyBorder="1" applyAlignment="1">
      <alignment horizontal="right"/>
    </xf>
    <xf numFmtId="0" fontId="44" fillId="26" borderId="34" xfId="0" applyFont="1" applyFill="1" applyBorder="1"/>
    <xf numFmtId="0" fontId="44" fillId="26" borderId="44" xfId="0" applyFont="1" applyFill="1" applyBorder="1"/>
    <xf numFmtId="0" fontId="44" fillId="26" borderId="35" xfId="0" applyFont="1" applyFill="1" applyBorder="1"/>
    <xf numFmtId="10" fontId="1" fillId="0" borderId="13" xfId="3" applyNumberFormat="1" applyFont="1" applyBorder="1" applyAlignment="1">
      <alignment horizontal="right"/>
    </xf>
    <xf numFmtId="10" fontId="2" fillId="0" borderId="45" xfId="3" applyNumberFormat="1" applyFont="1" applyBorder="1" applyAlignment="1">
      <alignment horizontal="right"/>
    </xf>
    <xf numFmtId="0" fontId="45" fillId="26" borderId="0" xfId="0" applyFont="1" applyFill="1"/>
    <xf numFmtId="168" fontId="1" fillId="0" borderId="13" xfId="3" applyNumberFormat="1" applyFont="1" applyBorder="1" applyAlignment="1">
      <alignment horizontal="right"/>
    </xf>
    <xf numFmtId="179" fontId="2" fillId="0" borderId="45" xfId="3" applyNumberFormat="1" applyFont="1" applyBorder="1" applyAlignment="1">
      <alignment horizontal="right"/>
    </xf>
    <xf numFmtId="179" fontId="0" fillId="0" borderId="0" xfId="2" applyNumberFormat="1" applyFont="1" applyFill="1"/>
    <xf numFmtId="168" fontId="38" fillId="0" borderId="46" xfId="0" applyNumberFormat="1" applyFont="1" applyBorder="1"/>
    <xf numFmtId="10" fontId="7" fillId="0" borderId="0" xfId="3" applyNumberFormat="1" applyFont="1"/>
    <xf numFmtId="43" fontId="0" fillId="0" borderId="0" xfId="1" applyFont="1"/>
    <xf numFmtId="4" fontId="5" fillId="0" borderId="2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4" fontId="38" fillId="0" borderId="46" xfId="0" applyNumberFormat="1" applyFont="1" applyBorder="1"/>
    <xf numFmtId="4" fontId="4" fillId="0" borderId="47" xfId="0" applyNumberFormat="1" applyFont="1" applyBorder="1" applyAlignment="1">
      <alignment horizontal="right"/>
    </xf>
    <xf numFmtId="0" fontId="4" fillId="24" borderId="2" xfId="0" applyFont="1" applyFill="1" applyBorder="1" applyAlignment="1">
      <alignment horizontal="right"/>
    </xf>
    <xf numFmtId="0" fontId="1" fillId="15" borderId="13" xfId="0" applyFont="1" applyFill="1" applyBorder="1" applyAlignment="1">
      <alignment horizontal="center"/>
    </xf>
    <xf numFmtId="168" fontId="2" fillId="0" borderId="32" xfId="0" applyNumberFormat="1" applyFont="1" applyBorder="1" applyAlignment="1">
      <alignment horizontal="right"/>
    </xf>
    <xf numFmtId="168" fontId="39" fillId="0" borderId="0" xfId="0" applyNumberFormat="1" applyFont="1"/>
    <xf numFmtId="6" fontId="36" fillId="0" borderId="13" xfId="0" applyNumberFormat="1" applyFont="1" applyBorder="1"/>
    <xf numFmtId="0" fontId="5" fillId="27" borderId="0" xfId="0" applyFont="1" applyFill="1" applyAlignment="1">
      <alignment horizontal="right"/>
    </xf>
    <xf numFmtId="177" fontId="47" fillId="2" borderId="14" xfId="0" applyNumberFormat="1" applyFont="1" applyFill="1" applyBorder="1" applyAlignment="1">
      <alignment horizontal="left"/>
    </xf>
    <xf numFmtId="44" fontId="5" fillId="0" borderId="0" xfId="2" applyFont="1" applyAlignment="1">
      <alignment horizontal="right"/>
    </xf>
    <xf numFmtId="179" fontId="5" fillId="0" borderId="0" xfId="2" applyNumberFormat="1" applyFont="1" applyAlignment="1">
      <alignment horizontal="right"/>
    </xf>
    <xf numFmtId="179" fontId="23" fillId="0" borderId="0" xfId="2" applyNumberFormat="1" applyFont="1" applyAlignment="1">
      <alignment horizontal="right"/>
    </xf>
    <xf numFmtId="44" fontId="36" fillId="0" borderId="0" xfId="2" applyFont="1"/>
    <xf numFmtId="179" fontId="36" fillId="0" borderId="0" xfId="2" applyNumberFormat="1" applyFont="1"/>
    <xf numFmtId="179" fontId="5" fillId="0" borderId="0" xfId="0" applyNumberFormat="1" applyFont="1" applyAlignment="1">
      <alignment horizontal="right"/>
    </xf>
    <xf numFmtId="168" fontId="8" fillId="0" borderId="18" xfId="0" applyNumberFormat="1" applyFont="1" applyBorder="1"/>
    <xf numFmtId="8" fontId="5" fillId="0" borderId="0" xfId="0" applyNumberFormat="1" applyFont="1"/>
    <xf numFmtId="8" fontId="5" fillId="0" borderId="0" xfId="0" applyNumberFormat="1" applyFont="1" applyAlignment="1">
      <alignment horizontal="right"/>
    </xf>
    <xf numFmtId="44" fontId="5" fillId="24" borderId="0" xfId="2" applyFont="1" applyFill="1" applyAlignment="1">
      <alignment horizontal="right"/>
    </xf>
    <xf numFmtId="0" fontId="6" fillId="24" borderId="0" xfId="0" applyFont="1" applyFill="1"/>
    <xf numFmtId="3" fontId="4" fillId="0" borderId="2" xfId="0" applyNumberFormat="1" applyFont="1" applyBorder="1" applyAlignment="1">
      <alignment horizontal="right"/>
    </xf>
    <xf numFmtId="3" fontId="4" fillId="0" borderId="0" xfId="0" applyNumberFormat="1" applyFont="1"/>
    <xf numFmtId="3" fontId="5" fillId="0" borderId="0" xfId="2" applyNumberFormat="1" applyFont="1" applyAlignment="1">
      <alignment horizontal="right"/>
    </xf>
    <xf numFmtId="3" fontId="5" fillId="0" borderId="0" xfId="0" applyNumberFormat="1" applyFont="1"/>
    <xf numFmtId="3" fontId="4" fillId="31" borderId="2" xfId="0" applyNumberFormat="1" applyFont="1" applyFill="1" applyBorder="1" applyAlignment="1">
      <alignment horizontal="right"/>
    </xf>
    <xf numFmtId="0" fontId="5" fillId="24" borderId="0" xfId="0" applyFont="1" applyFill="1"/>
    <xf numFmtId="0" fontId="36" fillId="0" borderId="48" xfId="0" applyFont="1" applyBorder="1"/>
    <xf numFmtId="10" fontId="36" fillId="0" borderId="48" xfId="0" applyNumberFormat="1" applyFont="1" applyBorder="1"/>
    <xf numFmtId="0" fontId="38" fillId="29" borderId="48" xfId="0" applyFont="1" applyFill="1" applyBorder="1"/>
    <xf numFmtId="0" fontId="1" fillId="15" borderId="13" xfId="0" applyFont="1" applyFill="1" applyBorder="1"/>
    <xf numFmtId="179" fontId="2" fillId="0" borderId="13" xfId="0" applyNumberFormat="1" applyFont="1" applyBorder="1" applyAlignment="1">
      <alignment horizontal="right"/>
    </xf>
    <xf numFmtId="168" fontId="2" fillId="15" borderId="13" xfId="0" applyNumberFormat="1" applyFont="1" applyFill="1" applyBorder="1" applyAlignment="1">
      <alignment horizontal="right"/>
    </xf>
    <xf numFmtId="44" fontId="1" fillId="0" borderId="13" xfId="0" applyNumberFormat="1" applyFont="1" applyBorder="1" applyAlignment="1">
      <alignment horizontal="right"/>
    </xf>
    <xf numFmtId="0" fontId="5" fillId="32" borderId="0" xfId="0" applyFont="1" applyFill="1"/>
    <xf numFmtId="0" fontId="5" fillId="32" borderId="0" xfId="0" applyFont="1" applyFill="1" applyAlignment="1">
      <alignment horizontal="right"/>
    </xf>
    <xf numFmtId="4" fontId="5" fillId="32" borderId="0" xfId="0" applyNumberFormat="1" applyFont="1" applyFill="1" applyAlignment="1">
      <alignment horizontal="right"/>
    </xf>
    <xf numFmtId="3" fontId="4" fillId="31" borderId="49" xfId="0" applyNumberFormat="1" applyFont="1" applyFill="1" applyBorder="1" applyAlignment="1">
      <alignment horizontal="right"/>
    </xf>
    <xf numFmtId="3" fontId="4" fillId="0" borderId="50" xfId="0" applyNumberFormat="1" applyFont="1" applyBorder="1" applyAlignment="1">
      <alignment horizontal="right"/>
    </xf>
    <xf numFmtId="0" fontId="2" fillId="15" borderId="13" xfId="0" applyFont="1" applyFill="1" applyBorder="1"/>
    <xf numFmtId="3" fontId="4" fillId="0" borderId="13" xfId="0" applyNumberFormat="1" applyFont="1" applyBorder="1" applyAlignment="1">
      <alignment horizontal="right"/>
    </xf>
    <xf numFmtId="3" fontId="0" fillId="0" borderId="13" xfId="0" applyNumberFormat="1" applyBorder="1"/>
    <xf numFmtId="3" fontId="4" fillId="0" borderId="47" xfId="0" applyNumberFormat="1" applyFont="1" applyBorder="1" applyAlignment="1">
      <alignment horizontal="right"/>
    </xf>
    <xf numFmtId="4" fontId="4" fillId="31" borderId="46" xfId="0" applyNumberFormat="1" applyFont="1" applyFill="1" applyBorder="1" applyAlignment="1">
      <alignment horizontal="right"/>
    </xf>
    <xf numFmtId="0" fontId="4" fillId="23" borderId="0" xfId="0" applyFont="1" applyFill="1"/>
    <xf numFmtId="10" fontId="1" fillId="0" borderId="0" xfId="3" applyNumberFormat="1" applyFont="1"/>
    <xf numFmtId="181" fontId="0" fillId="0" borderId="0" xfId="1" applyNumberFormat="1" applyFont="1"/>
    <xf numFmtId="0" fontId="8" fillId="17" borderId="0" xfId="0" applyFont="1" applyFill="1"/>
    <xf numFmtId="0" fontId="38" fillId="34" borderId="15" xfId="0" applyFont="1" applyFill="1" applyBorder="1"/>
    <xf numFmtId="0" fontId="38" fillId="35" borderId="15" xfId="0" applyFont="1" applyFill="1" applyBorder="1"/>
    <xf numFmtId="0" fontId="38" fillId="36" borderId="13" xfId="0" applyFont="1" applyFill="1" applyBorder="1"/>
    <xf numFmtId="6" fontId="36" fillId="37" borderId="13" xfId="0" applyNumberFormat="1" applyFont="1" applyFill="1" applyBorder="1"/>
    <xf numFmtId="6" fontId="36" fillId="38" borderId="13" xfId="0" applyNumberFormat="1" applyFont="1" applyFill="1" applyBorder="1"/>
    <xf numFmtId="179" fontId="36" fillId="36" borderId="13" xfId="0" applyNumberFormat="1" applyFont="1" applyFill="1" applyBorder="1"/>
    <xf numFmtId="0" fontId="36" fillId="39" borderId="13" xfId="0" applyFont="1" applyFill="1" applyBorder="1"/>
    <xf numFmtId="8" fontId="36" fillId="0" borderId="13" xfId="0" applyNumberFormat="1" applyFont="1" applyBorder="1"/>
    <xf numFmtId="10" fontId="36" fillId="0" borderId="13" xfId="0" applyNumberFormat="1" applyFont="1" applyBorder="1"/>
    <xf numFmtId="6" fontId="39" fillId="37" borderId="13" xfId="0" applyNumberFormat="1" applyFont="1" applyFill="1" applyBorder="1"/>
    <xf numFmtId="6" fontId="39" fillId="38" borderId="13" xfId="0" applyNumberFormat="1" applyFont="1" applyFill="1" applyBorder="1"/>
    <xf numFmtId="179" fontId="36" fillId="37" borderId="13" xfId="0" applyNumberFormat="1" applyFont="1" applyFill="1" applyBorder="1"/>
    <xf numFmtId="6" fontId="10" fillId="37" borderId="13" xfId="0" applyNumberFormat="1" applyFont="1" applyFill="1" applyBorder="1"/>
    <xf numFmtId="6" fontId="10" fillId="38" borderId="13" xfId="0" applyNumberFormat="1" applyFont="1" applyFill="1" applyBorder="1"/>
    <xf numFmtId="0" fontId="36" fillId="0" borderId="8" xfId="0" applyFont="1" applyBorder="1"/>
    <xf numFmtId="0" fontId="36" fillId="37" borderId="13" xfId="0" applyFont="1" applyFill="1" applyBorder="1"/>
    <xf numFmtId="3" fontId="36" fillId="38" borderId="13" xfId="0" applyNumberFormat="1" applyFont="1" applyFill="1" applyBorder="1"/>
    <xf numFmtId="168" fontId="38" fillId="0" borderId="19" xfId="0" applyNumberFormat="1" applyFont="1" applyBorder="1" applyAlignment="1">
      <alignment horizontal="right"/>
    </xf>
    <xf numFmtId="0" fontId="43" fillId="30" borderId="0" xfId="0" applyFont="1" applyFill="1"/>
    <xf numFmtId="9" fontId="0" fillId="0" borderId="0" xfId="0" applyNumberFormat="1"/>
    <xf numFmtId="182" fontId="0" fillId="0" borderId="0" xfId="0" applyNumberFormat="1"/>
    <xf numFmtId="183" fontId="36" fillId="0" borderId="0" xfId="0" applyNumberFormat="1" applyFont="1"/>
    <xf numFmtId="183" fontId="0" fillId="0" borderId="0" xfId="0" applyNumberFormat="1"/>
    <xf numFmtId="182" fontId="0" fillId="0" borderId="0" xfId="3" applyNumberFormat="1" applyFont="1"/>
    <xf numFmtId="184" fontId="0" fillId="0" borderId="0" xfId="3" applyNumberFormat="1" applyFont="1"/>
    <xf numFmtId="185" fontId="36" fillId="0" borderId="0" xfId="0" applyNumberFormat="1" applyFont="1"/>
    <xf numFmtId="185" fontId="0" fillId="0" borderId="0" xfId="0" applyNumberFormat="1"/>
    <xf numFmtId="0" fontId="2" fillId="25" borderId="0" xfId="0" applyFont="1" applyFill="1" applyAlignment="1">
      <alignment horizontal="center"/>
    </xf>
    <xf numFmtId="0" fontId="35" fillId="22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0" fontId="8" fillId="17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3" fontId="0" fillId="0" borderId="0" xfId="0" applyNumberFormat="1"/>
    <xf numFmtId="0" fontId="48" fillId="13" borderId="0" xfId="0" applyFont="1" applyFill="1"/>
    <xf numFmtId="4" fontId="36" fillId="0" borderId="0" xfId="0" applyNumberFormat="1" applyFont="1"/>
    <xf numFmtId="49" fontId="49" fillId="32" borderId="0" xfId="0" applyNumberFormat="1" applyFont="1" applyFill="1"/>
    <xf numFmtId="49" fontId="49" fillId="32" borderId="0" xfId="2" applyNumberFormat="1" applyFont="1" applyFill="1" applyAlignment="1">
      <alignment horizontal="right"/>
    </xf>
    <xf numFmtId="49" fontId="49" fillId="32" borderId="0" xfId="0" applyNumberFormat="1" applyFont="1" applyFill="1" applyAlignment="1">
      <alignment horizontal="right"/>
    </xf>
    <xf numFmtId="4" fontId="7" fillId="24" borderId="0" xfId="0" applyNumberFormat="1" applyFont="1" applyFill="1"/>
    <xf numFmtId="0" fontId="40" fillId="24" borderId="0" xfId="0" applyFont="1" applyFill="1"/>
    <xf numFmtId="37" fontId="50" fillId="0" borderId="5" xfId="0" applyNumberFormat="1" applyFont="1" applyBorder="1" applyAlignment="1">
      <alignment horizontal="right"/>
    </xf>
    <xf numFmtId="4" fontId="38" fillId="0" borderId="0" xfId="0" applyNumberFormat="1" applyFont="1"/>
    <xf numFmtId="179" fontId="36" fillId="0" borderId="13" xfId="0" applyNumberFormat="1" applyFont="1" applyBorder="1"/>
    <xf numFmtId="9" fontId="36" fillId="0" borderId="13" xfId="3" applyFont="1" applyBorder="1"/>
    <xf numFmtId="0" fontId="38" fillId="29" borderId="13" xfId="0" applyFont="1" applyFill="1" applyBorder="1"/>
    <xf numFmtId="0" fontId="51" fillId="2" borderId="14" xfId="0" applyFont="1" applyFill="1" applyBorder="1" applyAlignment="1">
      <alignment horizontal="left"/>
    </xf>
    <xf numFmtId="164" fontId="0" fillId="0" borderId="0" xfId="0" applyNumberFormat="1"/>
    <xf numFmtId="0" fontId="5" fillId="40" borderId="0" xfId="0" applyFont="1" applyFill="1"/>
    <xf numFmtId="3" fontId="5" fillId="40" borderId="0" xfId="2" applyNumberFormat="1" applyFont="1" applyFill="1" applyAlignment="1">
      <alignment horizontal="right"/>
    </xf>
    <xf numFmtId="3" fontId="23" fillId="40" borderId="0" xfId="2" applyNumberFormat="1" applyFont="1" applyFill="1" applyAlignment="1">
      <alignment horizontal="right"/>
    </xf>
    <xf numFmtId="0" fontId="38" fillId="0" borderId="51" xfId="0" applyFont="1" applyBorder="1"/>
    <xf numFmtId="167" fontId="38" fillId="0" borderId="52" xfId="0" applyNumberFormat="1" applyFont="1" applyBorder="1"/>
    <xf numFmtId="0" fontId="36" fillId="40" borderId="48" xfId="0" applyFont="1" applyFill="1" applyBorder="1"/>
    <xf numFmtId="167" fontId="38" fillId="0" borderId="0" xfId="0" applyNumberFormat="1" applyFont="1"/>
    <xf numFmtId="167" fontId="0" fillId="0" borderId="0" xfId="0" applyNumberFormat="1"/>
    <xf numFmtId="168" fontId="0" fillId="0" borderId="0" xfId="0" applyNumberFormat="1"/>
    <xf numFmtId="168" fontId="38" fillId="0" borderId="0" xfId="0" applyNumberFormat="1" applyFont="1"/>
    <xf numFmtId="3" fontId="5" fillId="29" borderId="0" xfId="0" applyNumberFormat="1" applyFont="1" applyFill="1" applyAlignment="1">
      <alignment horizontal="right"/>
    </xf>
    <xf numFmtId="179" fontId="4" fillId="0" borderId="2" xfId="2" applyNumberFormat="1" applyFont="1" applyBorder="1" applyAlignment="1">
      <alignment horizontal="right"/>
    </xf>
    <xf numFmtId="164" fontId="53" fillId="0" borderId="2" xfId="0" applyNumberFormat="1" applyFont="1" applyBorder="1"/>
    <xf numFmtId="179" fontId="1" fillId="0" borderId="0" xfId="2" applyNumberFormat="1" applyFont="1"/>
    <xf numFmtId="179" fontId="55" fillId="0" borderId="0" xfId="2" applyNumberFormat="1" applyFont="1"/>
    <xf numFmtId="179" fontId="2" fillId="0" borderId="19" xfId="0" applyNumberFormat="1" applyFont="1" applyBorder="1"/>
    <xf numFmtId="3" fontId="2" fillId="0" borderId="19" xfId="0" applyNumberFormat="1" applyFont="1" applyBorder="1"/>
    <xf numFmtId="179" fontId="2" fillId="15" borderId="0" xfId="0" applyNumberFormat="1" applyFont="1" applyFill="1"/>
    <xf numFmtId="179" fontId="1" fillId="0" borderId="13" xfId="2" applyNumberFormat="1" applyFont="1" applyBorder="1"/>
    <xf numFmtId="179" fontId="2" fillId="0" borderId="13" xfId="2" applyNumberFormat="1" applyFont="1" applyBorder="1" applyAlignment="1">
      <alignment horizontal="right"/>
    </xf>
    <xf numFmtId="179" fontId="55" fillId="0" borderId="13" xfId="2" applyNumberFormat="1" applyFont="1" applyBorder="1"/>
    <xf numFmtId="3" fontId="1" fillId="0" borderId="13" xfId="0" applyNumberFormat="1" applyFont="1" applyBorder="1"/>
    <xf numFmtId="3" fontId="2" fillId="0" borderId="13" xfId="0" applyNumberFormat="1" applyFont="1" applyBorder="1"/>
    <xf numFmtId="179" fontId="2" fillId="15" borderId="13" xfId="0" applyNumberFormat="1" applyFont="1" applyFill="1" applyBorder="1"/>
    <xf numFmtId="179" fontId="1" fillId="0" borderId="13" xfId="2" applyNumberFormat="1" applyFont="1" applyBorder="1" applyAlignment="1">
      <alignment horizontal="right"/>
    </xf>
    <xf numFmtId="179" fontId="2" fillId="0" borderId="8" xfId="0" applyNumberFormat="1" applyFont="1" applyBorder="1"/>
    <xf numFmtId="10" fontId="2" fillId="0" borderId="19" xfId="3" applyNumberFormat="1" applyFont="1" applyBorder="1"/>
    <xf numFmtId="10" fontId="1" fillId="15" borderId="0" xfId="3" applyNumberFormat="1" applyFont="1" applyFill="1"/>
    <xf numFmtId="44" fontId="1" fillId="0" borderId="0" xfId="0" applyNumberFormat="1" applyFont="1"/>
    <xf numFmtId="179" fontId="0" fillId="0" borderId="13" xfId="2" applyNumberFormat="1" applyFont="1" applyBorder="1"/>
    <xf numFmtId="179" fontId="1" fillId="0" borderId="0" xfId="0" applyNumberFormat="1" applyFont="1"/>
    <xf numFmtId="168" fontId="2" fillId="0" borderId="46" xfId="0" applyNumberFormat="1" applyFont="1" applyBorder="1" applyAlignment="1">
      <alignment horizontal="right"/>
    </xf>
    <xf numFmtId="179" fontId="2" fillId="15" borderId="0" xfId="2" applyNumberFormat="1" applyFont="1" applyFill="1"/>
    <xf numFmtId="179" fontId="2" fillId="0" borderId="45" xfId="2" applyNumberFormat="1" applyFont="1" applyBorder="1" applyAlignment="1">
      <alignment horizontal="right"/>
    </xf>
    <xf numFmtId="9" fontId="1" fillId="0" borderId="8" xfId="3" applyFont="1" applyBorder="1"/>
    <xf numFmtId="0" fontId="2" fillId="0" borderId="34" xfId="0" applyFont="1" applyBorder="1"/>
    <xf numFmtId="179" fontId="2" fillId="0" borderId="44" xfId="0" applyNumberFormat="1" applyFont="1" applyBorder="1"/>
    <xf numFmtId="0" fontId="1" fillId="0" borderId="44" xfId="0" applyFont="1" applyBorder="1"/>
    <xf numFmtId="0" fontId="1" fillId="0" borderId="35" xfId="0" applyFont="1" applyBorder="1"/>
    <xf numFmtId="0" fontId="1" fillId="0" borderId="39" xfId="0" applyFont="1" applyBorder="1"/>
    <xf numFmtId="179" fontId="1" fillId="0" borderId="45" xfId="2" applyNumberFormat="1" applyFont="1" applyBorder="1"/>
    <xf numFmtId="0" fontId="1" fillId="0" borderId="42" xfId="0" applyFont="1" applyBorder="1"/>
    <xf numFmtId="167" fontId="1" fillId="0" borderId="0" xfId="0" applyNumberFormat="1" applyFont="1"/>
    <xf numFmtId="186" fontId="44" fillId="28" borderId="0" xfId="0" applyNumberFormat="1" applyFont="1" applyFill="1"/>
    <xf numFmtId="186" fontId="44" fillId="28" borderId="13" xfId="0" applyNumberFormat="1" applyFont="1" applyFill="1" applyBorder="1"/>
    <xf numFmtId="0" fontId="44" fillId="43" borderId="13" xfId="0" applyFont="1" applyFill="1" applyBorder="1"/>
    <xf numFmtId="167" fontId="1" fillId="15" borderId="0" xfId="0" applyNumberFormat="1" applyFont="1" applyFill="1"/>
    <xf numFmtId="187" fontId="1" fillId="0" borderId="38" xfId="0" applyNumberFormat="1" applyFont="1" applyBorder="1" applyAlignment="1">
      <alignment horizontal="right"/>
    </xf>
    <xf numFmtId="187" fontId="1" fillId="0" borderId="41" xfId="0" applyNumberFormat="1" applyFont="1" applyBorder="1"/>
    <xf numFmtId="179" fontId="2" fillId="0" borderId="45" xfId="0" applyNumberFormat="1" applyFont="1" applyBorder="1" applyAlignment="1">
      <alignment horizontal="right"/>
    </xf>
    <xf numFmtId="0" fontId="2" fillId="24" borderId="0" xfId="0" applyFont="1" applyFill="1"/>
    <xf numFmtId="8" fontId="38" fillId="0" borderId="0" xfId="0" applyNumberFormat="1" applyFont="1"/>
    <xf numFmtId="168" fontId="56" fillId="0" borderId="0" xfId="0" applyNumberFormat="1" applyFont="1"/>
    <xf numFmtId="168" fontId="2" fillId="16" borderId="13" xfId="0" applyNumberFormat="1" applyFont="1" applyFill="1" applyBorder="1" applyAlignment="1">
      <alignment horizontal="right"/>
    </xf>
    <xf numFmtId="0" fontId="2" fillId="17" borderId="13" xfId="0" applyFont="1" applyFill="1" applyBorder="1"/>
    <xf numFmtId="168" fontId="7" fillId="0" borderId="13" xfId="0" applyNumberFormat="1" applyFont="1" applyBorder="1"/>
    <xf numFmtId="168" fontId="8" fillId="0" borderId="13" xfId="0" applyNumberFormat="1" applyFont="1" applyBorder="1"/>
    <xf numFmtId="37" fontId="2" fillId="0" borderId="13" xfId="0" applyNumberFormat="1" applyFont="1" applyBorder="1" applyAlignment="1">
      <alignment horizontal="right"/>
    </xf>
    <xf numFmtId="0" fontId="7" fillId="0" borderId="13" xfId="0" applyFont="1" applyBorder="1"/>
    <xf numFmtId="37" fontId="7" fillId="0" borderId="13" xfId="0" applyNumberFormat="1" applyFont="1" applyBorder="1"/>
    <xf numFmtId="37" fontId="8" fillId="0" borderId="13" xfId="0" applyNumberFormat="1" applyFont="1" applyBorder="1"/>
    <xf numFmtId="168" fontId="1" fillId="7" borderId="13" xfId="0" applyNumberFormat="1" applyFont="1" applyFill="1" applyBorder="1" applyAlignment="1">
      <alignment horizontal="right"/>
    </xf>
    <xf numFmtId="168" fontId="38" fillId="0" borderId="13" xfId="0" applyNumberFormat="1" applyFont="1" applyBorder="1"/>
    <xf numFmtId="0" fontId="43" fillId="30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7" fillId="0" borderId="0" xfId="0" applyFont="1"/>
    <xf numFmtId="0" fontId="58" fillId="0" borderId="0" xfId="0" applyFont="1"/>
    <xf numFmtId="165" fontId="1" fillId="0" borderId="0" xfId="1" applyNumberFormat="1" applyFont="1" applyAlignment="1">
      <alignment horizontal="right"/>
    </xf>
    <xf numFmtId="37" fontId="36" fillId="0" borderId="0" xfId="0" applyNumberFormat="1" applyFont="1"/>
    <xf numFmtId="44" fontId="1" fillId="0" borderId="0" xfId="2" applyFont="1"/>
    <xf numFmtId="9" fontId="1" fillId="0" borderId="0" xfId="3" applyFont="1"/>
    <xf numFmtId="179" fontId="38" fillId="0" borderId="0" xfId="0" applyNumberFormat="1" applyFont="1"/>
    <xf numFmtId="3" fontId="53" fillId="0" borderId="2" xfId="0" applyNumberFormat="1" applyFont="1" applyBorder="1"/>
    <xf numFmtId="3" fontId="4" fillId="24" borderId="2" xfId="0" applyNumberFormat="1" applyFont="1" applyFill="1" applyBorder="1" applyAlignment="1">
      <alignment horizontal="right"/>
    </xf>
    <xf numFmtId="166" fontId="53" fillId="0" borderId="2" xfId="0" applyNumberFormat="1" applyFont="1" applyBorder="1"/>
    <xf numFmtId="166" fontId="4" fillId="0" borderId="2" xfId="0" applyNumberFormat="1" applyFont="1" applyBorder="1" applyAlignment="1">
      <alignment horizontal="right"/>
    </xf>
    <xf numFmtId="166" fontId="4" fillId="0" borderId="47" xfId="0" applyNumberFormat="1" applyFont="1" applyBorder="1" applyAlignment="1">
      <alignment horizontal="right"/>
    </xf>
    <xf numFmtId="0" fontId="41" fillId="0" borderId="0" xfId="0" applyFont="1"/>
    <xf numFmtId="166" fontId="41" fillId="0" borderId="0" xfId="0" applyNumberFormat="1" applyFont="1"/>
    <xf numFmtId="170" fontId="41" fillId="0" borderId="0" xfId="0" applyNumberFormat="1" applyFont="1"/>
    <xf numFmtId="0" fontId="4" fillId="0" borderId="0" xfId="0" applyFont="1"/>
    <xf numFmtId="0" fontId="0" fillId="0" borderId="0" xfId="0"/>
    <xf numFmtId="3" fontId="4" fillId="0" borderId="0" xfId="0" applyNumberFormat="1" applyFont="1"/>
    <xf numFmtId="3" fontId="0" fillId="0" borderId="0" xfId="0" applyNumberFormat="1"/>
    <xf numFmtId="0" fontId="54" fillId="0" borderId="0" xfId="0" applyFont="1" applyAlignment="1">
      <alignment horizontal="center"/>
    </xf>
    <xf numFmtId="0" fontId="36" fillId="33" borderId="0" xfId="0" applyFont="1" applyFill="1" applyAlignment="1">
      <alignment horizontal="center"/>
    </xf>
    <xf numFmtId="0" fontId="52" fillId="41" borderId="0" xfId="0" applyFont="1" applyFill="1" applyAlignment="1">
      <alignment horizontal="center"/>
    </xf>
    <xf numFmtId="0" fontId="52" fillId="42" borderId="0" xfId="0" applyFont="1" applyFill="1" applyAlignment="1">
      <alignment horizontal="center"/>
    </xf>
    <xf numFmtId="0" fontId="43" fillId="0" borderId="0" xfId="0" applyFont="1" applyAlignment="1">
      <alignment horizontal="center"/>
    </xf>
    <xf numFmtId="0" fontId="36" fillId="24" borderId="0" xfId="0" applyFont="1" applyFill="1" applyAlignment="1">
      <alignment horizontal="center"/>
    </xf>
    <xf numFmtId="0" fontId="52" fillId="8" borderId="0" xfId="0" applyFont="1" applyFill="1" applyAlignment="1">
      <alignment horizontal="center"/>
    </xf>
    <xf numFmtId="0" fontId="38" fillId="23" borderId="0" xfId="0" applyFont="1" applyFill="1" applyAlignment="1">
      <alignment horizontal="center"/>
    </xf>
    <xf numFmtId="0" fontId="33" fillId="7" borderId="13" xfId="0" applyFont="1" applyFill="1" applyBorder="1" applyAlignment="1">
      <alignment horizontal="center"/>
    </xf>
    <xf numFmtId="0" fontId="14" fillId="7" borderId="24" xfId="0" applyFont="1" applyFill="1" applyBorder="1" applyAlignment="1">
      <alignment horizontal="center" vertical="top"/>
    </xf>
    <xf numFmtId="0" fontId="11" fillId="0" borderId="25" xfId="0" applyFont="1" applyBorder="1"/>
    <xf numFmtId="0" fontId="11" fillId="0" borderId="26" xfId="0" applyFont="1" applyBorder="1"/>
    <xf numFmtId="0" fontId="14" fillId="7" borderId="0" xfId="0" applyFont="1" applyFill="1" applyAlignment="1">
      <alignment horizontal="center" vertical="top"/>
    </xf>
    <xf numFmtId="168" fontId="15" fillId="18" borderId="5" xfId="0" applyNumberFormat="1" applyFont="1" applyFill="1" applyBorder="1" applyAlignment="1">
      <alignment vertical="top"/>
    </xf>
    <xf numFmtId="0" fontId="11" fillId="0" borderId="7" xfId="0" applyFont="1" applyBorder="1"/>
    <xf numFmtId="168" fontId="16" fillId="18" borderId="5" xfId="0" applyNumberFormat="1" applyFont="1" applyFill="1" applyBorder="1" applyAlignment="1">
      <alignment horizontal="center" vertical="top"/>
    </xf>
    <xf numFmtId="168" fontId="16" fillId="18" borderId="6" xfId="0" applyNumberFormat="1" applyFont="1" applyFill="1" applyBorder="1" applyAlignment="1">
      <alignment horizontal="center" vertical="top"/>
    </xf>
    <xf numFmtId="168" fontId="16" fillId="18" borderId="7" xfId="0" applyNumberFormat="1" applyFont="1" applyFill="1" applyBorder="1" applyAlignment="1">
      <alignment horizontal="center" vertical="top"/>
    </xf>
    <xf numFmtId="0" fontId="8" fillId="8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8" fillId="13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" fillId="12" borderId="0" xfId="0" applyFont="1" applyFill="1" applyAlignment="1">
      <alignment horizontal="left" vertical="top"/>
    </xf>
    <xf numFmtId="0" fontId="22" fillId="12" borderId="0" xfId="0" applyFont="1" applyFill="1" applyAlignment="1">
      <alignment horizontal="left" vertical="top"/>
    </xf>
    <xf numFmtId="0" fontId="20" fillId="12" borderId="0" xfId="0" applyFont="1" applyFill="1"/>
    <xf numFmtId="0" fontId="21" fillId="12" borderId="0" xfId="0" applyFont="1" applyFill="1" applyAlignment="1">
      <alignment horizontal="left" vertical="top"/>
    </xf>
    <xf numFmtId="0" fontId="61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o Sanchez" refreshedDate="46048.830410995368" createdVersion="8" refreshedVersion="8" minRefreshableVersion="3" recordCount="127" xr:uid="{35A0DD26-CE1C-C348-A542-986CE9BB9DB2}">
  <cacheSource type="worksheet">
    <worksheetSource ref="A1:N128" sheet="Rent Roll - Dec25"/>
  </cacheSource>
  <cacheFields count="14">
    <cacheField name="Unit Type" numFmtId="0">
      <sharedItems count="5">
        <s v="2/1.5 Classic"/>
        <s v="1/1 Classic"/>
        <s v="2/1.5 Signature"/>
        <s v="3 Bed 2 Bath"/>
        <s v="2/1 Classic"/>
      </sharedItems>
    </cacheField>
    <cacheField name="Sqft" numFmtId="166">
      <sharedItems containsSemiMixedTypes="0" containsString="0" containsNumber="1" containsInteger="1" minValue="650" maxValue="1150"/>
    </cacheField>
    <cacheField name="Unit" numFmtId="0">
      <sharedItems/>
    </cacheField>
    <cacheField name="Tenant" numFmtId="0">
      <sharedItems containsBlank="1"/>
    </cacheField>
    <cacheField name="Status" numFmtId="0">
      <sharedItems count="6">
        <s v="Vacant-Rented"/>
        <s v="Vacant-Unrented"/>
        <s v="Current"/>
        <s v="Evict"/>
        <s v="Notice-Rented"/>
        <s v="Notice-Unrented"/>
      </sharedItems>
    </cacheField>
    <cacheField name="Market Rent" numFmtId="164">
      <sharedItems containsSemiMixedTypes="0" containsString="0" containsNumber="1" containsInteger="1" minValue="1029" maxValue="1399"/>
    </cacheField>
    <cacheField name="Rent" numFmtId="164">
      <sharedItems containsString="0" containsBlank="1" containsNumber="1" containsInteger="1" minValue="0" maxValue="1425"/>
    </cacheField>
    <cacheField name="Recurring Charges" numFmtId="164">
      <sharedItems containsString="0" containsBlank="1" containsNumber="1" minValue="-378.5" maxValue="239.5"/>
    </cacheField>
    <cacheField name="Lease From" numFmtId="170">
      <sharedItems containsNonDate="0" containsDate="1" containsString="0" containsBlank="1" minDate="2010-01-07T00:00:00" maxDate="2025-12-13T00:00:00"/>
    </cacheField>
    <cacheField name="Lease To" numFmtId="170">
      <sharedItems containsNonDate="0" containsDate="1" containsString="0" containsBlank="1" minDate="2024-06-27T00:00:00" maxDate="2027-02-01T00:00:00"/>
    </cacheField>
    <cacheField name="Move-in" numFmtId="170">
      <sharedItems containsNonDate="0" containsDate="1" containsString="0" containsBlank="1" minDate="2010-01-07T00:00:00" maxDate="2025-12-13T00:00:00"/>
    </cacheField>
    <cacheField name="Move-out" numFmtId="170">
      <sharedItems containsNonDate="0" containsDate="1" containsString="0" containsBlank="1" minDate="2025-12-31T00:00:00" maxDate="2026-02-01T00:00:00"/>
    </cacheField>
    <cacheField name="Past Due" numFmtId="164">
      <sharedItems containsString="0" containsBlank="1" containsNumber="1" minValue="-1468.5" maxValue="4678.5"/>
    </cacheField>
    <cacheField name="Advertised Rent" numFmtId="164">
      <sharedItems containsSemiMixedTypes="0" containsString="0" containsNumber="1" containsInteger="1" minValue="999" maxValue="14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x v="0"/>
    <n v="850"/>
    <s v="A106"/>
    <m/>
    <x v="0"/>
    <n v="1149"/>
    <m/>
    <n v="0"/>
    <m/>
    <m/>
    <m/>
    <m/>
    <m/>
    <n v="1149"/>
  </r>
  <r>
    <x v="0"/>
    <n v="850"/>
    <s v="A107"/>
    <m/>
    <x v="1"/>
    <n v="1149"/>
    <m/>
    <n v="0"/>
    <m/>
    <m/>
    <m/>
    <m/>
    <m/>
    <n v="1149"/>
  </r>
  <r>
    <x v="1"/>
    <n v="650"/>
    <s v="B137"/>
    <m/>
    <x v="0"/>
    <n v="1029"/>
    <m/>
    <n v="0"/>
    <m/>
    <m/>
    <m/>
    <m/>
    <m/>
    <n v="999"/>
  </r>
  <r>
    <x v="2"/>
    <n v="850"/>
    <s v="G138"/>
    <m/>
    <x v="1"/>
    <n v="1199"/>
    <m/>
    <n v="0"/>
    <m/>
    <m/>
    <m/>
    <m/>
    <m/>
    <n v="1199"/>
  </r>
  <r>
    <x v="0"/>
    <n v="850"/>
    <s v="G240"/>
    <m/>
    <x v="1"/>
    <n v="1149"/>
    <m/>
    <n v="0"/>
    <m/>
    <m/>
    <m/>
    <m/>
    <m/>
    <n v="1149"/>
  </r>
  <r>
    <x v="3"/>
    <n v="1150"/>
    <s v="I253"/>
    <m/>
    <x v="0"/>
    <n v="1399"/>
    <m/>
    <n v="0"/>
    <m/>
    <m/>
    <m/>
    <m/>
    <m/>
    <n v="1499"/>
  </r>
  <r>
    <x v="3"/>
    <n v="1150"/>
    <s v="I255"/>
    <s v="Maria E. Henderson"/>
    <x v="2"/>
    <n v="1399"/>
    <n v="0"/>
    <n v="149.5"/>
    <d v="2018-04-16T00:00:00"/>
    <d v="2026-12-16T00:00:00"/>
    <d v="2018-04-16T00:00:00"/>
    <m/>
    <n v="-1449.5"/>
    <n v="1399"/>
  </r>
  <r>
    <x v="1"/>
    <n v="650"/>
    <s v="B132"/>
    <s v="Vivian Jenkins"/>
    <x v="3"/>
    <n v="1029"/>
    <n v="620"/>
    <n v="120.5"/>
    <d v="2014-02-24T00:00:00"/>
    <d v="2025-06-30T00:00:00"/>
    <d v="2014-02-24T00:00:00"/>
    <m/>
    <n v="3868.1"/>
    <n v="1029"/>
  </r>
  <r>
    <x v="1"/>
    <n v="650"/>
    <s v="B236"/>
    <s v="Persharon Jennings"/>
    <x v="2"/>
    <n v="1029"/>
    <n v="632"/>
    <n v="45"/>
    <d v="2015-10-30T00:00:00"/>
    <d v="2024-06-27T00:00:00"/>
    <d v="2015-10-30T00:00:00"/>
    <m/>
    <n v="-179"/>
    <n v="1029"/>
  </r>
  <r>
    <x v="1"/>
    <n v="650"/>
    <s v="B136"/>
    <s v="Arlene Marcellus-Summers"/>
    <x v="4"/>
    <n v="1029"/>
    <n v="905"/>
    <n v="239.5"/>
    <d v="2019-01-18T00:00:00"/>
    <d v="2025-09-12T00:00:00"/>
    <d v="2019-01-18T00:00:00"/>
    <d v="2025-12-31T00:00:00"/>
    <n v="0"/>
    <n v="1029"/>
  </r>
  <r>
    <x v="1"/>
    <n v="650"/>
    <s v="F213"/>
    <s v="Doris Blake"/>
    <x v="2"/>
    <n v="1029"/>
    <n v="925"/>
    <n v="96.5"/>
    <d v="2018-04-13T00:00:00"/>
    <d v="2026-11-30T00:00:00"/>
    <d v="2018-04-13T00:00:00"/>
    <m/>
    <n v="0"/>
    <n v="1029"/>
  </r>
  <r>
    <x v="1"/>
    <n v="650"/>
    <s v="F113"/>
    <s v="Lisa Colon"/>
    <x v="2"/>
    <n v="1029"/>
    <n v="943"/>
    <n v="113.5"/>
    <d v="2011-08-09T00:00:00"/>
    <d v="2026-05-05T00:00:00"/>
    <d v="2011-08-09T00:00:00"/>
    <m/>
    <n v="1661.5"/>
    <n v="1029"/>
  </r>
  <r>
    <x v="1"/>
    <n v="650"/>
    <s v="B134"/>
    <s v="Myia M. Natson-Green"/>
    <x v="2"/>
    <n v="1029"/>
    <n v="949"/>
    <n v="121.5"/>
    <d v="2025-09-30T00:00:00"/>
    <d v="2026-09-29T00:00:00"/>
    <d v="2025-09-30T00:00:00"/>
    <m/>
    <n v="0"/>
    <n v="1029"/>
  </r>
  <r>
    <x v="1"/>
    <n v="650"/>
    <s v="B232"/>
    <s v="Jemuel A. Derla"/>
    <x v="2"/>
    <n v="1029"/>
    <n v="949"/>
    <n v="121.5"/>
    <d v="2025-08-22T00:00:00"/>
    <d v="2026-08-31T00:00:00"/>
    <d v="2025-08-22T00:00:00"/>
    <m/>
    <n v="0"/>
    <n v="1029"/>
  </r>
  <r>
    <x v="1"/>
    <n v="650"/>
    <s v="B234"/>
    <s v="Tavish D. Reynolds"/>
    <x v="2"/>
    <n v="1029"/>
    <n v="949"/>
    <n v="121.5"/>
    <d v="2025-08-30T00:00:00"/>
    <d v="2026-08-31T00:00:00"/>
    <d v="2025-08-30T00:00:00"/>
    <m/>
    <n v="0"/>
    <n v="1029"/>
  </r>
  <r>
    <x v="1"/>
    <n v="650"/>
    <s v="F111"/>
    <s v="Asia R. Lincoln"/>
    <x v="2"/>
    <n v="1029"/>
    <n v="949"/>
    <n v="121.5"/>
    <d v="2025-09-10T00:00:00"/>
    <d v="2026-09-30T00:00:00"/>
    <d v="2025-09-10T00:00:00"/>
    <m/>
    <n v="-1070.5"/>
    <n v="1029"/>
  </r>
  <r>
    <x v="1"/>
    <n v="650"/>
    <s v="F115"/>
    <s v="Donnalyn A. Montgomery"/>
    <x v="2"/>
    <n v="1029"/>
    <n v="949"/>
    <n v="106"/>
    <d v="2025-09-30T00:00:00"/>
    <d v="2026-09-29T00:00:00"/>
    <d v="2025-09-30T00:00:00"/>
    <m/>
    <n v="0"/>
    <n v="1029"/>
  </r>
  <r>
    <x v="1"/>
    <n v="650"/>
    <s v="I156"/>
    <s v="Carlos A. Garcia"/>
    <x v="2"/>
    <n v="1029"/>
    <n v="949"/>
    <n v="121.5"/>
    <d v="2025-09-10T00:00:00"/>
    <d v="2026-09-09T00:00:00"/>
    <d v="2025-09-10T00:00:00"/>
    <m/>
    <n v="-1070.5"/>
    <n v="1029"/>
  </r>
  <r>
    <x v="1"/>
    <n v="650"/>
    <s v="I254"/>
    <s v="Adriana Pedroso"/>
    <x v="2"/>
    <n v="1029"/>
    <n v="949"/>
    <n v="121.5"/>
    <d v="2025-09-12T00:00:00"/>
    <d v="2026-09-11T00:00:00"/>
    <d v="2025-09-12T00:00:00"/>
    <m/>
    <n v="0"/>
    <n v="1029"/>
  </r>
  <r>
    <x v="1"/>
    <n v="650"/>
    <s v="B233"/>
    <s v="Vanness White"/>
    <x v="2"/>
    <n v="1029"/>
    <n v="950"/>
    <n v="124.5"/>
    <d v="2022-12-06T00:00:00"/>
    <d v="2026-12-31T00:00:00"/>
    <d v="2022-12-06T00:00:00"/>
    <m/>
    <n v="-549"/>
    <n v="1029"/>
  </r>
  <r>
    <x v="1"/>
    <n v="650"/>
    <s v="B133"/>
    <s v="Allison Jones"/>
    <x v="2"/>
    <n v="1029"/>
    <n v="975"/>
    <n v="76"/>
    <d v="2010-01-07T00:00:00"/>
    <d v="2026-02-14T00:00:00"/>
    <d v="2010-01-07T00:00:00"/>
    <m/>
    <n v="-250"/>
    <n v="1029"/>
  </r>
  <r>
    <x v="1"/>
    <n v="650"/>
    <s v="I258"/>
    <s v="Burton Martinez"/>
    <x v="2"/>
    <n v="1029"/>
    <n v="975"/>
    <n v="123.5"/>
    <d v="2019-05-30T00:00:00"/>
    <d v="2026-04-30T00:00:00"/>
    <d v="2019-05-30T00:00:00"/>
    <m/>
    <n v="0"/>
    <n v="1029"/>
  </r>
  <r>
    <x v="1"/>
    <n v="650"/>
    <s v="C131"/>
    <s v="Victoria Acevedo"/>
    <x v="2"/>
    <n v="1029"/>
    <n v="980"/>
    <n v="124.5"/>
    <d v="2022-11-18T00:00:00"/>
    <d v="2026-11-30T00:00:00"/>
    <d v="2022-11-18T00:00:00"/>
    <m/>
    <n v="-1104.5"/>
    <n v="1029"/>
  </r>
  <r>
    <x v="1"/>
    <n v="650"/>
    <s v="B135"/>
    <s v="Leslie Montalvo"/>
    <x v="2"/>
    <n v="1029"/>
    <n v="999"/>
    <n v="113.5"/>
    <d v="2025-03-28T00:00:00"/>
    <d v="2026-04-27T00:00:00"/>
    <d v="2025-03-28T00:00:00"/>
    <m/>
    <n v="0"/>
    <n v="1029"/>
  </r>
  <r>
    <x v="1"/>
    <n v="650"/>
    <s v="B237"/>
    <s v="Juan Esteban"/>
    <x v="2"/>
    <n v="1029"/>
    <n v="999"/>
    <n v="133.5"/>
    <d v="2025-01-09T00:00:00"/>
    <d v="2026-01-08T00:00:00"/>
    <d v="2025-01-09T00:00:00"/>
    <m/>
    <n v="-1132.5"/>
    <n v="1029"/>
  </r>
  <r>
    <x v="1"/>
    <n v="650"/>
    <s v="C128"/>
    <s v="Jasmine Mixson"/>
    <x v="2"/>
    <n v="1029"/>
    <n v="999"/>
    <n v="109"/>
    <d v="2019-02-15T00:00:00"/>
    <d v="2026-07-31T00:00:00"/>
    <d v="2019-02-15T00:00:00"/>
    <m/>
    <n v="0"/>
    <n v="1029"/>
  </r>
  <r>
    <x v="1"/>
    <n v="650"/>
    <s v="C129"/>
    <s v="Julio Galindo Hernandez"/>
    <x v="2"/>
    <n v="1029"/>
    <n v="999"/>
    <n v="129.5"/>
    <d v="2023-05-15T00:00:00"/>
    <d v="2026-07-31T00:00:00"/>
    <d v="2023-05-15T00:00:00"/>
    <m/>
    <n v="-1128.5"/>
    <n v="1029"/>
  </r>
  <r>
    <x v="1"/>
    <n v="650"/>
    <s v="C130"/>
    <s v="Leana  S. Aldama"/>
    <x v="2"/>
    <n v="1029"/>
    <n v="999"/>
    <n v="121.5"/>
    <d v="2025-07-29T00:00:00"/>
    <d v="2026-07-31T00:00:00"/>
    <d v="2025-07-29T00:00:00"/>
    <m/>
    <n v="0"/>
    <n v="1029"/>
  </r>
  <r>
    <x v="1"/>
    <n v="650"/>
    <s v="C231"/>
    <s v="Julianna Martinez"/>
    <x v="2"/>
    <n v="1029"/>
    <n v="999"/>
    <n v="141.5"/>
    <d v="2024-12-04T00:00:00"/>
    <d v="2026-12-03T00:00:00"/>
    <d v="2024-12-04T00:00:00"/>
    <m/>
    <n v="-740.5"/>
    <n v="1029"/>
  </r>
  <r>
    <x v="4"/>
    <n v="800"/>
    <s v="E119"/>
    <s v="Michael Hays"/>
    <x v="2"/>
    <n v="1049"/>
    <n v="999"/>
    <n v="106"/>
    <d v="2025-08-30T00:00:00"/>
    <d v="2026-08-29T00:00:00"/>
    <d v="2025-08-30T00:00:00"/>
    <m/>
    <n v="-1105"/>
    <n v="1049"/>
  </r>
  <r>
    <x v="1"/>
    <n v="650"/>
    <s v="F110"/>
    <s v="Alfredo Raudez Ramos"/>
    <x v="5"/>
    <n v="1029"/>
    <n v="999"/>
    <n v="113.5"/>
    <d v="2025-04-25T00:00:00"/>
    <d v="2026-04-30T00:00:00"/>
    <d v="2025-04-25T00:00:00"/>
    <d v="2026-01-02T00:00:00"/>
    <n v="0"/>
    <n v="1029"/>
  </r>
  <r>
    <x v="1"/>
    <n v="650"/>
    <s v="F112"/>
    <s v="Frantzso Etienne"/>
    <x v="2"/>
    <n v="1029"/>
    <n v="999"/>
    <n v="105.5"/>
    <d v="2025-02-22T00:00:00"/>
    <d v="2026-02-21T00:00:00"/>
    <d v="2025-02-22T00:00:00"/>
    <m/>
    <n v="0"/>
    <n v="1029"/>
  </r>
  <r>
    <x v="1"/>
    <n v="650"/>
    <s v="F114"/>
    <s v="Yerili Rodriguez Chong"/>
    <x v="2"/>
    <n v="1029"/>
    <n v="999"/>
    <n v="118"/>
    <d v="2021-02-01T00:00:00"/>
    <d v="2027-01-31T00:00:00"/>
    <d v="2021-02-01T00:00:00"/>
    <m/>
    <n v="-1117"/>
    <n v="1029"/>
  </r>
  <r>
    <x v="1"/>
    <n v="650"/>
    <s v="F210"/>
    <s v="Jose Morles Hernandez"/>
    <x v="2"/>
    <n v="1029"/>
    <n v="999"/>
    <n v="141.5"/>
    <d v="2025-01-02T00:00:00"/>
    <d v="2027-01-01T00:00:00"/>
    <d v="2025-01-02T00:00:00"/>
    <m/>
    <n v="-1140.5"/>
    <n v="1029"/>
  </r>
  <r>
    <x v="1"/>
    <n v="650"/>
    <s v="F212"/>
    <s v="Shawn Geddes"/>
    <x v="3"/>
    <n v="1029"/>
    <n v="999"/>
    <n v="111.5"/>
    <d v="2024-10-17T00:00:00"/>
    <d v="2026-09-30T00:00:00"/>
    <d v="2024-10-17T00:00:00"/>
    <m/>
    <n v="1721"/>
    <n v="1029"/>
  </r>
  <r>
    <x v="1"/>
    <n v="650"/>
    <s v="F214"/>
    <s v="Wayne Wicker"/>
    <x v="2"/>
    <n v="1029"/>
    <n v="999"/>
    <n v="96.5"/>
    <m/>
    <d v="2026-10-31T00:00:00"/>
    <d v="2014-12-06T00:00:00"/>
    <m/>
    <n v="0"/>
    <n v="1029"/>
  </r>
  <r>
    <x v="1"/>
    <n v="650"/>
    <s v="I158"/>
    <s v="Kassidy King"/>
    <x v="2"/>
    <n v="1029"/>
    <n v="999"/>
    <n v="113.5"/>
    <d v="2025-05-01T00:00:00"/>
    <d v="2026-04-30T00:00:00"/>
    <d v="2025-05-01T00:00:00"/>
    <m/>
    <n v="0"/>
    <n v="1029"/>
  </r>
  <r>
    <x v="1"/>
    <n v="650"/>
    <s v="I256"/>
    <s v="Nelson Perdomo Alvarez"/>
    <x v="2"/>
    <n v="1029"/>
    <n v="999"/>
    <n v="113.5"/>
    <d v="2024-04-01T00:00:00"/>
    <d v="2026-03-31T00:00:00"/>
    <d v="2024-04-01T00:00:00"/>
    <m/>
    <n v="0"/>
    <n v="1029"/>
  </r>
  <r>
    <x v="4"/>
    <n v="800"/>
    <s v="J246"/>
    <s v="Pashent Robinson"/>
    <x v="2"/>
    <n v="1049"/>
    <n v="999"/>
    <m/>
    <d v="2025-08-31T00:00:00"/>
    <d v="2026-08-30T00:00:00"/>
    <d v="2025-08-31T00:00:00"/>
    <m/>
    <n v="0"/>
    <n v="1049"/>
  </r>
  <r>
    <x v="4"/>
    <n v="800"/>
    <s v="J247"/>
    <s v="Shelly Diallo"/>
    <x v="3"/>
    <n v="1049"/>
    <n v="999"/>
    <n v="118.5"/>
    <d v="2025-08-11T00:00:00"/>
    <d v="2026-08-10T00:00:00"/>
    <d v="2025-08-11T00:00:00"/>
    <m/>
    <n v="2465.9"/>
    <n v="1049"/>
  </r>
  <r>
    <x v="4"/>
    <n v="800"/>
    <s v="J249"/>
    <s v="Aaliyah K. Myers"/>
    <x v="2"/>
    <n v="1049"/>
    <n v="999"/>
    <n v="122"/>
    <d v="2025-08-22T00:00:00"/>
    <d v="2026-08-31T00:00:00"/>
    <d v="2025-08-22T00:00:00"/>
    <m/>
    <n v="-1121"/>
    <n v="1049"/>
  </r>
  <r>
    <x v="4"/>
    <n v="800"/>
    <s v="E118"/>
    <s v="Miguel Munoz Alvarado"/>
    <x v="2"/>
    <n v="1049"/>
    <n v="1000"/>
    <n v="158.5"/>
    <d v="2023-05-09T00:00:00"/>
    <d v="2026-04-30T00:00:00"/>
    <d v="2023-05-09T00:00:00"/>
    <m/>
    <n v="0"/>
    <n v="1049"/>
  </r>
  <r>
    <x v="1"/>
    <n v="650"/>
    <s v="C228"/>
    <s v="Ability Housing, Inc."/>
    <x v="2"/>
    <n v="1029"/>
    <n v="1025"/>
    <n v="111.5"/>
    <d v="2024-11-22T00:00:00"/>
    <d v="2026-11-23T00:00:00"/>
    <d v="2024-11-22T00:00:00"/>
    <m/>
    <n v="-598"/>
    <n v="1029"/>
  </r>
  <r>
    <x v="1"/>
    <n v="650"/>
    <s v="C230"/>
    <s v="Yanely Gomez"/>
    <x v="2"/>
    <n v="1029"/>
    <n v="1025"/>
    <n v="111.5"/>
    <d v="2024-11-05T00:00:00"/>
    <d v="2026-10-31T00:00:00"/>
    <d v="2024-11-05T00:00:00"/>
    <m/>
    <n v="-1136.5"/>
    <n v="1029"/>
  </r>
  <r>
    <x v="1"/>
    <n v="650"/>
    <s v="F215"/>
    <s v="Presbyterian Social Ministries"/>
    <x v="2"/>
    <n v="1029"/>
    <n v="1025"/>
    <n v="111.5"/>
    <d v="2024-10-30T00:00:00"/>
    <d v="2026-10-31T00:00:00"/>
    <d v="2024-10-30T00:00:00"/>
    <m/>
    <n v="0"/>
    <n v="1029"/>
  </r>
  <r>
    <x v="0"/>
    <n v="850"/>
    <s v="D225"/>
    <s v="Omega  A. Johnson"/>
    <x v="2"/>
    <n v="1149"/>
    <n v="1029"/>
    <n v="121.5"/>
    <d v="2025-11-21T00:00:00"/>
    <d v="2026-11-13T00:00:00"/>
    <d v="2025-11-14T00:00:00"/>
    <m/>
    <n v="40.5"/>
    <n v="1029"/>
  </r>
  <r>
    <x v="4"/>
    <n v="800"/>
    <s v="J150"/>
    <s v="Lacoria S. Glover"/>
    <x v="2"/>
    <n v="1049"/>
    <n v="1029"/>
    <n v="121.5"/>
    <d v="2025-12-12T00:00:00"/>
    <d v="2026-12-11T00:00:00"/>
    <d v="2025-12-12T00:00:00"/>
    <m/>
    <n v="-1150.5"/>
    <n v="1049"/>
  </r>
  <r>
    <x v="0"/>
    <n v="850"/>
    <s v="D226"/>
    <s v="Lisandro Matos"/>
    <x v="2"/>
    <n v="1149"/>
    <n v="1030"/>
    <n v="106.5"/>
    <d v="2016-09-07T00:00:00"/>
    <d v="2026-10-31T00:00:00"/>
    <d v="2016-09-07T00:00:00"/>
    <m/>
    <n v="-1136.5"/>
    <n v="1149"/>
  </r>
  <r>
    <x v="1"/>
    <n v="650"/>
    <s v="C229"/>
    <s v="Beryl Davis III"/>
    <x v="5"/>
    <n v="1029"/>
    <n v="1040"/>
    <n v="133.5"/>
    <d v="2023-02-11T00:00:00"/>
    <m/>
    <d v="2023-02-11T00:00:00"/>
    <d v="2026-01-13T00:00:00"/>
    <n v="-1173.5"/>
    <n v="1029"/>
  </r>
  <r>
    <x v="1"/>
    <n v="650"/>
    <s v="B235"/>
    <s v="Andre Outlaw"/>
    <x v="5"/>
    <n v="1029"/>
    <n v="1045"/>
    <n v="153"/>
    <d v="2024-01-22T00:00:00"/>
    <d v="2026-01-31T00:00:00"/>
    <d v="2024-01-22T00:00:00"/>
    <d v="2026-01-31T00:00:00"/>
    <n v="-1198"/>
    <n v="1029"/>
  </r>
  <r>
    <x v="2"/>
    <n v="850"/>
    <s v="A103"/>
    <s v="Nicole J. Rhodes"/>
    <x v="2"/>
    <n v="1199"/>
    <n v="1049"/>
    <n v="121.5"/>
    <d v="2025-12-01T00:00:00"/>
    <d v="2026-11-30T00:00:00"/>
    <d v="2025-12-01T00:00:00"/>
    <m/>
    <n v="-1170.5"/>
    <n v="1199"/>
  </r>
  <r>
    <x v="0"/>
    <n v="850"/>
    <s v="D126"/>
    <s v="SanTonio M. Davis"/>
    <x v="2"/>
    <n v="1149"/>
    <n v="1049"/>
    <n v="121.5"/>
    <d v="2025-10-17T00:00:00"/>
    <d v="2026-10-31T00:00:00"/>
    <d v="2025-10-17T00:00:00"/>
    <m/>
    <n v="0"/>
    <n v="1149"/>
  </r>
  <r>
    <x v="0"/>
    <n v="850"/>
    <s v="D127"/>
    <s v="Genesis Badnegas"/>
    <x v="2"/>
    <n v="1149"/>
    <n v="1049"/>
    <n v="121.5"/>
    <d v="2025-09-02T00:00:00"/>
    <d v="2026-09-01T00:00:00"/>
    <d v="2025-09-02T00:00:00"/>
    <m/>
    <n v="0"/>
    <n v="1149"/>
  </r>
  <r>
    <x v="4"/>
    <n v="800"/>
    <s v="E116"/>
    <s v="Nicole  A. Cunningham"/>
    <x v="2"/>
    <n v="1049"/>
    <n v="1049"/>
    <n v="121.5"/>
    <d v="2025-08-30T00:00:00"/>
    <d v="2026-08-29T00:00:00"/>
    <d v="2025-08-30T00:00:00"/>
    <m/>
    <n v="0"/>
    <n v="1049"/>
  </r>
  <r>
    <x v="1"/>
    <n v="650"/>
    <s v="F211"/>
    <s v="Erick Torres Escalera"/>
    <x v="2"/>
    <n v="1029"/>
    <n v="1049"/>
    <n v="133.5"/>
    <d v="2023-05-19T00:00:00"/>
    <d v="2025-04-01T00:00:00"/>
    <d v="2023-05-19T00:00:00"/>
    <m/>
    <n v="100"/>
    <n v="1029"/>
  </r>
  <r>
    <x v="0"/>
    <n v="850"/>
    <s v="G143"/>
    <s v="Temeka R. Stanley"/>
    <x v="2"/>
    <n v="1149"/>
    <n v="1049"/>
    <n v="121.5"/>
    <d v="2025-08-28T00:00:00"/>
    <d v="2026-08-27T00:00:00"/>
    <d v="2025-08-28T00:00:00"/>
    <m/>
    <n v="121.5"/>
    <n v="1149"/>
  </r>
  <r>
    <x v="0"/>
    <n v="850"/>
    <s v="G145"/>
    <s v="wilfrido sanchez martinez"/>
    <x v="2"/>
    <n v="1149"/>
    <n v="1049"/>
    <n v="121.5"/>
    <d v="2025-08-28T00:00:00"/>
    <d v="2026-08-31T00:00:00"/>
    <d v="2025-08-28T00:00:00"/>
    <m/>
    <n v="-92"/>
    <n v="1149"/>
  </r>
  <r>
    <x v="0"/>
    <n v="850"/>
    <s v="H262"/>
    <s v="Thomas Cortes"/>
    <x v="2"/>
    <n v="1149"/>
    <n v="1049"/>
    <n v="106.5"/>
    <d v="2025-10-01T00:00:00"/>
    <d v="2026-09-30T00:00:00"/>
    <d v="2013-08-22T00:00:00"/>
    <m/>
    <n v="0"/>
    <n v="1149"/>
  </r>
  <r>
    <x v="0"/>
    <n v="850"/>
    <s v="H263"/>
    <s v="Seifelyazal H. Ali"/>
    <x v="2"/>
    <n v="1149"/>
    <n v="1049"/>
    <n v="-378.5"/>
    <d v="2025-10-01T00:00:00"/>
    <d v="2026-09-30T00:00:00"/>
    <d v="2025-10-01T00:00:00"/>
    <m/>
    <n v="-1170.5"/>
    <n v="1149"/>
  </r>
  <r>
    <x v="0"/>
    <n v="850"/>
    <s v="H264"/>
    <s v="Dennis  M. Simanovich"/>
    <x v="2"/>
    <n v="1149"/>
    <n v="1049"/>
    <n v="121.5"/>
    <d v="2025-09-26T00:00:00"/>
    <d v="2026-09-30T00:00:00"/>
    <d v="2025-09-26T00:00:00"/>
    <m/>
    <n v="0"/>
    <n v="1149"/>
  </r>
  <r>
    <x v="0"/>
    <n v="850"/>
    <s v="I152"/>
    <s v="Daniel P. Ellison"/>
    <x v="2"/>
    <n v="1149"/>
    <n v="1049"/>
    <n v="121.5"/>
    <d v="2025-09-20T00:00:00"/>
    <d v="2026-09-30T00:00:00"/>
    <d v="2025-09-20T00:00:00"/>
    <m/>
    <n v="-1170.5"/>
    <n v="1149"/>
  </r>
  <r>
    <x v="4"/>
    <n v="800"/>
    <s v="E117"/>
    <s v="Carlos Sardinas"/>
    <x v="2"/>
    <n v="1049"/>
    <n v="1050"/>
    <n v="153.5"/>
    <d v="2025-02-20T00:00:00"/>
    <d v="2026-02-19T00:00:00"/>
    <d v="2025-02-20T00:00:00"/>
    <m/>
    <n v="0"/>
    <n v="1049"/>
  </r>
  <r>
    <x v="4"/>
    <n v="800"/>
    <s v="E217"/>
    <s v="Osmany Rojas"/>
    <x v="3"/>
    <n v="1049"/>
    <n v="1050"/>
    <n v="123.5"/>
    <d v="2025-05-01T00:00:00"/>
    <d v="2026-04-30T00:00:00"/>
    <d v="2025-05-01T00:00:00"/>
    <m/>
    <n v="1423.5"/>
    <n v="1049"/>
  </r>
  <r>
    <x v="4"/>
    <n v="800"/>
    <s v="E218"/>
    <s v="Myra Castillo"/>
    <x v="2"/>
    <n v="1049"/>
    <n v="1050"/>
    <n v="123.5"/>
    <d v="2025-07-01T00:00:00"/>
    <d v="2026-06-30T00:00:00"/>
    <d v="2025-07-01T00:00:00"/>
    <m/>
    <n v="0"/>
    <n v="1049"/>
  </r>
  <r>
    <x v="4"/>
    <n v="800"/>
    <s v="J148"/>
    <s v="Silas Gordon"/>
    <x v="3"/>
    <n v="1049"/>
    <n v="1050"/>
    <n v="106.5"/>
    <d v="2017-09-09T00:00:00"/>
    <d v="2026-09-30T00:00:00"/>
    <d v="2017-09-09T00:00:00"/>
    <m/>
    <n v="2813"/>
    <n v="1049"/>
  </r>
  <r>
    <x v="4"/>
    <n v="800"/>
    <s v="J149"/>
    <s v="Luis Romero"/>
    <x v="2"/>
    <n v="1049"/>
    <n v="1050"/>
    <n v="121.5"/>
    <d v="2024-09-01T00:00:00"/>
    <d v="2026-08-30T00:00:00"/>
    <d v="2024-09-01T00:00:00"/>
    <m/>
    <n v="-1171.5"/>
    <n v="1049"/>
  </r>
  <r>
    <x v="4"/>
    <n v="800"/>
    <s v="J151"/>
    <s v="Jorge Escobar"/>
    <x v="2"/>
    <n v="1049"/>
    <n v="1050"/>
    <n v="-158.5"/>
    <d v="2024-04-01T00:00:00"/>
    <d v="2026-04-30T00:00:00"/>
    <d v="2024-04-01T00:00:00"/>
    <m/>
    <n v="0"/>
    <n v="1049"/>
  </r>
  <r>
    <x v="4"/>
    <n v="800"/>
    <s v="J248"/>
    <s v="Shalita Frazier"/>
    <x v="2"/>
    <n v="1049"/>
    <n v="1050"/>
    <n v="114"/>
    <d v="2021-12-20T00:00:00"/>
    <d v="2026-12-31T00:00:00"/>
    <d v="2021-12-20T00:00:00"/>
    <m/>
    <n v="-1164"/>
    <n v="1049"/>
  </r>
  <r>
    <x v="4"/>
    <n v="800"/>
    <s v="J146"/>
    <s v="DeNaja Banks"/>
    <x v="2"/>
    <n v="1049"/>
    <n v="1074"/>
    <n v="121.5"/>
    <d v="2024-04-09T00:00:00"/>
    <d v="2026-03-31T00:00:00"/>
    <d v="2024-04-09T00:00:00"/>
    <m/>
    <n v="0"/>
    <n v="1049"/>
  </r>
  <r>
    <x v="4"/>
    <n v="800"/>
    <s v="E219"/>
    <s v="Roalndo Gonzalez"/>
    <x v="2"/>
    <n v="1049"/>
    <n v="1075"/>
    <n v="149.5"/>
    <d v="2023-07-17T00:00:00"/>
    <d v="2026-10-31T00:00:00"/>
    <d v="2023-07-17T00:00:00"/>
    <m/>
    <n v="-1224.5"/>
    <n v="1049"/>
  </r>
  <r>
    <x v="0"/>
    <n v="850"/>
    <s v="G238"/>
    <s v="Pamela Midcap"/>
    <x v="2"/>
    <n v="1149"/>
    <n v="1075"/>
    <n v="134.5"/>
    <d v="2021-11-10T00:00:00"/>
    <d v="2026-11-30T00:00:00"/>
    <d v="2021-11-10T00:00:00"/>
    <m/>
    <n v="0"/>
    <n v="1149"/>
  </r>
  <r>
    <x v="4"/>
    <n v="800"/>
    <s v="J251"/>
    <s v="Mujtaba Mahamoodzada"/>
    <x v="2"/>
    <n v="1049"/>
    <n v="1075"/>
    <n v="158.5"/>
    <d v="2023-05-18T00:00:00"/>
    <d v="2026-06-30T00:00:00"/>
    <d v="2023-05-18T00:00:00"/>
    <m/>
    <n v="-1233.5"/>
    <n v="1049"/>
  </r>
  <r>
    <x v="2"/>
    <n v="850"/>
    <s v="A108"/>
    <s v="Kaelin C. Pooler"/>
    <x v="2"/>
    <n v="1199"/>
    <n v="1079"/>
    <n v="121.5"/>
    <d v="2025-12-10T00:00:00"/>
    <d v="2026-12-09T00:00:00"/>
    <d v="2025-12-10T00:00:00"/>
    <m/>
    <n v="-1200.5"/>
    <n v="1049"/>
  </r>
  <r>
    <x v="2"/>
    <n v="850"/>
    <s v="I259"/>
    <s v="Elaina L. Fogus"/>
    <x v="2"/>
    <n v="1199"/>
    <n v="1079"/>
    <n v="106"/>
    <d v="2025-12-04T00:00:00"/>
    <d v="2026-12-03T00:00:00"/>
    <d v="2025-12-04T00:00:00"/>
    <m/>
    <n v="-122.9"/>
    <n v="1049"/>
  </r>
  <r>
    <x v="0"/>
    <n v="850"/>
    <s v="D220"/>
    <s v="Patrick Hahn"/>
    <x v="2"/>
    <n v="1149"/>
    <n v="1085"/>
    <n v="91"/>
    <d v="2017-01-30T00:00:00"/>
    <d v="2026-12-31T00:00:00"/>
    <d v="2017-01-30T00:00:00"/>
    <m/>
    <n v="0"/>
    <n v="1149"/>
  </r>
  <r>
    <x v="0"/>
    <n v="850"/>
    <s v="G144"/>
    <s v="Tyrone Liddell"/>
    <x v="2"/>
    <n v="1149"/>
    <n v="1090"/>
    <n v="106.5"/>
    <d v="2020-01-29T00:00:00"/>
    <d v="2026-10-31T00:00:00"/>
    <d v="2020-01-29T00:00:00"/>
    <m/>
    <n v="-1196.5"/>
    <n v="1149"/>
  </r>
  <r>
    <x v="2"/>
    <n v="850"/>
    <s v="A105"/>
    <s v="Kioni D. Campbell"/>
    <x v="2"/>
    <n v="1199"/>
    <n v="1099"/>
    <n v="121.5"/>
    <d v="2025-08-30T00:00:00"/>
    <d v="2026-08-31T00:00:00"/>
    <d v="2025-08-30T00:00:00"/>
    <m/>
    <n v="0"/>
    <n v="1199"/>
  </r>
  <r>
    <x v="0"/>
    <n v="850"/>
    <s v="A202"/>
    <s v="Catina D. Attaway"/>
    <x v="2"/>
    <n v="1149"/>
    <n v="1099"/>
    <n v="121.5"/>
    <d v="2025-10-13T00:00:00"/>
    <d v="2026-10-31T00:00:00"/>
    <d v="2025-10-13T00:00:00"/>
    <m/>
    <n v="0"/>
    <n v="1149"/>
  </r>
  <r>
    <x v="2"/>
    <n v="850"/>
    <s v="A206"/>
    <s v="Jorge L. Escalona Salinas"/>
    <x v="2"/>
    <n v="1199"/>
    <n v="1099"/>
    <n v="121.5"/>
    <d v="2025-08-29T00:00:00"/>
    <d v="2026-08-28T00:00:00"/>
    <d v="2025-08-29T00:00:00"/>
    <m/>
    <n v="0"/>
    <n v="1199"/>
  </r>
  <r>
    <x v="0"/>
    <n v="850"/>
    <s v="A208"/>
    <s v="Tashauna S. Hills"/>
    <x v="2"/>
    <n v="1149"/>
    <n v="1099"/>
    <n v="121.5"/>
    <d v="2025-10-08T00:00:00"/>
    <d v="2026-10-31T00:00:00"/>
    <d v="2025-10-08T00:00:00"/>
    <m/>
    <n v="-1220.5"/>
    <n v="1149"/>
  </r>
  <r>
    <x v="2"/>
    <n v="850"/>
    <s v="D123"/>
    <s v="Angel Jhazzell"/>
    <x v="2"/>
    <n v="1199"/>
    <n v="1099"/>
    <n v="121.5"/>
    <d v="2025-08-29T00:00:00"/>
    <d v="2026-08-29T00:00:00"/>
    <d v="2025-08-29T00:00:00"/>
    <m/>
    <n v="0"/>
    <n v="1199"/>
  </r>
  <r>
    <x v="2"/>
    <n v="850"/>
    <s v="D124"/>
    <s v="Safiullah Jalali"/>
    <x v="2"/>
    <n v="1199"/>
    <n v="1099"/>
    <n v="121.5"/>
    <d v="2025-08-20T00:00:00"/>
    <d v="2026-08-21T00:00:00"/>
    <d v="2025-08-20T00:00:00"/>
    <m/>
    <n v="-1220"/>
    <n v="1199"/>
  </r>
  <r>
    <x v="2"/>
    <n v="850"/>
    <s v="D223"/>
    <s v="Meikaja D. Bass"/>
    <x v="2"/>
    <n v="1199"/>
    <n v="1099"/>
    <n v="121.5"/>
    <d v="2025-09-20T00:00:00"/>
    <d v="2026-09-30T00:00:00"/>
    <d v="2025-09-20T00:00:00"/>
    <m/>
    <n v="0"/>
    <n v="1199"/>
  </r>
  <r>
    <x v="4"/>
    <n v="800"/>
    <s v="E216"/>
    <s v="Gretell Castro"/>
    <x v="2"/>
    <n v="1049"/>
    <n v="1099"/>
    <n v="124"/>
    <d v="2024-08-12T00:00:00"/>
    <d v="2026-08-11T00:00:00"/>
    <d v="2024-08-12T00:00:00"/>
    <m/>
    <n v="0"/>
    <n v="1049"/>
  </r>
  <r>
    <x v="2"/>
    <n v="850"/>
    <s v="G244"/>
    <s v="Courtney A. Brannen"/>
    <x v="2"/>
    <n v="1199"/>
    <n v="1099"/>
    <n v="121.5"/>
    <d v="2025-08-22T00:00:00"/>
    <d v="2026-08-31T00:00:00"/>
    <d v="2025-08-22T00:00:00"/>
    <m/>
    <n v="-1220.5"/>
    <n v="1199"/>
  </r>
  <r>
    <x v="2"/>
    <n v="850"/>
    <s v="G245"/>
    <s v="Harry J. Black"/>
    <x v="2"/>
    <n v="1199"/>
    <n v="1099"/>
    <n v="121.5"/>
    <d v="2025-08-28T00:00:00"/>
    <d v="2026-08-27T00:00:00"/>
    <d v="2025-08-28T00:00:00"/>
    <m/>
    <n v="0"/>
    <n v="1199"/>
  </r>
  <r>
    <x v="2"/>
    <n v="850"/>
    <s v="H163"/>
    <s v="Dajanae Brown"/>
    <x v="4"/>
    <n v="1199"/>
    <n v="1099"/>
    <n v="121.5"/>
    <d v="2025-08-30T00:00:00"/>
    <d v="2026-08-31T00:00:00"/>
    <d v="2025-08-30T00:00:00"/>
    <d v="2026-01-22T00:00:00"/>
    <n v="3110.14"/>
    <n v="1199"/>
  </r>
  <r>
    <x v="2"/>
    <n v="850"/>
    <s v="H260"/>
    <s v="Janell A. Joyce"/>
    <x v="2"/>
    <n v="1199"/>
    <n v="1099"/>
    <n v="121.5"/>
    <d v="2025-08-29T00:00:00"/>
    <d v="2026-08-28T00:00:00"/>
    <d v="2025-08-29T00:00:00"/>
    <m/>
    <n v="-1220.5"/>
    <n v="1199"/>
  </r>
  <r>
    <x v="2"/>
    <n v="850"/>
    <s v="H265"/>
    <s v="Ezekiel  L. Anderson"/>
    <x v="2"/>
    <n v="1199"/>
    <n v="1099"/>
    <n v="121.5"/>
    <d v="2025-09-10T00:00:00"/>
    <d v="2026-09-30T00:00:00"/>
    <d v="2025-09-19T00:00:00"/>
    <m/>
    <n v="0"/>
    <n v="1199"/>
  </r>
  <r>
    <x v="0"/>
    <n v="850"/>
    <s v="A204"/>
    <s v="Yenisel Fernandez"/>
    <x v="2"/>
    <n v="1149"/>
    <n v="1100"/>
    <n v="130.5"/>
    <d v="2025-04-01T00:00:00"/>
    <d v="2026-03-21T00:00:00"/>
    <d v="2024-04-01T00:00:00"/>
    <m/>
    <n v="-1230.5"/>
    <n v="1149"/>
  </r>
  <r>
    <x v="0"/>
    <n v="850"/>
    <s v="G142"/>
    <s v="Danier Delagado Sanchez"/>
    <x v="2"/>
    <n v="1149"/>
    <n v="1100"/>
    <n v="119"/>
    <d v="2023-12-12T00:00:00"/>
    <d v="2025-12-31T00:00:00"/>
    <d v="2023-12-12T00:00:00"/>
    <m/>
    <n v="0"/>
    <n v="1149"/>
  </r>
  <r>
    <x v="1"/>
    <n v="650"/>
    <s v="D120"/>
    <s v="Najah Mayo"/>
    <x v="2"/>
    <n v="1029"/>
    <n v="1101"/>
    <n v="91"/>
    <d v="2019-08-09T00:00:00"/>
    <d v="2026-08-31T00:00:00"/>
    <d v="2019-08-09T00:00:00"/>
    <m/>
    <n v="0"/>
    <n v="1029"/>
  </r>
  <r>
    <x v="1"/>
    <n v="650"/>
    <s v="I154"/>
    <s v="Cecilio O. Orta-Martinez"/>
    <x v="2"/>
    <n v="1029"/>
    <n v="1108"/>
    <n v="-1"/>
    <d v="2025-06-01T00:00:00"/>
    <d v="2026-05-31T00:00:00"/>
    <d v="2025-06-01T00:00:00"/>
    <m/>
    <n v="0"/>
    <n v="1029"/>
  </r>
  <r>
    <x v="0"/>
    <n v="850"/>
    <s v="G241"/>
    <s v="Delia Eslavon"/>
    <x v="2"/>
    <n v="1149"/>
    <n v="1128"/>
    <n v="98.5"/>
    <d v="2011-04-01T00:00:00"/>
    <d v="2027-01-22T00:00:00"/>
    <d v="2011-04-01T00:00:00"/>
    <m/>
    <n v="0"/>
    <n v="1149"/>
  </r>
  <r>
    <x v="0"/>
    <n v="850"/>
    <s v="A104"/>
    <s v="Yisen Montalvo"/>
    <x v="2"/>
    <n v="1149"/>
    <n v="1130"/>
    <n v="139.5"/>
    <d v="2025-10-01T00:00:00"/>
    <d v="2026-09-30T00:00:00"/>
    <d v="2023-07-03T00:00:00"/>
    <m/>
    <n v="0"/>
    <n v="1149"/>
  </r>
  <r>
    <x v="2"/>
    <n v="850"/>
    <s v="D222"/>
    <s v="Ameer Hamza"/>
    <x v="3"/>
    <n v="1199"/>
    <n v="1149"/>
    <n v="121.5"/>
    <d v="2025-09-30T00:00:00"/>
    <d v="2026-09-30T00:00:00"/>
    <d v="2025-09-30T00:00:00"/>
    <m/>
    <n v="1270.5"/>
    <n v="1199"/>
  </r>
  <r>
    <x v="2"/>
    <n v="850"/>
    <s v="H165"/>
    <s v="Deborah L. Anderson"/>
    <x v="2"/>
    <n v="1199"/>
    <n v="1149"/>
    <n v="121.5"/>
    <d v="2025-10-11T00:00:00"/>
    <d v="2026-10-10T00:00:00"/>
    <d v="2025-10-11T00:00:00"/>
    <m/>
    <n v="-10.050000000000001"/>
    <n v="1199"/>
  </r>
  <r>
    <x v="0"/>
    <n v="850"/>
    <s v="A109"/>
    <s v="Adams Ghaji"/>
    <x v="2"/>
    <n v="1149"/>
    <n v="1150"/>
    <n v="134.5"/>
    <d v="2023-08-26T00:00:00"/>
    <d v="2026-08-25T00:00:00"/>
    <d v="2023-08-26T00:00:00"/>
    <m/>
    <n v="-1284.5"/>
    <n v="1149"/>
  </r>
  <r>
    <x v="0"/>
    <n v="850"/>
    <s v="D122"/>
    <s v="Moises Francisco"/>
    <x v="2"/>
    <n v="1149"/>
    <n v="1150"/>
    <n v="179.5"/>
    <d v="2023-07-06T00:00:00"/>
    <d v="2025-07-31T00:00:00"/>
    <d v="2023-07-06T00:00:00"/>
    <m/>
    <n v="-1329.5"/>
    <n v="1149"/>
  </r>
  <r>
    <x v="0"/>
    <n v="850"/>
    <s v="D227"/>
    <s v="Antwanette Johnekins"/>
    <x v="2"/>
    <n v="1149"/>
    <n v="1150"/>
    <n v="134.5"/>
    <d v="2023-11-13T00:00:00"/>
    <d v="2026-11-30T00:00:00"/>
    <d v="2023-11-13T00:00:00"/>
    <m/>
    <n v="0"/>
    <n v="1149"/>
  </r>
  <r>
    <x v="4"/>
    <n v="800"/>
    <s v="J250"/>
    <s v="Angel Moya"/>
    <x v="2"/>
    <n v="1049"/>
    <n v="1150"/>
    <n v="149.5"/>
    <d v="2023-12-28T00:00:00"/>
    <d v="2026-12-27T00:00:00"/>
    <d v="2023-12-28T00:00:00"/>
    <m/>
    <n v="-50.5"/>
    <n v="1049"/>
  </r>
  <r>
    <x v="0"/>
    <n v="850"/>
    <s v="G243"/>
    <s v="Tilor Correll"/>
    <x v="5"/>
    <n v="1149"/>
    <n v="1157"/>
    <n v="142.5"/>
    <d v="2023-01-12T00:00:00"/>
    <d v="2026-01-11T00:00:00"/>
    <d v="2023-01-12T00:00:00"/>
    <d v="2026-01-11T00:00:00"/>
    <n v="0"/>
    <n v="1149"/>
  </r>
  <r>
    <x v="0"/>
    <n v="850"/>
    <s v="G141"/>
    <s v="Phylicia Carter"/>
    <x v="3"/>
    <n v="1149"/>
    <n v="1175"/>
    <n v="134.5"/>
    <d v="2023-06-07T00:00:00"/>
    <d v="2026-07-31T00:00:00"/>
    <d v="2023-06-07T00:00:00"/>
    <m/>
    <n v="4678.5"/>
    <n v="1149"/>
  </r>
  <r>
    <x v="0"/>
    <n v="850"/>
    <s v="A203"/>
    <s v="Scheila Chagas"/>
    <x v="2"/>
    <n v="1149"/>
    <n v="1199"/>
    <n v="151.5"/>
    <d v="2023-04-01T00:00:00"/>
    <d v="2025-03-31T00:00:00"/>
    <d v="2023-04-01T00:00:00"/>
    <m/>
    <n v="0"/>
    <n v="1149"/>
  </r>
  <r>
    <x v="4"/>
    <n v="800"/>
    <s v="G139"/>
    <s v="Alexander Lucas Zapata"/>
    <x v="2"/>
    <n v="1049"/>
    <n v="1199"/>
    <n v="131.5"/>
    <d v="2024-09-27T00:00:00"/>
    <d v="2026-09-30T00:00:00"/>
    <d v="2024-09-27T00:00:00"/>
    <m/>
    <n v="0"/>
    <n v="1049"/>
  </r>
  <r>
    <x v="0"/>
    <n v="850"/>
    <s v="H261"/>
    <s v="Latif Nedimovic"/>
    <x v="2"/>
    <n v="1149"/>
    <n v="1199"/>
    <n v="142.5"/>
    <d v="2017-01-14T00:00:00"/>
    <d v="2026-10-02T00:00:00"/>
    <d v="2017-01-14T00:00:00"/>
    <m/>
    <n v="0"/>
    <n v="1149"/>
  </r>
  <r>
    <x v="3"/>
    <n v="1150"/>
    <s v="I153"/>
    <s v="Jaw  M. Hay"/>
    <x v="2"/>
    <n v="1399"/>
    <n v="1199"/>
    <n v="121.5"/>
    <d v="2025-11-10T00:00:00"/>
    <d v="2026-11-09T00:00:00"/>
    <d v="2025-11-10T00:00:00"/>
    <m/>
    <n v="0"/>
    <n v="1199"/>
  </r>
  <r>
    <x v="0"/>
    <n v="850"/>
    <s v="I159"/>
    <s v="Tantania Burkett"/>
    <x v="2"/>
    <n v="1149"/>
    <n v="1199"/>
    <n v="158.5"/>
    <d v="2022-08-05T00:00:00"/>
    <d v="2026-01-31T00:00:00"/>
    <d v="2022-08-05T00:00:00"/>
    <m/>
    <n v="0"/>
    <n v="1149"/>
  </r>
  <r>
    <x v="0"/>
    <n v="850"/>
    <s v="I252"/>
    <s v="Ana Rodriguez De Garcia"/>
    <x v="2"/>
    <n v="1149"/>
    <n v="1199"/>
    <n v="121.5"/>
    <d v="2024-09-01T00:00:00"/>
    <d v="2026-08-29T00:00:00"/>
    <d v="2024-08-30T00:00:00"/>
    <m/>
    <n v="0"/>
    <n v="1149"/>
  </r>
  <r>
    <x v="2"/>
    <n v="850"/>
    <s v="D221"/>
    <s v="Dinia Banegas"/>
    <x v="2"/>
    <n v="1199"/>
    <n v="1200"/>
    <n v="121.5"/>
    <d v="2024-10-14T00:00:00"/>
    <d v="2026-12-31T00:00:00"/>
    <d v="2024-10-14T00:00:00"/>
    <m/>
    <n v="0"/>
    <n v="1199"/>
  </r>
  <r>
    <x v="0"/>
    <n v="850"/>
    <s v="D224"/>
    <s v="Jose Ramos"/>
    <x v="2"/>
    <n v="1149"/>
    <n v="1200"/>
    <n v="121.5"/>
    <d v="2024-12-04T00:00:00"/>
    <d v="2026-12-03T00:00:00"/>
    <d v="2024-12-04T00:00:00"/>
    <m/>
    <n v="-1321.5"/>
    <n v="1149"/>
  </r>
  <r>
    <x v="2"/>
    <n v="850"/>
    <s v="H160"/>
    <s v="Billenia Smith"/>
    <x v="2"/>
    <n v="1199"/>
    <n v="1200"/>
    <n v="121.5"/>
    <d v="2024-12-12T00:00:00"/>
    <d v="2025-12-11T00:00:00"/>
    <d v="2024-12-12T00:00:00"/>
    <m/>
    <n v="1321.5"/>
    <n v="1099"/>
  </r>
  <r>
    <x v="2"/>
    <n v="850"/>
    <s v="H161"/>
    <s v="Yosainer Rodriguez"/>
    <x v="2"/>
    <n v="1199"/>
    <n v="1200"/>
    <n v="108.5"/>
    <d v="2025-01-24T00:00:00"/>
    <d v="2026-01-23T00:00:00"/>
    <d v="2025-01-24T00:00:00"/>
    <m/>
    <n v="0"/>
    <n v="1199"/>
  </r>
  <r>
    <x v="2"/>
    <n v="850"/>
    <s v="H162"/>
    <s v="Andreina Carmen"/>
    <x v="2"/>
    <n v="1199"/>
    <n v="1200"/>
    <n v="138.5"/>
    <d v="2025-01-20T00:00:00"/>
    <d v="2027-01-19T00:00:00"/>
    <d v="2025-01-16T00:00:00"/>
    <m/>
    <n v="0"/>
    <n v="1199"/>
  </r>
  <r>
    <x v="2"/>
    <n v="850"/>
    <s v="H164"/>
    <s v="Chanting Jackson"/>
    <x v="2"/>
    <n v="1199"/>
    <n v="1200"/>
    <n v="121.5"/>
    <d v="2025-01-06T00:00:00"/>
    <d v="2027-01-05T00:00:00"/>
    <d v="2025-01-06T00:00:00"/>
    <m/>
    <n v="636"/>
    <n v="1199"/>
  </r>
  <r>
    <x v="0"/>
    <n v="850"/>
    <s v="J147"/>
    <s v="Robert Stephens"/>
    <x v="2"/>
    <n v="1149"/>
    <n v="1200"/>
    <n v="106"/>
    <d v="2024-12-17T00:00:00"/>
    <d v="2026-12-16T00:00:00"/>
    <d v="2024-12-17T00:00:00"/>
    <m/>
    <n v="-6.5"/>
    <n v="1149"/>
  </r>
  <r>
    <x v="2"/>
    <n v="850"/>
    <s v="D121"/>
    <s v="Justice Williams"/>
    <x v="2"/>
    <n v="1199"/>
    <n v="1225"/>
    <n v="121.5"/>
    <d v="2024-10-19T00:00:00"/>
    <d v="2026-10-30T00:00:00"/>
    <d v="2024-10-19T00:00:00"/>
    <m/>
    <n v="0"/>
    <n v="1199"/>
  </r>
  <r>
    <x v="2"/>
    <n v="850"/>
    <s v="D125"/>
    <s v="Mary Hale"/>
    <x v="2"/>
    <n v="1199"/>
    <n v="1225"/>
    <n v="106"/>
    <d v="2025-10-26T00:00:00"/>
    <d v="2026-10-25T00:00:00"/>
    <d v="2024-10-26T00:00:00"/>
    <m/>
    <n v="0"/>
    <n v="1199"/>
  </r>
  <r>
    <x v="3"/>
    <n v="1150"/>
    <s v="I157"/>
    <s v="Avery Kwame"/>
    <x v="2"/>
    <n v="1399"/>
    <n v="1290"/>
    <n v="118.5"/>
    <d v="2020-11-01T00:00:00"/>
    <d v="2027-01-31T00:00:00"/>
    <d v="2020-11-01T00:00:00"/>
    <m/>
    <n v="0"/>
    <n v="1399"/>
  </r>
  <r>
    <x v="2"/>
    <n v="850"/>
    <s v="A205"/>
    <s v="Arifa Rezai"/>
    <x v="2"/>
    <n v="1199"/>
    <n v="1300"/>
    <n v="123.5"/>
    <d v="2025-04-02T00:00:00"/>
    <d v="2026-04-01T00:00:00"/>
    <d v="2025-04-02T00:00:00"/>
    <m/>
    <n v="-1423.5"/>
    <n v="1199"/>
  </r>
  <r>
    <x v="2"/>
    <n v="850"/>
    <s v="A207"/>
    <s v="Agneli Herrera Ruz"/>
    <x v="2"/>
    <n v="1199"/>
    <n v="1300"/>
    <n v="121.5"/>
    <d v="2024-08-01T00:00:00"/>
    <d v="2026-09-30T00:00:00"/>
    <d v="2024-08-01T00:00:00"/>
    <m/>
    <n v="0"/>
    <n v="1199"/>
  </r>
  <r>
    <x v="2"/>
    <n v="850"/>
    <s v="A209"/>
    <s v="Alexi Lopez"/>
    <x v="2"/>
    <n v="1199"/>
    <n v="1300"/>
    <n v="123.5"/>
    <d v="2025-03-05T00:00:00"/>
    <d v="2026-04-04T00:00:00"/>
    <d v="2025-03-05T00:00:00"/>
    <m/>
    <n v="0"/>
    <n v="1199"/>
  </r>
  <r>
    <x v="2"/>
    <n v="850"/>
    <s v="G140"/>
    <s v="Tarsha Daise"/>
    <x v="5"/>
    <n v="1199"/>
    <n v="1300"/>
    <n v="113.5"/>
    <d v="2025-03-01T00:00:00"/>
    <d v="2026-02-28T00:00:00"/>
    <d v="2025-03-01T00:00:00"/>
    <d v="2026-01-19T00:00:00"/>
    <n v="0"/>
    <n v="1199"/>
  </r>
  <r>
    <x v="2"/>
    <n v="850"/>
    <s v="G239"/>
    <s v="Joshua Reed-Buck"/>
    <x v="2"/>
    <n v="1199"/>
    <n v="1300"/>
    <n v="168.5"/>
    <d v="2025-04-25T00:00:00"/>
    <d v="2026-04-30T00:00:00"/>
    <d v="2025-04-25T00:00:00"/>
    <m/>
    <n v="-1468.5"/>
    <n v="1199"/>
  </r>
  <r>
    <x v="2"/>
    <n v="850"/>
    <s v="G242"/>
    <s v="Yordan Montesino"/>
    <x v="3"/>
    <n v="1199"/>
    <n v="1300"/>
    <n v="123.5"/>
    <d v="2025-03-01T00:00:00"/>
    <d v="2026-04-30T00:00:00"/>
    <d v="2025-03-01T00:00:00"/>
    <m/>
    <n v="0"/>
    <n v="1199"/>
  </r>
  <r>
    <x v="3"/>
    <n v="1150"/>
    <s v="I257"/>
    <s v="Carlanika T. Brown"/>
    <x v="2"/>
    <n v="1399"/>
    <n v="1399"/>
    <n v="121.5"/>
    <d v="2025-09-30T00:00:00"/>
    <d v="2026-09-30T00:00:00"/>
    <d v="2025-09-30T00:00:00"/>
    <m/>
    <n v="0"/>
    <n v="1399"/>
  </r>
  <r>
    <x v="3"/>
    <n v="1150"/>
    <s v="I155"/>
    <s v="Abdullah Hassan"/>
    <x v="2"/>
    <n v="1399"/>
    <n v="1425"/>
    <n v="121.5"/>
    <d v="2024-09-16T00:00:00"/>
    <d v="2026-11-06T00:00:00"/>
    <d v="2024-09-16T00:00:00"/>
    <m/>
    <n v="107"/>
    <n v="1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A6855-860E-D84C-9125-2FE663357D5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4">
    <pivotField showAll="0">
      <items count="6">
        <item x="1"/>
        <item x="4"/>
        <item x="0"/>
        <item x="2"/>
        <item x="3"/>
        <item t="default"/>
      </items>
    </pivotField>
    <pivotField numFmtId="166" showAll="0"/>
    <pivotField dataField="1" showAll="0"/>
    <pivotField showAll="0"/>
    <pivotField axis="axisRow" showAll="0">
      <items count="7">
        <item x="2"/>
        <item h="1" x="3"/>
        <item x="4"/>
        <item x="5"/>
        <item h="1" x="0"/>
        <item h="1" x="1"/>
        <item t="default"/>
      </items>
    </pivotField>
    <pivotField numFmtId="164" showAll="0"/>
    <pivotField dataField="1" showAll="0"/>
    <pivotField dataField="1" showAll="0"/>
    <pivotField showAll="0"/>
    <pivotField showAll="0"/>
    <pivotField showAll="0"/>
    <pivotField showAll="0"/>
    <pivotField showAll="0"/>
    <pivotField numFmtId="164" showAll="0"/>
  </pivotFields>
  <rowFields count="1">
    <field x="4"/>
  </rowFields>
  <rowItems count="4">
    <i>
      <x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Unit" fld="2" subtotal="count" baseField="0" baseItem="0"/>
    <dataField name="Sum of Rent" fld="6" baseField="0" baseItem="0" numFmtId="44"/>
    <dataField name="Sum of Recurring Charges" fld="7" baseField="0" baseItem="0" numFmtId="4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apartments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://apartments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partments.com/manchester-jacksonville-fl/q2d3pfx/" TargetMode="External"/><Relationship Id="rId2" Type="http://schemas.openxmlformats.org/officeDocument/2006/relationships/hyperlink" Target="https://www.apartments.com/marco-meadows-jacksonville-fl/059pn42/" TargetMode="External"/><Relationship Id="rId1" Type="http://schemas.openxmlformats.org/officeDocument/2006/relationships/hyperlink" Target="https://www.apartments.com/the-landings-at-san-marco-jacksonville-fl/we2dnrk/" TargetMode="External"/><Relationship Id="rId6" Type="http://schemas.openxmlformats.org/officeDocument/2006/relationships/hyperlink" Target="https://www.apartments.com/manchester-jacksonville-fl/q2d3pfx/" TargetMode="External"/><Relationship Id="rId5" Type="http://schemas.openxmlformats.org/officeDocument/2006/relationships/hyperlink" Target="https://www.apartments.com/marco-meadows-jacksonville-fl/059pn42/" TargetMode="External"/><Relationship Id="rId4" Type="http://schemas.openxmlformats.org/officeDocument/2006/relationships/hyperlink" Target="https://www.apartments.com/the-landings-at-san-marco-jacksonville-fl/we2dnrk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http://apartments.com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topLeftCell="B1" workbookViewId="0"/>
  </sheetViews>
  <sheetFormatPr baseColWidth="10" defaultColWidth="12.6640625" defaultRowHeight="15" customHeight="1" outlineLevelRow="2"/>
  <cols>
    <col min="1" max="1" width="17.83203125" hidden="1" customWidth="1"/>
    <col min="2" max="2" width="42.1640625" customWidth="1"/>
    <col min="3" max="3" width="11.6640625" hidden="1" customWidth="1"/>
    <col min="4" max="4" width="6.6640625" hidden="1" customWidth="1"/>
    <col min="5" max="6" width="11.6640625" hidden="1" customWidth="1"/>
    <col min="7" max="7" width="10.6640625" hidden="1" customWidth="1"/>
    <col min="8" max="8" width="8.1640625" customWidth="1"/>
    <col min="9" max="9" width="10" customWidth="1"/>
    <col min="10" max="15" width="8.5" customWidth="1"/>
    <col min="16" max="20" width="9.6640625" customWidth="1"/>
    <col min="21" max="21" width="11.1640625" customWidth="1"/>
    <col min="22" max="26" width="8.6640625" customWidth="1"/>
  </cols>
  <sheetData>
    <row r="1" spans="1:21" ht="14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s="8"/>
      <c r="I1" s="8">
        <v>45931</v>
      </c>
      <c r="J1" s="8">
        <v>45962</v>
      </c>
      <c r="K1" s="8">
        <v>45992</v>
      </c>
      <c r="L1" s="8">
        <v>46023</v>
      </c>
      <c r="M1" s="8">
        <v>46054</v>
      </c>
      <c r="N1" s="8">
        <v>46082</v>
      </c>
      <c r="O1" s="8">
        <v>46113</v>
      </c>
      <c r="P1" s="8">
        <v>46143</v>
      </c>
      <c r="Q1" s="8">
        <v>46174</v>
      </c>
      <c r="R1" s="8">
        <v>46204</v>
      </c>
      <c r="S1" s="8">
        <v>46235</v>
      </c>
      <c r="T1" s="8">
        <v>46235</v>
      </c>
    </row>
    <row r="2" spans="1:21" ht="14.25" customHeight="1">
      <c r="A2" s="9"/>
      <c r="B2" s="9"/>
      <c r="C2" s="10"/>
      <c r="D2" s="10"/>
      <c r="E2" s="10"/>
      <c r="F2" s="10"/>
      <c r="H2" s="1" t="s">
        <v>6</v>
      </c>
      <c r="I2" s="2">
        <v>17</v>
      </c>
      <c r="J2" s="2">
        <v>20</v>
      </c>
      <c r="K2" s="2">
        <v>20</v>
      </c>
      <c r="L2" s="2">
        <v>20</v>
      </c>
      <c r="M2" s="2">
        <v>30</v>
      </c>
      <c r="N2" s="2">
        <v>40</v>
      </c>
      <c r="O2" s="2">
        <v>60</v>
      </c>
      <c r="P2" s="2">
        <v>70</v>
      </c>
      <c r="Q2" s="2">
        <v>88</v>
      </c>
      <c r="R2" s="2">
        <v>88</v>
      </c>
      <c r="S2" s="2">
        <v>88</v>
      </c>
      <c r="T2" s="2">
        <v>88</v>
      </c>
    </row>
    <row r="3" spans="1:21" ht="14.25" customHeight="1">
      <c r="A3" s="9"/>
      <c r="B3" s="9"/>
      <c r="C3" s="10"/>
      <c r="D3" s="10"/>
      <c r="E3" s="10"/>
      <c r="F3" s="10"/>
      <c r="H3" s="1" t="s">
        <v>7</v>
      </c>
      <c r="I3" s="2">
        <v>1450</v>
      </c>
      <c r="J3" s="2">
        <v>1450</v>
      </c>
      <c r="K3" s="2">
        <v>1450</v>
      </c>
      <c r="L3" s="2">
        <v>1450</v>
      </c>
      <c r="M3" s="2">
        <v>1450</v>
      </c>
      <c r="N3" s="2">
        <v>1450</v>
      </c>
      <c r="O3" s="2">
        <v>1450</v>
      </c>
      <c r="P3" s="2">
        <v>1450</v>
      </c>
      <c r="Q3" s="2">
        <v>1450</v>
      </c>
      <c r="R3" s="2">
        <v>1450</v>
      </c>
      <c r="S3" s="2">
        <v>1450</v>
      </c>
      <c r="T3" s="2">
        <v>1450</v>
      </c>
    </row>
    <row r="4" spans="1:21" ht="14.25" customHeight="1">
      <c r="A4" s="11" t="s">
        <v>8</v>
      </c>
      <c r="B4" s="11" t="s">
        <v>9</v>
      </c>
      <c r="C4" s="12">
        <v>16436.71</v>
      </c>
      <c r="D4" s="12">
        <v>0</v>
      </c>
      <c r="E4" s="12">
        <v>505.72</v>
      </c>
      <c r="F4" s="12">
        <v>16942.43</v>
      </c>
      <c r="I4" s="13">
        <f t="shared" ref="I4:T4" si="0">I2*I3</f>
        <v>24650</v>
      </c>
      <c r="J4" s="13">
        <f t="shared" si="0"/>
        <v>29000</v>
      </c>
      <c r="K4" s="13">
        <f t="shared" si="0"/>
        <v>29000</v>
      </c>
      <c r="L4" s="13">
        <f t="shared" si="0"/>
        <v>29000</v>
      </c>
      <c r="M4" s="13">
        <f t="shared" si="0"/>
        <v>43500</v>
      </c>
      <c r="N4" s="13">
        <f t="shared" si="0"/>
        <v>58000</v>
      </c>
      <c r="O4" s="13">
        <f t="shared" si="0"/>
        <v>87000</v>
      </c>
      <c r="P4" s="13">
        <f t="shared" si="0"/>
        <v>101500</v>
      </c>
      <c r="Q4" s="13">
        <f t="shared" si="0"/>
        <v>127600</v>
      </c>
      <c r="R4" s="13">
        <f t="shared" si="0"/>
        <v>127600</v>
      </c>
      <c r="S4" s="13">
        <f t="shared" si="0"/>
        <v>127600</v>
      </c>
      <c r="T4" s="13">
        <f t="shared" si="0"/>
        <v>127600</v>
      </c>
      <c r="U4" s="13">
        <f>SUM(I4:S4)</f>
        <v>784450</v>
      </c>
    </row>
    <row r="5" spans="1:21" ht="14.25" hidden="1" customHeight="1" outlineLevel="1">
      <c r="A5" s="11" t="s">
        <v>10</v>
      </c>
      <c r="B5" s="11" t="s">
        <v>11</v>
      </c>
      <c r="C5" s="12">
        <v>0</v>
      </c>
      <c r="D5" s="12">
        <v>0</v>
      </c>
      <c r="E5" s="12">
        <v>280</v>
      </c>
      <c r="F5" s="12">
        <v>280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1" ht="14.25" hidden="1" customHeight="1" outlineLevel="1">
      <c r="A6" s="11" t="s">
        <v>12</v>
      </c>
      <c r="B6" s="11" t="s">
        <v>13</v>
      </c>
      <c r="C6" s="12">
        <v>-17136.36</v>
      </c>
      <c r="D6" s="12">
        <v>0</v>
      </c>
      <c r="E6" s="12">
        <v>0</v>
      </c>
      <c r="F6" s="12">
        <v>-17136.36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1" ht="14.25" hidden="1" customHeight="1" outlineLevel="1">
      <c r="A7" s="11" t="s">
        <v>14</v>
      </c>
      <c r="B7" s="11" t="s">
        <v>15</v>
      </c>
      <c r="C7" s="12">
        <v>180</v>
      </c>
      <c r="D7" s="12">
        <v>210</v>
      </c>
      <c r="E7" s="12">
        <v>180</v>
      </c>
      <c r="F7" s="12">
        <v>570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1" ht="14.25" hidden="1" customHeight="1" outlineLevel="1">
      <c r="A8" s="11" t="s">
        <v>16</v>
      </c>
      <c r="B8" s="11" t="s">
        <v>17</v>
      </c>
      <c r="C8" s="12">
        <v>27</v>
      </c>
      <c r="D8" s="12">
        <v>0</v>
      </c>
      <c r="E8" s="12">
        <v>15</v>
      </c>
      <c r="F8" s="12">
        <v>42</v>
      </c>
      <c r="I8" s="2">
        <f t="shared" ref="I8:T8" si="1">5*I2</f>
        <v>85</v>
      </c>
      <c r="J8" s="2">
        <f t="shared" si="1"/>
        <v>100</v>
      </c>
      <c r="K8" s="2">
        <f t="shared" si="1"/>
        <v>100</v>
      </c>
      <c r="L8" s="2">
        <f t="shared" si="1"/>
        <v>100</v>
      </c>
      <c r="M8" s="2">
        <f t="shared" si="1"/>
        <v>150</v>
      </c>
      <c r="N8" s="2">
        <f t="shared" si="1"/>
        <v>200</v>
      </c>
      <c r="O8" s="2">
        <f t="shared" si="1"/>
        <v>300</v>
      </c>
      <c r="P8" s="2">
        <f t="shared" si="1"/>
        <v>350</v>
      </c>
      <c r="Q8" s="2">
        <f t="shared" si="1"/>
        <v>440</v>
      </c>
      <c r="R8" s="2">
        <f t="shared" si="1"/>
        <v>440</v>
      </c>
      <c r="S8" s="2">
        <f t="shared" si="1"/>
        <v>440</v>
      </c>
      <c r="T8" s="2">
        <f t="shared" si="1"/>
        <v>440</v>
      </c>
    </row>
    <row r="9" spans="1:21" ht="14.25" hidden="1" customHeight="1" outlineLevel="1">
      <c r="A9" s="11" t="s">
        <v>18</v>
      </c>
      <c r="B9" s="11" t="s">
        <v>19</v>
      </c>
      <c r="C9" s="12">
        <v>609.65</v>
      </c>
      <c r="D9" s="12">
        <v>0</v>
      </c>
      <c r="E9" s="12">
        <v>284.27999999999997</v>
      </c>
      <c r="F9" s="12">
        <v>893.93</v>
      </c>
      <c r="I9" s="2">
        <f t="shared" ref="I9:T9" si="2">85*I2</f>
        <v>1445</v>
      </c>
      <c r="J9" s="2">
        <f t="shared" si="2"/>
        <v>1700</v>
      </c>
      <c r="K9" s="2">
        <f t="shared" si="2"/>
        <v>1700</v>
      </c>
      <c r="L9" s="2">
        <f t="shared" si="2"/>
        <v>1700</v>
      </c>
      <c r="M9" s="2">
        <f t="shared" si="2"/>
        <v>2550</v>
      </c>
      <c r="N9" s="2">
        <f t="shared" si="2"/>
        <v>3400</v>
      </c>
      <c r="O9" s="2">
        <f t="shared" si="2"/>
        <v>5100</v>
      </c>
      <c r="P9" s="2">
        <f t="shared" si="2"/>
        <v>5950</v>
      </c>
      <c r="Q9" s="2">
        <f t="shared" si="2"/>
        <v>7480</v>
      </c>
      <c r="R9" s="2">
        <f t="shared" si="2"/>
        <v>7480</v>
      </c>
      <c r="S9" s="2">
        <f t="shared" si="2"/>
        <v>7480</v>
      </c>
      <c r="T9" s="2">
        <f t="shared" si="2"/>
        <v>7480</v>
      </c>
    </row>
    <row r="10" spans="1:21" ht="14.25" hidden="1" customHeight="1" outlineLevel="1">
      <c r="A10" s="11" t="s">
        <v>20</v>
      </c>
      <c r="B10" s="11" t="s">
        <v>21</v>
      </c>
      <c r="C10" s="12">
        <v>63</v>
      </c>
      <c r="D10" s="12">
        <v>0</v>
      </c>
      <c r="E10" s="12">
        <v>35</v>
      </c>
      <c r="F10" s="12">
        <v>98</v>
      </c>
      <c r="I10" s="2">
        <f t="shared" ref="I10:T10" si="3">9*I2</f>
        <v>153</v>
      </c>
      <c r="J10" s="2">
        <f t="shared" si="3"/>
        <v>180</v>
      </c>
      <c r="K10" s="2">
        <f t="shared" si="3"/>
        <v>180</v>
      </c>
      <c r="L10" s="2">
        <f t="shared" si="3"/>
        <v>180</v>
      </c>
      <c r="M10" s="2">
        <f t="shared" si="3"/>
        <v>270</v>
      </c>
      <c r="N10" s="2">
        <f t="shared" si="3"/>
        <v>360</v>
      </c>
      <c r="O10" s="2">
        <f t="shared" si="3"/>
        <v>540</v>
      </c>
      <c r="P10" s="2">
        <f t="shared" si="3"/>
        <v>630</v>
      </c>
      <c r="Q10" s="2">
        <f t="shared" si="3"/>
        <v>792</v>
      </c>
      <c r="R10" s="2">
        <f t="shared" si="3"/>
        <v>792</v>
      </c>
      <c r="S10" s="2">
        <f t="shared" si="3"/>
        <v>792</v>
      </c>
      <c r="T10" s="2">
        <f t="shared" si="3"/>
        <v>792</v>
      </c>
    </row>
    <row r="11" spans="1:21" ht="14.25" customHeight="1" collapsed="1">
      <c r="A11" s="9"/>
      <c r="B11" s="9" t="s">
        <v>22</v>
      </c>
      <c r="C11" s="14">
        <v>180</v>
      </c>
      <c r="D11" s="14">
        <v>210</v>
      </c>
      <c r="E11" s="14">
        <v>1300</v>
      </c>
      <c r="F11" s="14">
        <v>1690</v>
      </c>
      <c r="H11" s="15"/>
      <c r="I11" s="13">
        <v>18000</v>
      </c>
      <c r="J11" s="13">
        <v>20000</v>
      </c>
      <c r="K11" s="13">
        <f t="shared" ref="K11:T11" si="4">SUM(K4:K10)</f>
        <v>30980</v>
      </c>
      <c r="L11" s="13">
        <f t="shared" si="4"/>
        <v>30980</v>
      </c>
      <c r="M11" s="13">
        <f t="shared" si="4"/>
        <v>46470</v>
      </c>
      <c r="N11" s="13">
        <f t="shared" si="4"/>
        <v>61960</v>
      </c>
      <c r="O11" s="13">
        <f t="shared" si="4"/>
        <v>92940</v>
      </c>
      <c r="P11" s="13">
        <f t="shared" si="4"/>
        <v>108430</v>
      </c>
      <c r="Q11" s="13">
        <f t="shared" si="4"/>
        <v>136312</v>
      </c>
      <c r="R11" s="13">
        <f t="shared" si="4"/>
        <v>136312</v>
      </c>
      <c r="S11" s="13">
        <f t="shared" si="4"/>
        <v>136312</v>
      </c>
      <c r="T11" s="13">
        <f t="shared" si="4"/>
        <v>136312</v>
      </c>
      <c r="U11" s="13">
        <f t="shared" ref="U11:U26" si="5">SUM(I11:S11)</f>
        <v>818696</v>
      </c>
    </row>
    <row r="12" spans="1:21" ht="14.25" customHeight="1" outlineLevel="1">
      <c r="A12" s="9"/>
      <c r="B12" s="9" t="s">
        <v>23</v>
      </c>
      <c r="C12" s="10"/>
      <c r="D12" s="10"/>
      <c r="E12" s="10"/>
      <c r="F12" s="10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3">
        <f t="shared" si="5"/>
        <v>0</v>
      </c>
    </row>
    <row r="13" spans="1:21" ht="14.25" hidden="1" customHeight="1" outlineLevel="1">
      <c r="A13" s="9"/>
      <c r="B13" s="9" t="s">
        <v>24</v>
      </c>
      <c r="C13" s="10"/>
      <c r="D13" s="10"/>
      <c r="E13" s="10"/>
      <c r="F13" s="1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3">
        <f t="shared" si="5"/>
        <v>0</v>
      </c>
    </row>
    <row r="14" spans="1:21" ht="14.25" hidden="1" customHeight="1" outlineLevel="1">
      <c r="A14" s="11" t="s">
        <v>25</v>
      </c>
      <c r="B14" s="11" t="s">
        <v>26</v>
      </c>
      <c r="C14" s="12">
        <v>28.5</v>
      </c>
      <c r="D14" s="12">
        <v>0</v>
      </c>
      <c r="E14" s="12">
        <v>0</v>
      </c>
      <c r="F14" s="12">
        <v>28.5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13">
        <f t="shared" si="5"/>
        <v>0</v>
      </c>
    </row>
    <row r="15" spans="1:21" ht="14.25" hidden="1" customHeight="1" outlineLevel="1">
      <c r="A15" s="11" t="s">
        <v>27</v>
      </c>
      <c r="B15" s="11" t="s">
        <v>28</v>
      </c>
      <c r="C15" s="12">
        <v>958</v>
      </c>
      <c r="D15" s="12">
        <v>0</v>
      </c>
      <c r="E15" s="12">
        <v>0</v>
      </c>
      <c r="F15" s="12">
        <v>958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3">
        <f t="shared" si="5"/>
        <v>0</v>
      </c>
    </row>
    <row r="16" spans="1:21" ht="14.25" hidden="1" customHeight="1" outlineLevel="1">
      <c r="A16" s="11" t="s">
        <v>29</v>
      </c>
      <c r="B16" s="11" t="s">
        <v>30</v>
      </c>
      <c r="C16" s="12">
        <v>0</v>
      </c>
      <c r="D16" s="12">
        <v>729.14</v>
      </c>
      <c r="E16" s="12">
        <v>0</v>
      </c>
      <c r="F16" s="12">
        <v>729.14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3">
        <f t="shared" si="5"/>
        <v>0</v>
      </c>
    </row>
    <row r="17" spans="1:21" ht="14.25" hidden="1" customHeight="1" outlineLevel="1">
      <c r="A17" s="11" t="s">
        <v>31</v>
      </c>
      <c r="B17" s="11" t="s">
        <v>32</v>
      </c>
      <c r="C17" s="12">
        <v>250</v>
      </c>
      <c r="D17" s="12">
        <v>0</v>
      </c>
      <c r="E17" s="12">
        <v>0</v>
      </c>
      <c r="F17" s="12">
        <v>250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3">
        <f t="shared" si="5"/>
        <v>0</v>
      </c>
    </row>
    <row r="18" spans="1:21" ht="14.25" customHeight="1" outlineLevel="1">
      <c r="A18" s="9"/>
      <c r="B18" s="9" t="s">
        <v>33</v>
      </c>
      <c r="C18" s="14">
        <v>1236.5</v>
      </c>
      <c r="D18" s="14">
        <v>729.14</v>
      </c>
      <c r="E18" s="14">
        <v>0</v>
      </c>
      <c r="F18" s="14">
        <v>1965.64</v>
      </c>
      <c r="I18" s="2">
        <v>1310.4266666666667</v>
      </c>
      <c r="J18" s="2">
        <v>1310.4266666666667</v>
      </c>
      <c r="K18" s="2">
        <v>1310.4266666666667</v>
      </c>
      <c r="L18" s="2">
        <v>2000</v>
      </c>
      <c r="M18" s="2">
        <v>2000</v>
      </c>
      <c r="N18" s="2">
        <v>2000</v>
      </c>
      <c r="O18" s="2">
        <v>2000</v>
      </c>
      <c r="P18" s="2">
        <v>2000</v>
      </c>
      <c r="Q18" s="2">
        <v>2000</v>
      </c>
      <c r="R18" s="2">
        <v>2000</v>
      </c>
      <c r="S18" s="2">
        <v>2000</v>
      </c>
      <c r="T18" s="2">
        <v>2000</v>
      </c>
      <c r="U18" s="13">
        <f t="shared" si="5"/>
        <v>19931.28</v>
      </c>
    </row>
    <row r="19" spans="1:21" ht="14.25" hidden="1" customHeight="1" outlineLevel="1">
      <c r="A19" s="9"/>
      <c r="B19" s="9" t="s">
        <v>34</v>
      </c>
      <c r="C19" s="10"/>
      <c r="D19" s="10"/>
      <c r="E19" s="10"/>
      <c r="F19" s="1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3">
        <f t="shared" si="5"/>
        <v>0</v>
      </c>
    </row>
    <row r="20" spans="1:21" ht="14.25" hidden="1" customHeight="1" outlineLevel="1">
      <c r="A20" s="11" t="s">
        <v>35</v>
      </c>
      <c r="B20" s="11" t="s">
        <v>36</v>
      </c>
      <c r="C20" s="12">
        <v>624.34</v>
      </c>
      <c r="D20" s="12">
        <v>301.98</v>
      </c>
      <c r="E20" s="12">
        <v>402.87</v>
      </c>
      <c r="F20" s="12">
        <v>1329.19</v>
      </c>
      <c r="I20" s="16">
        <v>500</v>
      </c>
      <c r="J20" s="16">
        <v>500</v>
      </c>
      <c r="K20" s="16">
        <v>500</v>
      </c>
      <c r="L20" s="16">
        <v>500</v>
      </c>
      <c r="M20" s="16">
        <v>500</v>
      </c>
      <c r="N20" s="16">
        <v>500</v>
      </c>
      <c r="O20" s="16">
        <v>500</v>
      </c>
      <c r="P20" s="16">
        <v>500</v>
      </c>
      <c r="Q20" s="16">
        <v>500</v>
      </c>
      <c r="R20" s="16">
        <v>500</v>
      </c>
      <c r="S20" s="16">
        <v>500</v>
      </c>
      <c r="T20" s="16">
        <v>500</v>
      </c>
      <c r="U20" s="13">
        <f t="shared" si="5"/>
        <v>5500</v>
      </c>
    </row>
    <row r="21" spans="1:21" ht="14.25" hidden="1" customHeight="1" outlineLevel="1">
      <c r="A21" s="11" t="s">
        <v>37</v>
      </c>
      <c r="B21" s="11" t="s">
        <v>38</v>
      </c>
      <c r="C21" s="12">
        <v>2180.16</v>
      </c>
      <c r="D21" s="12">
        <v>1648.95</v>
      </c>
      <c r="E21" s="12">
        <v>1795.91</v>
      </c>
      <c r="F21" s="12">
        <v>5625.02</v>
      </c>
      <c r="I21" s="16">
        <v>2000</v>
      </c>
      <c r="J21" s="16">
        <v>2000</v>
      </c>
      <c r="K21" s="16">
        <v>2000</v>
      </c>
      <c r="L21" s="16">
        <v>2000</v>
      </c>
      <c r="M21" s="16">
        <v>2000</v>
      </c>
      <c r="N21" s="16">
        <v>2000</v>
      </c>
      <c r="O21" s="16">
        <v>2000</v>
      </c>
      <c r="P21" s="16">
        <v>2000</v>
      </c>
      <c r="Q21" s="16">
        <v>2000</v>
      </c>
      <c r="R21" s="16">
        <v>2000</v>
      </c>
      <c r="S21" s="16">
        <v>2000</v>
      </c>
      <c r="T21" s="16">
        <v>2000</v>
      </c>
      <c r="U21" s="13">
        <f t="shared" si="5"/>
        <v>22000</v>
      </c>
    </row>
    <row r="22" spans="1:21" ht="14.25" hidden="1" customHeight="1" outlineLevel="1">
      <c r="A22" s="11" t="s">
        <v>39</v>
      </c>
      <c r="B22" s="11" t="s">
        <v>40</v>
      </c>
      <c r="C22" s="12">
        <v>45.68</v>
      </c>
      <c r="D22" s="12">
        <v>45.68</v>
      </c>
      <c r="E22" s="12">
        <v>45.68</v>
      </c>
      <c r="F22" s="12">
        <v>137.04</v>
      </c>
      <c r="I22" s="2">
        <v>45.68</v>
      </c>
      <c r="J22" s="2">
        <v>45.68</v>
      </c>
      <c r="K22" s="2">
        <v>45.68</v>
      </c>
      <c r="L22" s="2">
        <v>45.68</v>
      </c>
      <c r="M22" s="2">
        <v>45.68</v>
      </c>
      <c r="N22" s="2">
        <v>45.68</v>
      </c>
      <c r="O22" s="2">
        <v>45.68</v>
      </c>
      <c r="P22" s="2">
        <v>45.68</v>
      </c>
      <c r="Q22" s="2">
        <v>45.68</v>
      </c>
      <c r="R22" s="2">
        <v>45.68</v>
      </c>
      <c r="S22" s="2">
        <v>45.68</v>
      </c>
      <c r="T22" s="2">
        <v>45.68</v>
      </c>
      <c r="U22" s="13">
        <f t="shared" si="5"/>
        <v>502.48</v>
      </c>
    </row>
    <row r="23" spans="1:21" ht="14.25" hidden="1" customHeight="1" outlineLevel="1">
      <c r="A23" s="11" t="s">
        <v>41</v>
      </c>
      <c r="B23" s="11" t="s">
        <v>42</v>
      </c>
      <c r="C23" s="12">
        <v>0</v>
      </c>
      <c r="D23" s="12">
        <v>1985.53</v>
      </c>
      <c r="E23" s="12">
        <v>3848.66</v>
      </c>
      <c r="F23" s="12">
        <v>5834.19</v>
      </c>
      <c r="I23" s="16">
        <v>3500</v>
      </c>
      <c r="J23" s="16">
        <v>4500</v>
      </c>
      <c r="K23" s="16">
        <v>6000</v>
      </c>
      <c r="L23" s="16">
        <v>6000</v>
      </c>
      <c r="M23" s="16">
        <v>6000</v>
      </c>
      <c r="N23" s="16">
        <v>6000</v>
      </c>
      <c r="O23" s="16">
        <v>6000</v>
      </c>
      <c r="P23" s="16">
        <v>6000</v>
      </c>
      <c r="Q23" s="16">
        <v>6000</v>
      </c>
      <c r="R23" s="16">
        <v>6000</v>
      </c>
      <c r="S23" s="16">
        <v>6000</v>
      </c>
      <c r="T23" s="16">
        <v>6000</v>
      </c>
      <c r="U23" s="13">
        <f t="shared" si="5"/>
        <v>62000</v>
      </c>
    </row>
    <row r="24" spans="1:21" ht="14.25" hidden="1" customHeight="1" outlineLevel="1">
      <c r="A24" s="11" t="s">
        <v>43</v>
      </c>
      <c r="B24" s="11" t="s">
        <v>44</v>
      </c>
      <c r="C24" s="12">
        <v>0</v>
      </c>
      <c r="D24" s="12">
        <v>0</v>
      </c>
      <c r="E24" s="12">
        <v>407.21</v>
      </c>
      <c r="F24" s="12">
        <v>407.21</v>
      </c>
      <c r="I24" s="16">
        <v>1000</v>
      </c>
      <c r="J24" s="16">
        <v>1000</v>
      </c>
      <c r="K24" s="16">
        <v>1000</v>
      </c>
      <c r="L24" s="16">
        <v>1000</v>
      </c>
      <c r="M24" s="16">
        <v>1000</v>
      </c>
      <c r="N24" s="16">
        <v>1000</v>
      </c>
      <c r="O24" s="16">
        <v>1000</v>
      </c>
      <c r="P24" s="16">
        <v>1000</v>
      </c>
      <c r="Q24" s="16">
        <v>1000</v>
      </c>
      <c r="R24" s="16">
        <v>1000</v>
      </c>
      <c r="S24" s="16">
        <v>1000</v>
      </c>
      <c r="T24" s="16">
        <v>1000</v>
      </c>
      <c r="U24" s="13">
        <f t="shared" si="5"/>
        <v>11000</v>
      </c>
    </row>
    <row r="25" spans="1:21" ht="14.25" hidden="1" customHeight="1" outlineLevel="1">
      <c r="A25" s="11" t="s">
        <v>45</v>
      </c>
      <c r="B25" s="11" t="s">
        <v>46</v>
      </c>
      <c r="C25" s="12">
        <v>110</v>
      </c>
      <c r="D25" s="12">
        <v>110</v>
      </c>
      <c r="E25" s="12">
        <v>110</v>
      </c>
      <c r="F25" s="12">
        <v>330</v>
      </c>
      <c r="I25" s="2">
        <v>110</v>
      </c>
      <c r="J25" s="2">
        <v>110</v>
      </c>
      <c r="K25" s="2">
        <v>110</v>
      </c>
      <c r="L25" s="2">
        <v>110</v>
      </c>
      <c r="M25" s="2">
        <v>110</v>
      </c>
      <c r="N25" s="2">
        <v>110</v>
      </c>
      <c r="O25" s="2">
        <v>110</v>
      </c>
      <c r="P25" s="2">
        <v>110</v>
      </c>
      <c r="Q25" s="2">
        <v>110</v>
      </c>
      <c r="R25" s="2">
        <v>110</v>
      </c>
      <c r="S25" s="2">
        <v>110</v>
      </c>
      <c r="T25" s="2">
        <v>110</v>
      </c>
      <c r="U25" s="13">
        <f t="shared" si="5"/>
        <v>1210</v>
      </c>
    </row>
    <row r="26" spans="1:21" ht="14.25" hidden="1" customHeight="1" outlineLevel="1">
      <c r="A26" s="11" t="s">
        <v>47</v>
      </c>
      <c r="B26" s="11" t="s">
        <v>48</v>
      </c>
      <c r="C26" s="12">
        <v>85</v>
      </c>
      <c r="D26" s="12">
        <v>85</v>
      </c>
      <c r="E26" s="12">
        <v>85</v>
      </c>
      <c r="F26" s="12">
        <v>255</v>
      </c>
      <c r="I26" s="2">
        <v>85</v>
      </c>
      <c r="J26" s="2">
        <v>85</v>
      </c>
      <c r="K26" s="2">
        <v>85</v>
      </c>
      <c r="L26" s="2">
        <v>85</v>
      </c>
      <c r="M26" s="2">
        <v>85</v>
      </c>
      <c r="N26" s="2">
        <v>85</v>
      </c>
      <c r="O26" s="2">
        <v>85</v>
      </c>
      <c r="P26" s="2">
        <v>85</v>
      </c>
      <c r="Q26" s="2">
        <v>85</v>
      </c>
      <c r="R26" s="2">
        <v>85</v>
      </c>
      <c r="S26" s="2">
        <v>85</v>
      </c>
      <c r="T26" s="2">
        <v>85</v>
      </c>
      <c r="U26" s="13">
        <f t="shared" si="5"/>
        <v>935</v>
      </c>
    </row>
    <row r="27" spans="1:21" ht="14.25" hidden="1" customHeight="1" outlineLevel="1">
      <c r="A27" s="11"/>
      <c r="B27" s="11"/>
      <c r="C27" s="12"/>
      <c r="D27" s="12"/>
      <c r="E27" s="12"/>
      <c r="F27" s="1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13"/>
    </row>
    <row r="28" spans="1:21" ht="14.25" customHeight="1">
      <c r="A28" s="9"/>
      <c r="B28" s="9" t="s">
        <v>49</v>
      </c>
      <c r="C28" s="14">
        <v>3045.18</v>
      </c>
      <c r="D28" s="14">
        <v>4177.1400000000003</v>
      </c>
      <c r="E28" s="14">
        <v>6695.33</v>
      </c>
      <c r="F28" s="14">
        <v>13917.65</v>
      </c>
      <c r="H28" s="3"/>
      <c r="I28" s="2">
        <f t="shared" ref="I28:T28" si="6">SUM(I20:I26)</f>
        <v>7240.68</v>
      </c>
      <c r="J28" s="2">
        <f t="shared" si="6"/>
        <v>8240.68</v>
      </c>
      <c r="K28" s="2">
        <f t="shared" si="6"/>
        <v>9740.68</v>
      </c>
      <c r="L28" s="2">
        <f t="shared" si="6"/>
        <v>9740.68</v>
      </c>
      <c r="M28" s="2">
        <f t="shared" si="6"/>
        <v>9740.68</v>
      </c>
      <c r="N28" s="2">
        <f t="shared" si="6"/>
        <v>9740.68</v>
      </c>
      <c r="O28" s="2">
        <f t="shared" si="6"/>
        <v>9740.68</v>
      </c>
      <c r="P28" s="2">
        <f t="shared" si="6"/>
        <v>9740.68</v>
      </c>
      <c r="Q28" s="2">
        <f t="shared" si="6"/>
        <v>9740.68</v>
      </c>
      <c r="R28" s="2">
        <f t="shared" si="6"/>
        <v>9740.68</v>
      </c>
      <c r="S28" s="2">
        <f t="shared" si="6"/>
        <v>9740.68</v>
      </c>
      <c r="T28" s="2">
        <f t="shared" si="6"/>
        <v>9740.68</v>
      </c>
      <c r="U28" s="16">
        <f t="shared" ref="U28:U109" si="7">SUM(I28:S28)</f>
        <v>103147.47999999998</v>
      </c>
    </row>
    <row r="29" spans="1:21" ht="14.25" hidden="1" customHeight="1" outlineLevel="1">
      <c r="A29" s="9"/>
      <c r="B29" s="9" t="s">
        <v>50</v>
      </c>
      <c r="C29" s="10"/>
      <c r="D29" s="10"/>
      <c r="E29" s="10"/>
      <c r="F29" s="10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6">
        <f t="shared" si="7"/>
        <v>0</v>
      </c>
    </row>
    <row r="30" spans="1:21" ht="14.25" hidden="1" customHeight="1" outlineLevel="1">
      <c r="A30" s="11" t="s">
        <v>51</v>
      </c>
      <c r="B30" s="11" t="s">
        <v>52</v>
      </c>
      <c r="C30" s="12">
        <v>5000</v>
      </c>
      <c r="D30" s="12">
        <v>5000</v>
      </c>
      <c r="E30" s="12">
        <v>5000</v>
      </c>
      <c r="F30" s="12">
        <v>15000</v>
      </c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6">
        <f t="shared" si="7"/>
        <v>0</v>
      </c>
    </row>
    <row r="31" spans="1:21" ht="14.25" customHeight="1" collapsed="1">
      <c r="A31" s="9"/>
      <c r="B31" s="9" t="s">
        <v>53</v>
      </c>
      <c r="C31" s="14">
        <v>5000</v>
      </c>
      <c r="D31" s="14">
        <v>5000</v>
      </c>
      <c r="E31" s="14">
        <v>5000</v>
      </c>
      <c r="F31" s="14">
        <v>15000</v>
      </c>
      <c r="H31" s="10"/>
      <c r="I31" s="16">
        <v>5000</v>
      </c>
      <c r="J31" s="16">
        <v>5000</v>
      </c>
      <c r="K31" s="16">
        <v>5000</v>
      </c>
      <c r="L31" s="16">
        <v>5000</v>
      </c>
      <c r="M31" s="16">
        <v>5000</v>
      </c>
      <c r="N31" s="16">
        <v>5000</v>
      </c>
      <c r="O31" s="16">
        <v>5000</v>
      </c>
      <c r="P31" s="16">
        <v>5000</v>
      </c>
      <c r="Q31" s="16">
        <v>5000</v>
      </c>
      <c r="R31" s="16">
        <v>5000</v>
      </c>
      <c r="S31" s="16">
        <v>5000</v>
      </c>
      <c r="T31" s="16">
        <v>5000</v>
      </c>
      <c r="U31" s="16">
        <f t="shared" si="7"/>
        <v>55000</v>
      </c>
    </row>
    <row r="32" spans="1:21" ht="14.25" hidden="1" customHeight="1" outlineLevel="1">
      <c r="A32" s="9"/>
      <c r="B32" s="9" t="s">
        <v>54</v>
      </c>
      <c r="C32" s="10"/>
      <c r="D32" s="10"/>
      <c r="E32" s="10"/>
      <c r="F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16">
        <f t="shared" si="7"/>
        <v>0</v>
      </c>
    </row>
    <row r="33" spans="1:21" ht="14.25" hidden="1" customHeight="1" outlineLevel="1">
      <c r="A33" s="11" t="s">
        <v>55</v>
      </c>
      <c r="B33" s="11" t="s">
        <v>56</v>
      </c>
      <c r="C33" s="12">
        <v>70.489999999999995</v>
      </c>
      <c r="D33" s="12">
        <v>69.5</v>
      </c>
      <c r="E33" s="12">
        <v>67.290000000000006</v>
      </c>
      <c r="F33" s="12">
        <v>207.28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16">
        <f t="shared" si="7"/>
        <v>0</v>
      </c>
    </row>
    <row r="34" spans="1:21" ht="14.25" hidden="1" customHeight="1" outlineLevel="1">
      <c r="A34" s="11" t="s">
        <v>57</v>
      </c>
      <c r="B34" s="11" t="s">
        <v>58</v>
      </c>
      <c r="C34" s="12">
        <v>204.83</v>
      </c>
      <c r="D34" s="12">
        <v>0</v>
      </c>
      <c r="E34" s="12">
        <v>0</v>
      </c>
      <c r="F34" s="12">
        <v>204.83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16">
        <f t="shared" si="7"/>
        <v>0</v>
      </c>
    </row>
    <row r="35" spans="1:21" ht="14.25" hidden="1" customHeight="1" outlineLevel="1">
      <c r="A35" s="11" t="s">
        <v>59</v>
      </c>
      <c r="B35" s="11" t="s">
        <v>60</v>
      </c>
      <c r="C35" s="12">
        <v>0</v>
      </c>
      <c r="D35" s="12">
        <v>342.07</v>
      </c>
      <c r="E35" s="12">
        <v>0</v>
      </c>
      <c r="F35" s="12">
        <v>342.07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16">
        <f t="shared" si="7"/>
        <v>0</v>
      </c>
    </row>
    <row r="36" spans="1:21" ht="14.25" customHeight="1" collapsed="1">
      <c r="A36" s="9"/>
      <c r="B36" s="9" t="s">
        <v>61</v>
      </c>
      <c r="C36" s="14">
        <v>275.32</v>
      </c>
      <c r="D36" s="14">
        <v>411.57</v>
      </c>
      <c r="E36" s="14">
        <v>67.290000000000006</v>
      </c>
      <c r="F36" s="14">
        <v>754.18</v>
      </c>
      <c r="H36" s="10"/>
      <c r="I36" s="16">
        <v>4000</v>
      </c>
      <c r="J36" s="16">
        <v>4000</v>
      </c>
      <c r="K36" s="16">
        <v>4000</v>
      </c>
      <c r="L36" s="16">
        <v>4000</v>
      </c>
      <c r="M36" s="16">
        <v>2000</v>
      </c>
      <c r="N36" s="16">
        <v>2000</v>
      </c>
      <c r="O36" s="16">
        <v>2000</v>
      </c>
      <c r="P36" s="16">
        <v>2000</v>
      </c>
      <c r="Q36" s="16">
        <v>2000</v>
      </c>
      <c r="R36" s="16">
        <v>2000</v>
      </c>
      <c r="S36" s="16">
        <v>2000</v>
      </c>
      <c r="T36" s="16">
        <v>2000</v>
      </c>
      <c r="U36" s="16">
        <f t="shared" si="7"/>
        <v>30000</v>
      </c>
    </row>
    <row r="37" spans="1:21" ht="14.25" hidden="1" customHeight="1">
      <c r="A37" s="9"/>
      <c r="B37" s="9" t="s">
        <v>62</v>
      </c>
      <c r="C37" s="10"/>
      <c r="D37" s="10"/>
      <c r="E37" s="10"/>
      <c r="F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16">
        <f t="shared" si="7"/>
        <v>0</v>
      </c>
    </row>
    <row r="38" spans="1:21" ht="14.25" hidden="1" customHeight="1" outlineLevel="2">
      <c r="A38" s="11" t="s">
        <v>63</v>
      </c>
      <c r="B38" s="11" t="s">
        <v>64</v>
      </c>
      <c r="C38" s="12">
        <v>2008.18</v>
      </c>
      <c r="D38" s="12">
        <v>0</v>
      </c>
      <c r="E38" s="12">
        <v>0</v>
      </c>
      <c r="F38" s="12">
        <v>2008.18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16">
        <f t="shared" si="7"/>
        <v>0</v>
      </c>
    </row>
    <row r="39" spans="1:21" ht="14.25" hidden="1" customHeight="1" outlineLevel="2">
      <c r="A39" s="11" t="s">
        <v>65</v>
      </c>
      <c r="B39" s="11" t="s">
        <v>66</v>
      </c>
      <c r="C39" s="12">
        <v>0</v>
      </c>
      <c r="D39" s="12">
        <v>0</v>
      </c>
      <c r="E39" s="12">
        <v>7293.74</v>
      </c>
      <c r="F39" s="12">
        <v>7293.74</v>
      </c>
      <c r="I39" s="2">
        <v>2431.2466666666664</v>
      </c>
      <c r="J39" s="2">
        <v>2431.2466666666664</v>
      </c>
      <c r="K39" s="2">
        <v>2431.2466666666664</v>
      </c>
      <c r="L39" s="2">
        <v>2431.2466666666664</v>
      </c>
      <c r="M39" s="2">
        <v>2431.2466666666664</v>
      </c>
      <c r="N39" s="2">
        <v>2431.2466666666664</v>
      </c>
      <c r="O39" s="2">
        <v>2431.2466666666664</v>
      </c>
      <c r="P39" s="2">
        <v>2431.2466666666664</v>
      </c>
      <c r="Q39" s="2">
        <v>2431.2466666666664</v>
      </c>
      <c r="R39" s="2">
        <v>2431.2466666666664</v>
      </c>
      <c r="S39" s="2">
        <v>2431.2466666666664</v>
      </c>
      <c r="T39" s="2">
        <v>2431.2466666666664</v>
      </c>
      <c r="U39" s="16">
        <f t="shared" si="7"/>
        <v>26743.71333333333</v>
      </c>
    </row>
    <row r="40" spans="1:21" ht="14.25" hidden="1" customHeight="1" outlineLevel="2">
      <c r="A40" s="11" t="s">
        <v>67</v>
      </c>
      <c r="B40" s="11" t="s">
        <v>68</v>
      </c>
      <c r="C40" s="12">
        <v>6004</v>
      </c>
      <c r="D40" s="12">
        <v>6004</v>
      </c>
      <c r="E40" s="12">
        <v>6004</v>
      </c>
      <c r="F40" s="12">
        <v>18012</v>
      </c>
      <c r="I40" s="2">
        <v>6004</v>
      </c>
      <c r="J40" s="2">
        <v>6004</v>
      </c>
      <c r="K40" s="2">
        <v>6004</v>
      </c>
      <c r="L40" s="2">
        <v>6004</v>
      </c>
      <c r="M40" s="2">
        <v>6004</v>
      </c>
      <c r="N40" s="2">
        <v>6004</v>
      </c>
      <c r="O40" s="2">
        <v>6004</v>
      </c>
      <c r="P40" s="2">
        <v>6004</v>
      </c>
      <c r="Q40" s="2">
        <v>6004</v>
      </c>
      <c r="R40" s="2">
        <v>6004</v>
      </c>
      <c r="S40" s="2">
        <v>6004</v>
      </c>
      <c r="T40" s="2">
        <v>6004</v>
      </c>
      <c r="U40" s="16">
        <f t="shared" si="7"/>
        <v>66044</v>
      </c>
    </row>
    <row r="41" spans="1:21" ht="14.25" customHeight="1" collapsed="1">
      <c r="A41" s="9"/>
      <c r="B41" s="9" t="s">
        <v>69</v>
      </c>
      <c r="C41" s="14">
        <v>8012.18</v>
      </c>
      <c r="D41" s="14">
        <v>6004</v>
      </c>
      <c r="E41" s="14">
        <v>13297.74</v>
      </c>
      <c r="F41" s="14">
        <v>27313.919999999998</v>
      </c>
      <c r="H41" s="4"/>
      <c r="I41" s="2">
        <f t="shared" ref="I41:T41" si="8">SUM(I39:I40)</f>
        <v>8435.246666666666</v>
      </c>
      <c r="J41" s="2">
        <f t="shared" si="8"/>
        <v>8435.246666666666</v>
      </c>
      <c r="K41" s="2">
        <f t="shared" si="8"/>
        <v>8435.246666666666</v>
      </c>
      <c r="L41" s="2">
        <f t="shared" si="8"/>
        <v>8435.246666666666</v>
      </c>
      <c r="M41" s="2">
        <f t="shared" si="8"/>
        <v>8435.246666666666</v>
      </c>
      <c r="N41" s="2">
        <f t="shared" si="8"/>
        <v>8435.246666666666</v>
      </c>
      <c r="O41" s="2">
        <f t="shared" si="8"/>
        <v>8435.246666666666</v>
      </c>
      <c r="P41" s="2">
        <f t="shared" si="8"/>
        <v>8435.246666666666</v>
      </c>
      <c r="Q41" s="2">
        <f t="shared" si="8"/>
        <v>8435.246666666666</v>
      </c>
      <c r="R41" s="2">
        <f t="shared" si="8"/>
        <v>8435.246666666666</v>
      </c>
      <c r="S41" s="2">
        <f t="shared" si="8"/>
        <v>8435.246666666666</v>
      </c>
      <c r="T41" s="2">
        <f t="shared" si="8"/>
        <v>8435.246666666666</v>
      </c>
      <c r="U41" s="16">
        <f t="shared" si="7"/>
        <v>92787.713333333348</v>
      </c>
    </row>
    <row r="42" spans="1:21" ht="14.25" hidden="1" customHeight="1" outlineLevel="2">
      <c r="A42" s="9"/>
      <c r="B42" s="9" t="s">
        <v>70</v>
      </c>
      <c r="C42" s="10"/>
      <c r="D42" s="10"/>
      <c r="E42" s="10"/>
      <c r="F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16">
        <f t="shared" si="7"/>
        <v>0</v>
      </c>
    </row>
    <row r="43" spans="1:21" ht="14.25" hidden="1" customHeight="1" outlineLevel="2">
      <c r="A43" s="11" t="s">
        <v>71</v>
      </c>
      <c r="B43" s="11" t="s">
        <v>72</v>
      </c>
      <c r="C43" s="12">
        <v>1138.5</v>
      </c>
      <c r="D43" s="12">
        <v>0</v>
      </c>
      <c r="E43" s="12">
        <v>0</v>
      </c>
      <c r="F43" s="12">
        <v>1138.5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16">
        <f t="shared" si="7"/>
        <v>0</v>
      </c>
    </row>
    <row r="44" spans="1:21" ht="14.25" hidden="1" customHeight="1" collapsed="1">
      <c r="A44" s="11" t="s">
        <v>73</v>
      </c>
      <c r="B44" s="11" t="s">
        <v>74</v>
      </c>
      <c r="C44" s="12">
        <v>0</v>
      </c>
      <c r="D44" s="12">
        <v>327.14999999999998</v>
      </c>
      <c r="E44" s="12">
        <v>0</v>
      </c>
      <c r="F44" s="12">
        <v>327.14999999999998</v>
      </c>
      <c r="H44" s="12"/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f t="shared" si="7"/>
        <v>0</v>
      </c>
    </row>
    <row r="45" spans="1:21" ht="14.25" hidden="1" customHeight="1" outlineLevel="1">
      <c r="A45" s="9"/>
      <c r="B45" s="9" t="s">
        <v>75</v>
      </c>
      <c r="C45" s="14">
        <v>1138.5</v>
      </c>
      <c r="D45" s="14">
        <v>327.14999999999998</v>
      </c>
      <c r="E45" s="14">
        <v>0</v>
      </c>
      <c r="F45" s="14">
        <v>1465.65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16">
        <f t="shared" si="7"/>
        <v>0</v>
      </c>
    </row>
    <row r="46" spans="1:21" ht="14.25" hidden="1" customHeight="1" outlineLevel="1">
      <c r="A46" s="9"/>
      <c r="B46" s="9" t="s">
        <v>76</v>
      </c>
      <c r="C46" s="10"/>
      <c r="D46" s="10"/>
      <c r="E46" s="10"/>
      <c r="F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16">
        <f t="shared" si="7"/>
        <v>0</v>
      </c>
    </row>
    <row r="47" spans="1:21" ht="14.25" hidden="1" customHeight="1" outlineLevel="1">
      <c r="A47" s="11" t="s">
        <v>77</v>
      </c>
      <c r="B47" s="11" t="s">
        <v>78</v>
      </c>
      <c r="C47" s="12">
        <v>240.16</v>
      </c>
      <c r="D47" s="12">
        <v>222.9</v>
      </c>
      <c r="E47" s="12">
        <v>226.73</v>
      </c>
      <c r="F47" s="12">
        <v>689.79</v>
      </c>
      <c r="I47" s="16">
        <v>689.79</v>
      </c>
      <c r="J47" s="16">
        <v>689.79</v>
      </c>
      <c r="K47" s="16">
        <v>689.79</v>
      </c>
      <c r="L47" s="16">
        <v>689.79</v>
      </c>
      <c r="M47" s="16">
        <v>689.79</v>
      </c>
      <c r="N47" s="16">
        <v>689.79</v>
      </c>
      <c r="O47" s="16">
        <v>689.79</v>
      </c>
      <c r="P47" s="16">
        <v>689.79</v>
      </c>
      <c r="Q47" s="16">
        <v>689.79</v>
      </c>
      <c r="R47" s="16">
        <v>689.79</v>
      </c>
      <c r="S47" s="16">
        <v>689.79</v>
      </c>
      <c r="T47" s="16">
        <v>689.79</v>
      </c>
      <c r="U47" s="16">
        <f t="shared" si="7"/>
        <v>7587.69</v>
      </c>
    </row>
    <row r="48" spans="1:21" ht="14.25" hidden="1" customHeight="1" outlineLevel="1">
      <c r="A48" s="11" t="s">
        <v>79</v>
      </c>
      <c r="B48" s="11" t="s">
        <v>80</v>
      </c>
      <c r="C48" s="12">
        <v>15</v>
      </c>
      <c r="D48" s="12">
        <v>240</v>
      </c>
      <c r="E48" s="12">
        <v>225</v>
      </c>
      <c r="F48" s="12">
        <v>480</v>
      </c>
      <c r="I48" s="16">
        <v>480</v>
      </c>
      <c r="J48" s="16">
        <v>480</v>
      </c>
      <c r="K48" s="16">
        <v>480</v>
      </c>
      <c r="L48" s="16">
        <v>480</v>
      </c>
      <c r="M48" s="16">
        <v>480</v>
      </c>
      <c r="N48" s="16">
        <v>480</v>
      </c>
      <c r="O48" s="16">
        <v>480</v>
      </c>
      <c r="P48" s="16">
        <v>480</v>
      </c>
      <c r="Q48" s="16">
        <v>480</v>
      </c>
      <c r="R48" s="16">
        <v>480</v>
      </c>
      <c r="S48" s="16">
        <v>480</v>
      </c>
      <c r="T48" s="16">
        <v>480</v>
      </c>
      <c r="U48" s="16">
        <f t="shared" si="7"/>
        <v>5280</v>
      </c>
    </row>
    <row r="49" spans="1:21" ht="14.25" hidden="1" customHeight="1" outlineLevel="1">
      <c r="A49" s="11" t="s">
        <v>81</v>
      </c>
      <c r="B49" s="11" t="s">
        <v>82</v>
      </c>
      <c r="C49" s="12">
        <v>79.53</v>
      </c>
      <c r="D49" s="12">
        <v>160.43</v>
      </c>
      <c r="E49" s="12">
        <v>146.38</v>
      </c>
      <c r="F49" s="12">
        <v>386.34</v>
      </c>
      <c r="I49" s="16">
        <v>386.34</v>
      </c>
      <c r="J49" s="16">
        <v>386.34</v>
      </c>
      <c r="K49" s="16">
        <v>386.34</v>
      </c>
      <c r="L49" s="16">
        <v>386.34</v>
      </c>
      <c r="M49" s="16">
        <v>386.34</v>
      </c>
      <c r="N49" s="16">
        <v>386.34</v>
      </c>
      <c r="O49" s="16">
        <v>386.34</v>
      </c>
      <c r="P49" s="16">
        <v>386.34</v>
      </c>
      <c r="Q49" s="16">
        <v>386.34</v>
      </c>
      <c r="R49" s="16">
        <v>386.34</v>
      </c>
      <c r="S49" s="16">
        <v>386.34</v>
      </c>
      <c r="T49" s="16">
        <v>386.34</v>
      </c>
      <c r="U49" s="16">
        <f t="shared" si="7"/>
        <v>4249.7400000000007</v>
      </c>
    </row>
    <row r="50" spans="1:21" ht="14.25" hidden="1" customHeight="1" outlineLevel="1">
      <c r="A50" s="11" t="s">
        <v>83</v>
      </c>
      <c r="B50" s="11" t="s">
        <v>84</v>
      </c>
      <c r="C50" s="12">
        <v>280.43</v>
      </c>
      <c r="D50" s="12">
        <v>227.22</v>
      </c>
      <c r="E50" s="12">
        <v>240.08</v>
      </c>
      <c r="F50" s="12">
        <v>747.73</v>
      </c>
      <c r="I50" s="16">
        <v>747.73</v>
      </c>
      <c r="J50" s="16">
        <v>747.73</v>
      </c>
      <c r="K50" s="16">
        <v>747.73</v>
      </c>
      <c r="L50" s="16">
        <v>747.73</v>
      </c>
      <c r="M50" s="16">
        <v>747.73</v>
      </c>
      <c r="N50" s="16">
        <v>747.73</v>
      </c>
      <c r="O50" s="16">
        <v>747.73</v>
      </c>
      <c r="P50" s="16">
        <v>747.73</v>
      </c>
      <c r="Q50" s="16">
        <v>747.73</v>
      </c>
      <c r="R50" s="16">
        <v>747.73</v>
      </c>
      <c r="S50" s="16">
        <v>747.73</v>
      </c>
      <c r="T50" s="16">
        <v>747.73</v>
      </c>
      <c r="U50" s="16">
        <f t="shared" si="7"/>
        <v>8225.0299999999988</v>
      </c>
    </row>
    <row r="51" spans="1:21" ht="14.25" hidden="1" customHeight="1" outlineLevel="1">
      <c r="A51" s="11" t="s">
        <v>85</v>
      </c>
      <c r="B51" s="11" t="s">
        <v>86</v>
      </c>
      <c r="C51" s="12">
        <v>30</v>
      </c>
      <c r="D51" s="12">
        <v>0</v>
      </c>
      <c r="E51" s="12">
        <v>0</v>
      </c>
      <c r="F51" s="12">
        <v>30</v>
      </c>
      <c r="I51" s="16">
        <v>30</v>
      </c>
      <c r="J51" s="16">
        <v>30</v>
      </c>
      <c r="K51" s="16">
        <v>30</v>
      </c>
      <c r="L51" s="16">
        <v>30</v>
      </c>
      <c r="M51" s="16">
        <v>30</v>
      </c>
      <c r="N51" s="16">
        <v>30</v>
      </c>
      <c r="O51" s="16">
        <v>30</v>
      </c>
      <c r="P51" s="16">
        <v>30</v>
      </c>
      <c r="Q51" s="16">
        <v>30</v>
      </c>
      <c r="R51" s="16">
        <v>30</v>
      </c>
      <c r="S51" s="16">
        <v>30</v>
      </c>
      <c r="T51" s="16">
        <v>30</v>
      </c>
      <c r="U51" s="16">
        <f t="shared" si="7"/>
        <v>330</v>
      </c>
    </row>
    <row r="52" spans="1:21" ht="14.25" hidden="1" customHeight="1" outlineLevel="1">
      <c r="A52" s="11" t="s">
        <v>87</v>
      </c>
      <c r="B52" s="11" t="s">
        <v>88</v>
      </c>
      <c r="C52" s="12">
        <v>12.6</v>
      </c>
      <c r="D52" s="12">
        <v>13.76</v>
      </c>
      <c r="E52" s="12">
        <v>9.5299999999999994</v>
      </c>
      <c r="F52" s="12">
        <v>35.89</v>
      </c>
      <c r="I52" s="16">
        <v>35.89</v>
      </c>
      <c r="J52" s="16">
        <v>35.89</v>
      </c>
      <c r="K52" s="16">
        <v>35.89</v>
      </c>
      <c r="L52" s="16">
        <v>35.89</v>
      </c>
      <c r="M52" s="16">
        <v>35.89</v>
      </c>
      <c r="N52" s="16">
        <v>35.89</v>
      </c>
      <c r="O52" s="16">
        <v>35.89</v>
      </c>
      <c r="P52" s="16">
        <v>35.89</v>
      </c>
      <c r="Q52" s="16">
        <v>35.89</v>
      </c>
      <c r="R52" s="16">
        <v>35.89</v>
      </c>
      <c r="S52" s="16">
        <v>35.89</v>
      </c>
      <c r="T52" s="16">
        <v>35.89</v>
      </c>
      <c r="U52" s="16">
        <f t="shared" si="7"/>
        <v>394.78999999999991</v>
      </c>
    </row>
    <row r="53" spans="1:21" ht="14.25" hidden="1" customHeight="1" outlineLevel="1">
      <c r="A53" s="11" t="s">
        <v>89</v>
      </c>
      <c r="B53" s="11" t="s">
        <v>90</v>
      </c>
      <c r="C53" s="12">
        <v>108</v>
      </c>
      <c r="D53" s="12">
        <v>0</v>
      </c>
      <c r="E53" s="12">
        <v>0</v>
      </c>
      <c r="F53" s="12">
        <v>108</v>
      </c>
      <c r="I53" s="16">
        <v>108</v>
      </c>
      <c r="J53" s="16">
        <v>108</v>
      </c>
      <c r="K53" s="16">
        <v>108</v>
      </c>
      <c r="L53" s="16">
        <v>108</v>
      </c>
      <c r="M53" s="16">
        <v>108</v>
      </c>
      <c r="N53" s="16">
        <v>108</v>
      </c>
      <c r="O53" s="16">
        <v>108</v>
      </c>
      <c r="P53" s="16">
        <v>108</v>
      </c>
      <c r="Q53" s="16">
        <v>108</v>
      </c>
      <c r="R53" s="16">
        <v>108</v>
      </c>
      <c r="S53" s="16">
        <v>108</v>
      </c>
      <c r="T53" s="16">
        <v>108</v>
      </c>
      <c r="U53" s="16">
        <f t="shared" si="7"/>
        <v>1188</v>
      </c>
    </row>
    <row r="54" spans="1:21" ht="14.25" hidden="1" customHeight="1" outlineLevel="1">
      <c r="A54" s="11" t="s">
        <v>91</v>
      </c>
      <c r="B54" s="11" t="s">
        <v>92</v>
      </c>
      <c r="C54" s="12">
        <v>16.43</v>
      </c>
      <c r="D54" s="12">
        <v>0</v>
      </c>
      <c r="E54" s="12">
        <v>60.86</v>
      </c>
      <c r="F54" s="12">
        <v>77.290000000000006</v>
      </c>
      <c r="I54" s="16">
        <v>77.290000000000006</v>
      </c>
      <c r="J54" s="16">
        <v>77.290000000000006</v>
      </c>
      <c r="K54" s="16">
        <v>77.290000000000006</v>
      </c>
      <c r="L54" s="16">
        <v>77.290000000000006</v>
      </c>
      <c r="M54" s="16">
        <v>77.290000000000006</v>
      </c>
      <c r="N54" s="16">
        <v>77.290000000000006</v>
      </c>
      <c r="O54" s="16">
        <v>77.290000000000006</v>
      </c>
      <c r="P54" s="16">
        <v>77.290000000000006</v>
      </c>
      <c r="Q54" s="16">
        <v>77.290000000000006</v>
      </c>
      <c r="R54" s="16">
        <v>77.290000000000006</v>
      </c>
      <c r="S54" s="16">
        <v>77.290000000000006</v>
      </c>
      <c r="T54" s="16">
        <v>77.290000000000006</v>
      </c>
      <c r="U54" s="16">
        <f t="shared" si="7"/>
        <v>850.18999999999994</v>
      </c>
    </row>
    <row r="55" spans="1:21" ht="14.25" hidden="1" customHeight="1" outlineLevel="1">
      <c r="A55" s="11" t="s">
        <v>93</v>
      </c>
      <c r="B55" s="11" t="s">
        <v>94</v>
      </c>
      <c r="C55" s="12">
        <v>137.4</v>
      </c>
      <c r="D55" s="12">
        <v>253.77</v>
      </c>
      <c r="E55" s="12">
        <v>102.28</v>
      </c>
      <c r="F55" s="12">
        <v>493.45</v>
      </c>
      <c r="I55" s="16">
        <v>493.45</v>
      </c>
      <c r="J55" s="16">
        <v>493.45</v>
      </c>
      <c r="K55" s="16">
        <v>493.45</v>
      </c>
      <c r="L55" s="16">
        <v>493.45</v>
      </c>
      <c r="M55" s="16">
        <v>493.45</v>
      </c>
      <c r="N55" s="16">
        <v>493.45</v>
      </c>
      <c r="O55" s="16">
        <v>493.45</v>
      </c>
      <c r="P55" s="16">
        <v>493.45</v>
      </c>
      <c r="Q55" s="16">
        <v>493.45</v>
      </c>
      <c r="R55" s="16">
        <v>493.45</v>
      </c>
      <c r="S55" s="16">
        <v>493.45</v>
      </c>
      <c r="T55" s="16">
        <v>493.45</v>
      </c>
      <c r="U55" s="16">
        <f t="shared" si="7"/>
        <v>5427.9499999999989</v>
      </c>
    </row>
    <row r="56" spans="1:21" ht="14.25" hidden="1" customHeight="1" outlineLevel="1">
      <c r="A56" s="11" t="s">
        <v>95</v>
      </c>
      <c r="B56" s="11" t="s">
        <v>96</v>
      </c>
      <c r="C56" s="12">
        <v>30</v>
      </c>
      <c r="D56" s="12">
        <v>30</v>
      </c>
      <c r="E56" s="12">
        <v>15</v>
      </c>
      <c r="F56" s="12">
        <v>75</v>
      </c>
      <c r="I56" s="16">
        <v>75</v>
      </c>
      <c r="J56" s="16">
        <v>75</v>
      </c>
      <c r="K56" s="16">
        <v>75</v>
      </c>
      <c r="L56" s="16">
        <v>75</v>
      </c>
      <c r="M56" s="16">
        <v>75</v>
      </c>
      <c r="N56" s="16">
        <v>75</v>
      </c>
      <c r="O56" s="16">
        <v>75</v>
      </c>
      <c r="P56" s="16">
        <v>75</v>
      </c>
      <c r="Q56" s="16">
        <v>75</v>
      </c>
      <c r="R56" s="16">
        <v>75</v>
      </c>
      <c r="S56" s="16">
        <v>75</v>
      </c>
      <c r="T56" s="16">
        <v>75</v>
      </c>
      <c r="U56" s="16">
        <f t="shared" si="7"/>
        <v>825</v>
      </c>
    </row>
    <row r="57" spans="1:21" ht="14.25" hidden="1" customHeight="1" outlineLevel="1">
      <c r="A57" s="11" t="s">
        <v>97</v>
      </c>
      <c r="B57" s="11" t="s">
        <v>98</v>
      </c>
      <c r="C57" s="12">
        <v>32.64</v>
      </c>
      <c r="D57" s="12">
        <v>0</v>
      </c>
      <c r="E57" s="12">
        <v>0</v>
      </c>
      <c r="F57" s="12">
        <v>32.64</v>
      </c>
      <c r="I57" s="16">
        <v>32.64</v>
      </c>
      <c r="J57" s="16">
        <v>32.64</v>
      </c>
      <c r="K57" s="16">
        <v>32.64</v>
      </c>
      <c r="L57" s="16">
        <v>32.64</v>
      </c>
      <c r="M57" s="16">
        <v>32.64</v>
      </c>
      <c r="N57" s="16">
        <v>32.64</v>
      </c>
      <c r="O57" s="16">
        <v>32.64</v>
      </c>
      <c r="P57" s="16">
        <v>32.64</v>
      </c>
      <c r="Q57" s="16">
        <v>32.64</v>
      </c>
      <c r="R57" s="16">
        <v>32.64</v>
      </c>
      <c r="S57" s="16">
        <v>32.64</v>
      </c>
      <c r="T57" s="16">
        <v>32.64</v>
      </c>
      <c r="U57" s="16">
        <f t="shared" si="7"/>
        <v>359.03999999999991</v>
      </c>
    </row>
    <row r="58" spans="1:21" ht="14.25" hidden="1" customHeight="1" outlineLevel="1">
      <c r="A58" s="11" t="s">
        <v>99</v>
      </c>
      <c r="B58" s="11" t="s">
        <v>100</v>
      </c>
      <c r="C58" s="12">
        <v>167.8</v>
      </c>
      <c r="D58" s="12">
        <v>198.3</v>
      </c>
      <c r="E58" s="12">
        <v>201.45</v>
      </c>
      <c r="F58" s="12">
        <v>567.54999999999995</v>
      </c>
      <c r="I58" s="16">
        <v>567.54999999999995</v>
      </c>
      <c r="J58" s="16">
        <v>567.54999999999995</v>
      </c>
      <c r="K58" s="16">
        <v>567.54999999999995</v>
      </c>
      <c r="L58" s="16">
        <v>567.54999999999995</v>
      </c>
      <c r="M58" s="16">
        <v>567.54999999999995</v>
      </c>
      <c r="N58" s="16">
        <v>567.54999999999995</v>
      </c>
      <c r="O58" s="16">
        <v>567.54999999999995</v>
      </c>
      <c r="P58" s="16">
        <v>567.54999999999995</v>
      </c>
      <c r="Q58" s="16">
        <v>567.54999999999995</v>
      </c>
      <c r="R58" s="16">
        <v>567.54999999999995</v>
      </c>
      <c r="S58" s="16">
        <v>567.54999999999995</v>
      </c>
      <c r="T58" s="16">
        <v>567.54999999999995</v>
      </c>
      <c r="U58" s="16">
        <f t="shared" si="7"/>
        <v>6243.0500000000011</v>
      </c>
    </row>
    <row r="59" spans="1:21" ht="14.25" hidden="1" customHeight="1" outlineLevel="1">
      <c r="A59" s="11" t="s">
        <v>101</v>
      </c>
      <c r="B59" s="11" t="s">
        <v>102</v>
      </c>
      <c r="C59" s="12">
        <v>353.98</v>
      </c>
      <c r="D59" s="12">
        <v>0</v>
      </c>
      <c r="E59" s="12">
        <v>0</v>
      </c>
      <c r="F59" s="12">
        <v>353.98</v>
      </c>
      <c r="I59" s="16">
        <v>353.98</v>
      </c>
      <c r="J59" s="16">
        <v>353.98</v>
      </c>
      <c r="K59" s="16">
        <v>353.98</v>
      </c>
      <c r="L59" s="16">
        <v>353.98</v>
      </c>
      <c r="M59" s="16">
        <v>353.98</v>
      </c>
      <c r="N59" s="16">
        <v>353.98</v>
      </c>
      <c r="O59" s="16">
        <v>353.98</v>
      </c>
      <c r="P59" s="16">
        <v>353.98</v>
      </c>
      <c r="Q59" s="16">
        <v>353.98</v>
      </c>
      <c r="R59" s="16">
        <v>353.98</v>
      </c>
      <c r="S59" s="16">
        <v>353.98</v>
      </c>
      <c r="T59" s="16">
        <v>353.98</v>
      </c>
      <c r="U59" s="16">
        <f t="shared" si="7"/>
        <v>3893.78</v>
      </c>
    </row>
    <row r="60" spans="1:21" ht="14.25" hidden="1" customHeight="1" outlineLevel="1">
      <c r="A60" s="11" t="s">
        <v>103</v>
      </c>
      <c r="B60" s="11" t="s">
        <v>104</v>
      </c>
      <c r="C60" s="12">
        <v>0</v>
      </c>
      <c r="D60" s="12">
        <v>165.93</v>
      </c>
      <c r="E60" s="12">
        <v>0</v>
      </c>
      <c r="F60" s="12">
        <v>165.93</v>
      </c>
      <c r="I60" s="16">
        <v>165.93</v>
      </c>
      <c r="J60" s="16">
        <v>165.93</v>
      </c>
      <c r="K60" s="16">
        <v>165.93</v>
      </c>
      <c r="L60" s="16">
        <v>165.93</v>
      </c>
      <c r="M60" s="16">
        <v>165.93</v>
      </c>
      <c r="N60" s="16">
        <v>165.93</v>
      </c>
      <c r="O60" s="16">
        <v>165.93</v>
      </c>
      <c r="P60" s="16">
        <v>165.93</v>
      </c>
      <c r="Q60" s="16">
        <v>165.93</v>
      </c>
      <c r="R60" s="16">
        <v>165.93</v>
      </c>
      <c r="S60" s="16">
        <v>165.93</v>
      </c>
      <c r="T60" s="16">
        <v>165.93</v>
      </c>
      <c r="U60" s="16">
        <f t="shared" si="7"/>
        <v>1825.2300000000005</v>
      </c>
    </row>
    <row r="61" spans="1:21" ht="14.25" hidden="1" customHeight="1" outlineLevel="1">
      <c r="A61" s="11" t="s">
        <v>105</v>
      </c>
      <c r="B61" s="11" t="s">
        <v>106</v>
      </c>
      <c r="C61" s="12">
        <v>1520.5</v>
      </c>
      <c r="D61" s="12">
        <v>0</v>
      </c>
      <c r="E61" s="12">
        <v>52138</v>
      </c>
      <c r="F61" s="12">
        <v>53658.5</v>
      </c>
      <c r="I61" s="16">
        <v>4000</v>
      </c>
      <c r="J61" s="16">
        <v>4000</v>
      </c>
      <c r="K61" s="16">
        <v>4000</v>
      </c>
      <c r="L61" s="16">
        <v>4000</v>
      </c>
      <c r="M61" s="16">
        <v>4000</v>
      </c>
      <c r="N61" s="16">
        <v>4000</v>
      </c>
      <c r="O61" s="16">
        <v>4000</v>
      </c>
      <c r="P61" s="16">
        <v>4000</v>
      </c>
      <c r="Q61" s="16">
        <v>4000</v>
      </c>
      <c r="R61" s="16">
        <v>4000</v>
      </c>
      <c r="S61" s="16">
        <v>4000</v>
      </c>
      <c r="T61" s="16">
        <v>4000</v>
      </c>
      <c r="U61" s="16">
        <f t="shared" si="7"/>
        <v>44000</v>
      </c>
    </row>
    <row r="62" spans="1:21" ht="14.25" hidden="1" customHeight="1" outlineLevel="1">
      <c r="A62" s="11" t="s">
        <v>107</v>
      </c>
      <c r="B62" s="11" t="s">
        <v>108</v>
      </c>
      <c r="C62" s="12">
        <v>6</v>
      </c>
      <c r="D62" s="12">
        <v>0</v>
      </c>
      <c r="E62" s="12">
        <v>0</v>
      </c>
      <c r="F62" s="12">
        <v>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16">
        <f t="shared" si="7"/>
        <v>0</v>
      </c>
    </row>
    <row r="63" spans="1:21" ht="14.25" customHeight="1" collapsed="1">
      <c r="A63" s="9"/>
      <c r="B63" s="9" t="s">
        <v>109</v>
      </c>
      <c r="C63" s="14">
        <v>3030.47</v>
      </c>
      <c r="D63" s="14">
        <v>1512.31</v>
      </c>
      <c r="E63" s="14">
        <v>53365.31</v>
      </c>
      <c r="F63" s="14">
        <v>57908.09</v>
      </c>
      <c r="I63" s="2">
        <f t="shared" ref="I63:T63" si="9">SUM(I47:I61)</f>
        <v>8243.59</v>
      </c>
      <c r="J63" s="2">
        <f t="shared" si="9"/>
        <v>8243.59</v>
      </c>
      <c r="K63" s="2">
        <f t="shared" si="9"/>
        <v>8243.59</v>
      </c>
      <c r="L63" s="2">
        <f t="shared" si="9"/>
        <v>8243.59</v>
      </c>
      <c r="M63" s="2">
        <f t="shared" si="9"/>
        <v>8243.59</v>
      </c>
      <c r="N63" s="2">
        <f t="shared" si="9"/>
        <v>8243.59</v>
      </c>
      <c r="O63" s="2">
        <f t="shared" si="9"/>
        <v>8243.59</v>
      </c>
      <c r="P63" s="2">
        <f t="shared" si="9"/>
        <v>8243.59</v>
      </c>
      <c r="Q63" s="2">
        <f t="shared" si="9"/>
        <v>8243.59</v>
      </c>
      <c r="R63" s="2">
        <f t="shared" si="9"/>
        <v>8243.59</v>
      </c>
      <c r="S63" s="2">
        <f t="shared" si="9"/>
        <v>8243.59</v>
      </c>
      <c r="T63" s="2">
        <f t="shared" si="9"/>
        <v>8243.59</v>
      </c>
      <c r="U63" s="16">
        <f t="shared" si="7"/>
        <v>90679.489999999976</v>
      </c>
    </row>
    <row r="64" spans="1:21" ht="14.25" hidden="1" customHeight="1">
      <c r="A64" s="9"/>
      <c r="B64" s="9" t="s">
        <v>110</v>
      </c>
      <c r="C64" s="10"/>
      <c r="D64" s="10"/>
      <c r="E64" s="10"/>
      <c r="F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16">
        <f t="shared" si="7"/>
        <v>0</v>
      </c>
    </row>
    <row r="65" spans="1:21" ht="14.25" customHeight="1">
      <c r="A65" s="11" t="s">
        <v>111</v>
      </c>
      <c r="B65" s="9" t="s">
        <v>112</v>
      </c>
      <c r="C65" s="12">
        <v>3734</v>
      </c>
      <c r="D65" s="12">
        <v>3734</v>
      </c>
      <c r="E65" s="12">
        <v>3734</v>
      </c>
      <c r="F65" s="12">
        <v>11202</v>
      </c>
      <c r="I65" s="16">
        <v>3734</v>
      </c>
      <c r="J65" s="16">
        <v>3734</v>
      </c>
      <c r="K65" s="16">
        <v>3734</v>
      </c>
      <c r="L65" s="16">
        <v>3735</v>
      </c>
      <c r="M65" s="16">
        <v>3736</v>
      </c>
      <c r="N65" s="16">
        <v>3737</v>
      </c>
      <c r="O65" s="16">
        <v>3738</v>
      </c>
      <c r="P65" s="16">
        <v>3739</v>
      </c>
      <c r="Q65" s="16">
        <v>3740</v>
      </c>
      <c r="R65" s="16">
        <v>3741</v>
      </c>
      <c r="S65" s="16">
        <v>3742</v>
      </c>
      <c r="T65" s="16">
        <v>3742</v>
      </c>
      <c r="U65" s="16">
        <f t="shared" si="7"/>
        <v>41110</v>
      </c>
    </row>
    <row r="66" spans="1:21" ht="14.25" hidden="1" customHeight="1" outlineLevel="1">
      <c r="A66" s="9"/>
      <c r="B66" s="9" t="s">
        <v>113</v>
      </c>
      <c r="C66" s="14">
        <v>3734</v>
      </c>
      <c r="D66" s="14">
        <v>3734</v>
      </c>
      <c r="E66" s="14">
        <v>3734</v>
      </c>
      <c r="F66" s="14">
        <v>11202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16">
        <f t="shared" si="7"/>
        <v>0</v>
      </c>
    </row>
    <row r="67" spans="1:21" ht="14.25" hidden="1" customHeight="1" outlineLevel="1">
      <c r="A67" s="9"/>
      <c r="B67" s="9" t="s">
        <v>114</v>
      </c>
      <c r="C67" s="10"/>
      <c r="D67" s="10"/>
      <c r="E67" s="10"/>
      <c r="F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6">
        <f t="shared" si="7"/>
        <v>0</v>
      </c>
    </row>
    <row r="68" spans="1:21" ht="14.25" hidden="1" customHeight="1" outlineLevel="1">
      <c r="A68" s="11" t="s">
        <v>115</v>
      </c>
      <c r="B68" s="11" t="s">
        <v>116</v>
      </c>
      <c r="C68" s="12">
        <v>444.29</v>
      </c>
      <c r="D68" s="12">
        <v>323.12</v>
      </c>
      <c r="E68" s="12">
        <v>80.78</v>
      </c>
      <c r="F68" s="12">
        <v>848.19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6">
        <f t="shared" si="7"/>
        <v>0</v>
      </c>
    </row>
    <row r="69" spans="1:21" ht="14.25" hidden="1" customHeight="1" outlineLevel="1">
      <c r="A69" s="11" t="s">
        <v>117</v>
      </c>
      <c r="B69" s="11" t="s">
        <v>118</v>
      </c>
      <c r="C69" s="12">
        <v>5000</v>
      </c>
      <c r="D69" s="12">
        <v>5000.29</v>
      </c>
      <c r="E69" s="12">
        <v>5000</v>
      </c>
      <c r="F69" s="12">
        <v>15000.29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16">
        <f t="shared" si="7"/>
        <v>0</v>
      </c>
    </row>
    <row r="70" spans="1:21" ht="14.25" hidden="1" customHeight="1" outlineLevel="1">
      <c r="A70" s="11" t="s">
        <v>119</v>
      </c>
      <c r="B70" s="11" t="s">
        <v>120</v>
      </c>
      <c r="C70" s="12">
        <v>150</v>
      </c>
      <c r="D70" s="12">
        <v>150</v>
      </c>
      <c r="E70" s="12">
        <v>150</v>
      </c>
      <c r="F70" s="12">
        <v>450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16">
        <f t="shared" si="7"/>
        <v>0</v>
      </c>
    </row>
    <row r="71" spans="1:21" ht="14.25" hidden="1" customHeight="1" outlineLevel="1">
      <c r="A71" s="11" t="s">
        <v>121</v>
      </c>
      <c r="B71" s="11" t="s">
        <v>122</v>
      </c>
      <c r="C71" s="12">
        <v>1008</v>
      </c>
      <c r="D71" s="12">
        <v>2682</v>
      </c>
      <c r="E71" s="12">
        <v>864</v>
      </c>
      <c r="F71" s="12">
        <v>4554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16">
        <f t="shared" si="7"/>
        <v>0</v>
      </c>
    </row>
    <row r="72" spans="1:21" ht="14.25" hidden="1" customHeight="1" outlineLevel="1">
      <c r="A72" s="11" t="s">
        <v>123</v>
      </c>
      <c r="B72" s="11" t="s">
        <v>124</v>
      </c>
      <c r="C72" s="12">
        <v>665.56</v>
      </c>
      <c r="D72" s="12">
        <v>730.74</v>
      </c>
      <c r="E72" s="12">
        <v>540.4</v>
      </c>
      <c r="F72" s="12">
        <v>1936.7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16">
        <f t="shared" si="7"/>
        <v>0</v>
      </c>
    </row>
    <row r="73" spans="1:21" ht="14.25" hidden="1" customHeight="1" outlineLevel="1">
      <c r="A73" s="11" t="s">
        <v>125</v>
      </c>
      <c r="B73" s="11" t="s">
        <v>126</v>
      </c>
      <c r="C73" s="12">
        <v>1241.5</v>
      </c>
      <c r="D73" s="12">
        <v>264</v>
      </c>
      <c r="E73" s="12">
        <v>264</v>
      </c>
      <c r="F73" s="12">
        <v>1769.5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16">
        <f t="shared" si="7"/>
        <v>0</v>
      </c>
    </row>
    <row r="74" spans="1:21" ht="14.25" hidden="1" customHeight="1" outlineLevel="1">
      <c r="A74" s="11" t="s">
        <v>127</v>
      </c>
      <c r="B74" s="11" t="s">
        <v>128</v>
      </c>
      <c r="C74" s="12">
        <v>150</v>
      </c>
      <c r="D74" s="12">
        <v>0</v>
      </c>
      <c r="E74" s="12">
        <v>0</v>
      </c>
      <c r="F74" s="12">
        <v>150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16">
        <f t="shared" si="7"/>
        <v>0</v>
      </c>
    </row>
    <row r="75" spans="1:21" ht="14.25" hidden="1" customHeight="1" outlineLevel="1">
      <c r="A75" s="11" t="s">
        <v>129</v>
      </c>
      <c r="B75" s="11" t="s">
        <v>130</v>
      </c>
      <c r="C75" s="12">
        <v>55.64</v>
      </c>
      <c r="D75" s="12">
        <v>51.7</v>
      </c>
      <c r="E75" s="12">
        <v>39.69</v>
      </c>
      <c r="F75" s="12">
        <v>147.03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6">
        <f t="shared" si="7"/>
        <v>0</v>
      </c>
    </row>
    <row r="76" spans="1:21" ht="14.25" customHeight="1" collapsed="1">
      <c r="A76" s="9"/>
      <c r="B76" s="9" t="s">
        <v>131</v>
      </c>
      <c r="C76" s="14">
        <v>8714.99</v>
      </c>
      <c r="D76" s="14">
        <v>9201.85</v>
      </c>
      <c r="E76" s="14">
        <v>6938.87</v>
      </c>
      <c r="F76" s="14">
        <v>24855.71</v>
      </c>
      <c r="I76" s="17">
        <f>F76/3</f>
        <v>8285.2366666666658</v>
      </c>
      <c r="J76" s="17">
        <f t="shared" ref="J76:T76" si="10">I76</f>
        <v>8285.2366666666658</v>
      </c>
      <c r="K76" s="17">
        <f t="shared" si="10"/>
        <v>8285.2366666666658</v>
      </c>
      <c r="L76" s="17">
        <f t="shared" si="10"/>
        <v>8285.2366666666658</v>
      </c>
      <c r="M76" s="17">
        <f t="shared" si="10"/>
        <v>8285.2366666666658</v>
      </c>
      <c r="N76" s="17">
        <f t="shared" si="10"/>
        <v>8285.2366666666658</v>
      </c>
      <c r="O76" s="17">
        <f t="shared" si="10"/>
        <v>8285.2366666666658</v>
      </c>
      <c r="P76" s="17">
        <f t="shared" si="10"/>
        <v>8285.2366666666658</v>
      </c>
      <c r="Q76" s="17">
        <f t="shared" si="10"/>
        <v>8285.2366666666658</v>
      </c>
      <c r="R76" s="17">
        <f t="shared" si="10"/>
        <v>8285.2366666666658</v>
      </c>
      <c r="S76" s="17">
        <f t="shared" si="10"/>
        <v>8285.2366666666658</v>
      </c>
      <c r="T76" s="17">
        <f t="shared" si="10"/>
        <v>8285.2366666666658</v>
      </c>
      <c r="U76" s="16">
        <f t="shared" si="7"/>
        <v>91137.603333333318</v>
      </c>
    </row>
    <row r="77" spans="1:21" ht="14.25" customHeight="1">
      <c r="A77" s="9"/>
      <c r="B77" s="9" t="s">
        <v>132</v>
      </c>
      <c r="C77" s="14">
        <v>34187.14</v>
      </c>
      <c r="D77" s="14">
        <v>31097.16</v>
      </c>
      <c r="E77" s="14">
        <v>89098.54</v>
      </c>
      <c r="F77" s="14">
        <v>154382.84</v>
      </c>
      <c r="I77" s="5">
        <f t="shared" ref="I77:T77" si="11">I76+I65+I63+I44+I41+I36+I31+I28+I18+0</f>
        <v>46249.18</v>
      </c>
      <c r="J77" s="5">
        <f t="shared" si="11"/>
        <v>47249.18</v>
      </c>
      <c r="K77" s="5">
        <f t="shared" si="11"/>
        <v>48749.18</v>
      </c>
      <c r="L77" s="5">
        <f t="shared" si="11"/>
        <v>49439.753333333334</v>
      </c>
      <c r="M77" s="5">
        <f t="shared" si="11"/>
        <v>47440.753333333334</v>
      </c>
      <c r="N77" s="5">
        <f t="shared" si="11"/>
        <v>47441.753333333334</v>
      </c>
      <c r="O77" s="5">
        <f t="shared" si="11"/>
        <v>47442.753333333334</v>
      </c>
      <c r="P77" s="5">
        <f t="shared" si="11"/>
        <v>47443.753333333334</v>
      </c>
      <c r="Q77" s="5">
        <f t="shared" si="11"/>
        <v>47444.753333333334</v>
      </c>
      <c r="R77" s="5">
        <f t="shared" si="11"/>
        <v>47445.753333333334</v>
      </c>
      <c r="S77" s="5">
        <f t="shared" si="11"/>
        <v>47446.753333333334</v>
      </c>
      <c r="T77" s="5">
        <f t="shared" si="11"/>
        <v>47446.753333333334</v>
      </c>
      <c r="U77" s="13">
        <f t="shared" si="7"/>
        <v>523793.56666666677</v>
      </c>
    </row>
    <row r="78" spans="1:21" ht="14.25" customHeight="1">
      <c r="A78" s="11"/>
      <c r="B78" s="11"/>
      <c r="C78" s="12"/>
      <c r="D78" s="12"/>
      <c r="E78" s="12"/>
      <c r="F78" s="1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3">
        <f t="shared" si="7"/>
        <v>0</v>
      </c>
    </row>
    <row r="79" spans="1:21" ht="14.25" customHeight="1">
      <c r="A79" s="9"/>
      <c r="B79" s="9" t="s">
        <v>133</v>
      </c>
      <c r="C79" s="10">
        <v>-34007.14</v>
      </c>
      <c r="D79" s="10">
        <v>-30887.16</v>
      </c>
      <c r="E79" s="10">
        <v>-87798.54</v>
      </c>
      <c r="F79" s="10">
        <v>-152692.84</v>
      </c>
      <c r="I79" s="6">
        <f t="shared" ref="I79:T79" si="12">I11-I77</f>
        <v>-28249.18</v>
      </c>
      <c r="J79" s="6">
        <f t="shared" si="12"/>
        <v>-27249.18</v>
      </c>
      <c r="K79" s="6">
        <f t="shared" si="12"/>
        <v>-17769.18</v>
      </c>
      <c r="L79" s="6">
        <f t="shared" si="12"/>
        <v>-18459.753333333334</v>
      </c>
      <c r="M79" s="6">
        <f t="shared" si="12"/>
        <v>-970.75333333333401</v>
      </c>
      <c r="N79" s="6">
        <f t="shared" si="12"/>
        <v>14518.246666666666</v>
      </c>
      <c r="O79" s="6">
        <f t="shared" si="12"/>
        <v>45497.246666666666</v>
      </c>
      <c r="P79" s="6">
        <f t="shared" si="12"/>
        <v>60986.246666666666</v>
      </c>
      <c r="Q79" s="6">
        <f t="shared" si="12"/>
        <v>88867.246666666673</v>
      </c>
      <c r="R79" s="6">
        <f t="shared" si="12"/>
        <v>88866.246666666673</v>
      </c>
      <c r="S79" s="6">
        <f t="shared" si="12"/>
        <v>88865.246666666673</v>
      </c>
      <c r="T79" s="6">
        <f t="shared" si="12"/>
        <v>88865.246666666673</v>
      </c>
      <c r="U79" s="13">
        <f t="shared" si="7"/>
        <v>294902.43333333335</v>
      </c>
    </row>
    <row r="80" spans="1:21" ht="14.25" customHeight="1">
      <c r="A80" s="11"/>
      <c r="B80" s="11"/>
      <c r="C80" s="12"/>
      <c r="D80" s="12"/>
      <c r="E80" s="12"/>
      <c r="F80" s="1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3">
        <f t="shared" si="7"/>
        <v>0</v>
      </c>
    </row>
    <row r="81" spans="1:21" ht="14.25" customHeight="1">
      <c r="A81" s="9"/>
      <c r="B81" s="9" t="s">
        <v>134</v>
      </c>
      <c r="C81" s="10"/>
      <c r="D81" s="10"/>
      <c r="E81" s="10"/>
      <c r="F81" s="10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3">
        <f t="shared" si="7"/>
        <v>0</v>
      </c>
    </row>
    <row r="82" spans="1:21" ht="14.25" customHeight="1">
      <c r="A82" s="9"/>
      <c r="B82" s="9" t="s">
        <v>135</v>
      </c>
      <c r="C82" s="10"/>
      <c r="D82" s="10"/>
      <c r="E82" s="10"/>
      <c r="F82" s="10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3">
        <f t="shared" si="7"/>
        <v>0</v>
      </c>
    </row>
    <row r="83" spans="1:21" ht="14.25" customHeight="1">
      <c r="A83" s="11" t="s">
        <v>136</v>
      </c>
      <c r="B83" s="11" t="s">
        <v>137</v>
      </c>
      <c r="C83" s="12">
        <v>20834.43</v>
      </c>
      <c r="D83" s="12">
        <v>51942.33</v>
      </c>
      <c r="E83" s="12">
        <v>57013.86</v>
      </c>
      <c r="F83" s="12">
        <v>129790.62</v>
      </c>
      <c r="I83" s="18">
        <v>60000</v>
      </c>
      <c r="J83" s="18">
        <v>60000</v>
      </c>
      <c r="K83" s="18">
        <v>60000</v>
      </c>
      <c r="L83" s="18">
        <v>62000</v>
      </c>
      <c r="M83" s="18">
        <v>62000</v>
      </c>
      <c r="N83" s="18">
        <v>62000</v>
      </c>
      <c r="O83" s="18">
        <v>65000</v>
      </c>
      <c r="P83" s="18">
        <v>65000</v>
      </c>
      <c r="Q83" s="18">
        <v>65000</v>
      </c>
      <c r="R83" s="18">
        <v>65000</v>
      </c>
      <c r="S83" s="18">
        <v>65001</v>
      </c>
      <c r="T83" s="18">
        <v>65001</v>
      </c>
      <c r="U83" s="13">
        <f t="shared" si="7"/>
        <v>691001</v>
      </c>
    </row>
    <row r="84" spans="1:21" ht="14.25" hidden="1" customHeight="1">
      <c r="A84" s="9"/>
      <c r="B84" s="9" t="s">
        <v>138</v>
      </c>
      <c r="C84" s="10"/>
      <c r="D84" s="10"/>
      <c r="E84" s="10"/>
      <c r="F84" s="10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3">
        <f t="shared" si="7"/>
        <v>0</v>
      </c>
    </row>
    <row r="85" spans="1:21" ht="14.25" hidden="1" customHeight="1">
      <c r="A85" s="11" t="s">
        <v>139</v>
      </c>
      <c r="B85" s="11" t="s">
        <v>140</v>
      </c>
      <c r="C85" s="12">
        <v>3146</v>
      </c>
      <c r="D85" s="12">
        <v>0</v>
      </c>
      <c r="E85" s="12">
        <v>0</v>
      </c>
      <c r="F85" s="12">
        <v>3146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13">
        <f t="shared" si="7"/>
        <v>0</v>
      </c>
    </row>
    <row r="86" spans="1:21" ht="14.25" hidden="1" customHeight="1">
      <c r="A86" s="11" t="s">
        <v>141</v>
      </c>
      <c r="B86" s="11" t="s">
        <v>142</v>
      </c>
      <c r="C86" s="12">
        <v>0</v>
      </c>
      <c r="D86" s="12">
        <v>0</v>
      </c>
      <c r="E86" s="12">
        <v>5000</v>
      </c>
      <c r="F86" s="12">
        <v>5000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13">
        <f t="shared" si="7"/>
        <v>0</v>
      </c>
    </row>
    <row r="87" spans="1:21" ht="14.25" hidden="1" customHeight="1">
      <c r="A87" s="11" t="s">
        <v>143</v>
      </c>
      <c r="B87" s="11" t="s">
        <v>144</v>
      </c>
      <c r="C87" s="12">
        <v>9751</v>
      </c>
      <c r="D87" s="12">
        <v>0</v>
      </c>
      <c r="E87" s="12">
        <v>0</v>
      </c>
      <c r="F87" s="12">
        <v>9751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13">
        <f t="shared" si="7"/>
        <v>0</v>
      </c>
    </row>
    <row r="88" spans="1:21" ht="14.25" hidden="1" customHeight="1">
      <c r="A88" s="11" t="s">
        <v>145</v>
      </c>
      <c r="B88" s="11" t="s">
        <v>146</v>
      </c>
      <c r="C88" s="12">
        <v>0</v>
      </c>
      <c r="D88" s="12">
        <v>39204</v>
      </c>
      <c r="E88" s="12">
        <v>0</v>
      </c>
      <c r="F88" s="12">
        <v>39204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13">
        <f t="shared" si="7"/>
        <v>0</v>
      </c>
    </row>
    <row r="89" spans="1:21" ht="14.25" hidden="1" customHeight="1">
      <c r="A89" s="11" t="s">
        <v>147</v>
      </c>
      <c r="B89" s="11" t="s">
        <v>148</v>
      </c>
      <c r="C89" s="12">
        <v>3146.67</v>
      </c>
      <c r="D89" s="12">
        <v>84075</v>
      </c>
      <c r="E89" s="12">
        <v>0</v>
      </c>
      <c r="F89" s="12">
        <v>87221.67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13">
        <f t="shared" si="7"/>
        <v>0</v>
      </c>
    </row>
    <row r="90" spans="1:21" ht="14.25" hidden="1" customHeight="1">
      <c r="A90" s="11" t="s">
        <v>149</v>
      </c>
      <c r="B90" s="11" t="s">
        <v>150</v>
      </c>
      <c r="C90" s="12">
        <v>0</v>
      </c>
      <c r="D90" s="12">
        <v>1904.31</v>
      </c>
      <c r="E90" s="12">
        <v>0</v>
      </c>
      <c r="F90" s="12">
        <v>1904.31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13">
        <f t="shared" si="7"/>
        <v>0</v>
      </c>
    </row>
    <row r="91" spans="1:21" ht="14.25" hidden="1" customHeight="1">
      <c r="A91" s="11" t="s">
        <v>151</v>
      </c>
      <c r="B91" s="11" t="s">
        <v>152</v>
      </c>
      <c r="C91" s="12">
        <v>33207.33</v>
      </c>
      <c r="D91" s="12">
        <v>32944.54</v>
      </c>
      <c r="E91" s="12">
        <v>0</v>
      </c>
      <c r="F91" s="12">
        <v>66151.87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13">
        <f t="shared" si="7"/>
        <v>0</v>
      </c>
    </row>
    <row r="92" spans="1:21" ht="14.25" hidden="1" customHeight="1">
      <c r="A92" s="11" t="s">
        <v>153</v>
      </c>
      <c r="B92" s="11" t="s">
        <v>154</v>
      </c>
      <c r="C92" s="12">
        <v>0</v>
      </c>
      <c r="D92" s="12">
        <v>16174.9</v>
      </c>
      <c r="E92" s="12">
        <v>0</v>
      </c>
      <c r="F92" s="12">
        <v>16174.9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13">
        <f t="shared" si="7"/>
        <v>0</v>
      </c>
    </row>
    <row r="93" spans="1:21" ht="14.25" hidden="1" customHeight="1">
      <c r="A93" s="9"/>
      <c r="B93" s="9" t="s">
        <v>155</v>
      </c>
      <c r="C93" s="14">
        <v>49251</v>
      </c>
      <c r="D93" s="14">
        <v>174302.75</v>
      </c>
      <c r="E93" s="14">
        <v>5000</v>
      </c>
      <c r="F93" s="14">
        <v>228553.75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13">
        <f t="shared" si="7"/>
        <v>0</v>
      </c>
    </row>
    <row r="94" spans="1:21" ht="14.25" hidden="1" customHeight="1">
      <c r="A94" s="9"/>
      <c r="B94" s="9" t="s">
        <v>156</v>
      </c>
      <c r="C94" s="10"/>
      <c r="D94" s="10"/>
      <c r="E94" s="10"/>
      <c r="F94" s="10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13">
        <f t="shared" si="7"/>
        <v>0</v>
      </c>
    </row>
    <row r="95" spans="1:21" ht="14.25" hidden="1" customHeight="1">
      <c r="A95" s="11" t="s">
        <v>157</v>
      </c>
      <c r="B95" s="11" t="s">
        <v>158</v>
      </c>
      <c r="C95" s="12">
        <v>335.96</v>
      </c>
      <c r="D95" s="12">
        <v>2619.17</v>
      </c>
      <c r="E95" s="12">
        <v>0</v>
      </c>
      <c r="F95" s="12">
        <v>2955.13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13">
        <f t="shared" si="7"/>
        <v>0</v>
      </c>
    </row>
    <row r="96" spans="1:21" ht="14.25" hidden="1" customHeight="1">
      <c r="A96" s="11" t="s">
        <v>159</v>
      </c>
      <c r="B96" s="11" t="s">
        <v>160</v>
      </c>
      <c r="C96" s="12">
        <v>0</v>
      </c>
      <c r="D96" s="12">
        <v>0</v>
      </c>
      <c r="E96" s="12">
        <v>900</v>
      </c>
      <c r="F96" s="12">
        <v>900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13">
        <f t="shared" si="7"/>
        <v>0</v>
      </c>
    </row>
    <row r="97" spans="1:21" ht="14.25" hidden="1" customHeight="1">
      <c r="A97" s="11" t="s">
        <v>161</v>
      </c>
      <c r="B97" s="11" t="s">
        <v>162</v>
      </c>
      <c r="C97" s="12">
        <v>0</v>
      </c>
      <c r="D97" s="12">
        <v>0</v>
      </c>
      <c r="E97" s="12">
        <v>4950</v>
      </c>
      <c r="F97" s="12">
        <v>4950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13">
        <f t="shared" si="7"/>
        <v>0</v>
      </c>
    </row>
    <row r="98" spans="1:21" ht="14.25" hidden="1" customHeight="1">
      <c r="A98" s="11" t="s">
        <v>163</v>
      </c>
      <c r="B98" s="11" t="s">
        <v>164</v>
      </c>
      <c r="C98" s="12">
        <v>0</v>
      </c>
      <c r="D98" s="12">
        <v>9957.74</v>
      </c>
      <c r="E98" s="12">
        <v>0</v>
      </c>
      <c r="F98" s="12">
        <v>9957.74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13">
        <f t="shared" si="7"/>
        <v>0</v>
      </c>
    </row>
    <row r="99" spans="1:21" ht="14.25" hidden="1" customHeight="1">
      <c r="A99" s="11" t="s">
        <v>165</v>
      </c>
      <c r="B99" s="11" t="s">
        <v>166</v>
      </c>
      <c r="C99" s="12">
        <v>0</v>
      </c>
      <c r="D99" s="12">
        <v>0</v>
      </c>
      <c r="E99" s="12">
        <v>9077.43</v>
      </c>
      <c r="F99" s="12">
        <v>9077.43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13">
        <f t="shared" si="7"/>
        <v>0</v>
      </c>
    </row>
    <row r="100" spans="1:21" ht="14.25" hidden="1" customHeight="1">
      <c r="A100" s="11" t="s">
        <v>167</v>
      </c>
      <c r="B100" s="11" t="s">
        <v>168</v>
      </c>
      <c r="C100" s="12">
        <v>4486.8599999999997</v>
      </c>
      <c r="D100" s="12">
        <v>0</v>
      </c>
      <c r="E100" s="12">
        <v>0</v>
      </c>
      <c r="F100" s="12">
        <v>4486.8599999999997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13">
        <f t="shared" si="7"/>
        <v>0</v>
      </c>
    </row>
    <row r="101" spans="1:21" ht="14.25" hidden="1" customHeight="1">
      <c r="A101" s="11" t="s">
        <v>169</v>
      </c>
      <c r="B101" s="11" t="s">
        <v>170</v>
      </c>
      <c r="C101" s="12">
        <v>212.19</v>
      </c>
      <c r="D101" s="12">
        <v>0</v>
      </c>
      <c r="E101" s="12">
        <v>0</v>
      </c>
      <c r="F101" s="12">
        <v>212.19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13">
        <f t="shared" si="7"/>
        <v>0</v>
      </c>
    </row>
    <row r="102" spans="1:21" ht="14.25" hidden="1" customHeight="1">
      <c r="A102" s="11" t="s">
        <v>171</v>
      </c>
      <c r="B102" s="11" t="s">
        <v>172</v>
      </c>
      <c r="C102" s="12">
        <v>15000</v>
      </c>
      <c r="D102" s="12">
        <v>0</v>
      </c>
      <c r="E102" s="12">
        <v>0</v>
      </c>
      <c r="F102" s="12">
        <v>15000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13">
        <f t="shared" si="7"/>
        <v>0</v>
      </c>
    </row>
    <row r="103" spans="1:21" ht="14.25" hidden="1" customHeight="1">
      <c r="A103" s="11" t="s">
        <v>173</v>
      </c>
      <c r="B103" s="11" t="s">
        <v>174</v>
      </c>
      <c r="C103" s="12">
        <v>0</v>
      </c>
      <c r="D103" s="12">
        <v>0</v>
      </c>
      <c r="E103" s="12">
        <v>28320</v>
      </c>
      <c r="F103" s="12">
        <v>28320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13">
        <f t="shared" si="7"/>
        <v>0</v>
      </c>
    </row>
    <row r="104" spans="1:21" ht="14.25" hidden="1" customHeight="1">
      <c r="A104" s="11" t="s">
        <v>175</v>
      </c>
      <c r="B104" s="11" t="s">
        <v>176</v>
      </c>
      <c r="C104" s="12">
        <v>0</v>
      </c>
      <c r="D104" s="12">
        <v>0</v>
      </c>
      <c r="E104" s="12">
        <v>3600</v>
      </c>
      <c r="F104" s="12">
        <v>3600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13">
        <f t="shared" si="7"/>
        <v>0</v>
      </c>
    </row>
    <row r="105" spans="1:21" ht="14.25" hidden="1" customHeight="1">
      <c r="A105" s="11" t="s">
        <v>177</v>
      </c>
      <c r="B105" s="11" t="s">
        <v>178</v>
      </c>
      <c r="C105" s="12">
        <v>0</v>
      </c>
      <c r="D105" s="12">
        <v>0</v>
      </c>
      <c r="E105" s="12">
        <v>5530</v>
      </c>
      <c r="F105" s="12">
        <v>5530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13">
        <f t="shared" si="7"/>
        <v>0</v>
      </c>
    </row>
    <row r="106" spans="1:21" ht="14.25" hidden="1" customHeight="1">
      <c r="A106" s="9"/>
      <c r="B106" s="9" t="s">
        <v>179</v>
      </c>
      <c r="C106" s="14">
        <v>20035.009999999998</v>
      </c>
      <c r="D106" s="14">
        <v>12576.91</v>
      </c>
      <c r="E106" s="14">
        <v>52377.43</v>
      </c>
      <c r="F106" s="14">
        <v>84989.35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13">
        <f t="shared" si="7"/>
        <v>0</v>
      </c>
    </row>
    <row r="107" spans="1:21" ht="14.25" hidden="1" customHeight="1">
      <c r="A107" s="9"/>
      <c r="B107" s="9" t="s">
        <v>180</v>
      </c>
      <c r="C107" s="14">
        <v>90120.44</v>
      </c>
      <c r="D107" s="14">
        <v>238821.99</v>
      </c>
      <c r="E107" s="14">
        <v>114391.29</v>
      </c>
      <c r="F107" s="14">
        <v>443333.72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13">
        <f t="shared" si="7"/>
        <v>0</v>
      </c>
    </row>
    <row r="108" spans="1:21" ht="14.25" customHeight="1">
      <c r="A108" s="11"/>
      <c r="B108" s="11"/>
      <c r="C108" s="12"/>
      <c r="D108" s="12"/>
      <c r="E108" s="12"/>
      <c r="F108" s="1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13">
        <f t="shared" si="7"/>
        <v>0</v>
      </c>
    </row>
    <row r="109" spans="1:21" ht="14.25" customHeight="1">
      <c r="A109" s="9"/>
      <c r="B109" s="9" t="s">
        <v>181</v>
      </c>
      <c r="C109" s="14">
        <v>-90120.44</v>
      </c>
      <c r="D109" s="14">
        <v>-238821.99</v>
      </c>
      <c r="E109" s="14">
        <v>-114391.29</v>
      </c>
      <c r="F109" s="14">
        <v>-443333.72</v>
      </c>
      <c r="I109" s="6">
        <f t="shared" ref="I109:T109" si="13">I79-I83</f>
        <v>-88249.18</v>
      </c>
      <c r="J109" s="6">
        <f t="shared" si="13"/>
        <v>-87249.18</v>
      </c>
      <c r="K109" s="6">
        <f t="shared" si="13"/>
        <v>-77769.179999999993</v>
      </c>
      <c r="L109" s="6">
        <f t="shared" si="13"/>
        <v>-80459.753333333327</v>
      </c>
      <c r="M109" s="6">
        <f t="shared" si="13"/>
        <v>-62970.753333333334</v>
      </c>
      <c r="N109" s="6">
        <f t="shared" si="13"/>
        <v>-47481.753333333334</v>
      </c>
      <c r="O109" s="6">
        <f t="shared" si="13"/>
        <v>-19502.753333333334</v>
      </c>
      <c r="P109" s="6">
        <f t="shared" si="13"/>
        <v>-4013.753333333334</v>
      </c>
      <c r="Q109" s="6">
        <f t="shared" si="13"/>
        <v>23867.246666666673</v>
      </c>
      <c r="R109" s="6">
        <f t="shared" si="13"/>
        <v>23866.246666666673</v>
      </c>
      <c r="S109" s="6">
        <f t="shared" si="13"/>
        <v>23864.246666666673</v>
      </c>
      <c r="T109" s="6">
        <f t="shared" si="13"/>
        <v>23864.246666666673</v>
      </c>
      <c r="U109" s="13">
        <f t="shared" si="7"/>
        <v>-396098.56666666665</v>
      </c>
    </row>
    <row r="110" spans="1:21" ht="14.25" customHeight="1">
      <c r="A110" s="11"/>
      <c r="B110" s="11"/>
      <c r="C110" s="12"/>
      <c r="D110" s="12"/>
      <c r="E110" s="12"/>
      <c r="F110" s="12"/>
    </row>
    <row r="111" spans="1:21" ht="14.25" customHeight="1">
      <c r="A111" s="11"/>
      <c r="B111" s="11" t="s">
        <v>182</v>
      </c>
      <c r="C111" s="12">
        <v>180</v>
      </c>
      <c r="D111" s="12">
        <v>210</v>
      </c>
      <c r="E111" s="12">
        <v>1300</v>
      </c>
      <c r="F111" s="12">
        <v>1690</v>
      </c>
      <c r="I111" s="19">
        <v>95000</v>
      </c>
      <c r="J111" s="19">
        <f>100000</f>
        <v>100000</v>
      </c>
      <c r="K111" s="19">
        <v>80000</v>
      </c>
      <c r="L111" s="19">
        <v>70000</v>
      </c>
      <c r="M111" s="19">
        <v>50000</v>
      </c>
      <c r="N111" s="19">
        <v>20000</v>
      </c>
      <c r="O111" s="19"/>
      <c r="P111" s="19"/>
      <c r="Q111" s="19"/>
      <c r="R111" s="19"/>
      <c r="S111" s="19"/>
      <c r="T111" s="19"/>
      <c r="U111" s="19"/>
    </row>
    <row r="112" spans="1:21" ht="14.25" customHeight="1">
      <c r="A112" s="11"/>
      <c r="B112" s="11"/>
      <c r="C112" s="12">
        <v>124307.58</v>
      </c>
      <c r="D112" s="12">
        <v>269919.15000000002</v>
      </c>
      <c r="E112" s="12">
        <v>203489.83</v>
      </c>
      <c r="F112" s="12">
        <v>597716.56000000006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 spans="1:21" ht="14.25" customHeight="1">
      <c r="A113" s="11"/>
      <c r="B113" s="11" t="s">
        <v>183</v>
      </c>
      <c r="C113" s="12"/>
      <c r="D113" s="12"/>
      <c r="E113" s="12"/>
      <c r="F113" s="12"/>
      <c r="I113" s="19">
        <v>350000</v>
      </c>
      <c r="J113" s="19">
        <f t="shared" ref="J113:N113" si="14">I113-J111</f>
        <v>250000</v>
      </c>
      <c r="K113" s="19">
        <f t="shared" si="14"/>
        <v>170000</v>
      </c>
      <c r="L113" s="19">
        <f t="shared" si="14"/>
        <v>100000</v>
      </c>
      <c r="M113" s="19">
        <f t="shared" si="14"/>
        <v>50000</v>
      </c>
      <c r="N113" s="19">
        <f t="shared" si="14"/>
        <v>30000</v>
      </c>
      <c r="O113" s="19"/>
      <c r="P113" s="19"/>
      <c r="Q113" s="19"/>
      <c r="R113" s="19"/>
      <c r="S113" s="19"/>
      <c r="T113" s="19"/>
      <c r="U113" s="19"/>
    </row>
    <row r="114" spans="1:21" ht="14.25" customHeight="1">
      <c r="A114" s="9"/>
      <c r="B114" s="9"/>
      <c r="C114" s="20">
        <v>-124127.58</v>
      </c>
      <c r="D114" s="20">
        <v>-269709.15000000002</v>
      </c>
      <c r="E114" s="20">
        <v>-202189.83</v>
      </c>
      <c r="F114" s="20">
        <v>-596026.56000000006</v>
      </c>
    </row>
    <row r="115" spans="1:21" ht="14.25" customHeight="1"/>
    <row r="116" spans="1:21" ht="14.25" customHeight="1"/>
    <row r="117" spans="1:21" ht="14.25" customHeight="1"/>
    <row r="118" spans="1:21" ht="14.25" customHeight="1"/>
    <row r="119" spans="1:21" ht="14.25" customHeight="1"/>
    <row r="120" spans="1:21" ht="14.25" customHeight="1"/>
    <row r="121" spans="1:21" ht="14.25" customHeight="1"/>
    <row r="122" spans="1:21" ht="14.25" customHeight="1"/>
    <row r="123" spans="1:21" ht="14.25" customHeight="1"/>
    <row r="124" spans="1:21" ht="14.25" customHeight="1"/>
    <row r="125" spans="1:21" ht="14.25" customHeight="1"/>
    <row r="126" spans="1:21" ht="14.25" customHeight="1"/>
    <row r="127" spans="1:21" ht="14.25" customHeight="1"/>
    <row r="128" spans="1:21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11"/>
  <sheetViews>
    <sheetView workbookViewId="0"/>
  </sheetViews>
  <sheetFormatPr baseColWidth="10" defaultColWidth="12.6640625" defaultRowHeight="15" customHeight="1"/>
  <cols>
    <col min="1" max="1" width="32.1640625" customWidth="1"/>
  </cols>
  <sheetData>
    <row r="1" spans="1:26">
      <c r="A1" s="37" t="s">
        <v>231</v>
      </c>
      <c r="B1" s="38">
        <v>45986</v>
      </c>
      <c r="C1" s="24"/>
      <c r="D1" s="24"/>
      <c r="E1" s="3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2"/>
      <c r="B2" s="24"/>
      <c r="C2" s="24"/>
      <c r="D2" s="24"/>
      <c r="E2" s="3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40" t="s">
        <v>185</v>
      </c>
      <c r="B3" s="41"/>
      <c r="C3" s="41"/>
      <c r="D3" s="41"/>
      <c r="E3" s="4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0" t="s">
        <v>211</v>
      </c>
      <c r="B4" s="41"/>
      <c r="C4" s="41"/>
      <c r="D4" s="41"/>
      <c r="E4" s="4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43" t="s">
        <v>232</v>
      </c>
      <c r="B5" s="41"/>
      <c r="C5" s="41"/>
      <c r="D5" s="41"/>
      <c r="E5" s="42"/>
      <c r="F5" s="1"/>
      <c r="G5" s="3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25"/>
      <c r="B6" s="41"/>
      <c r="C6" s="44" t="s">
        <v>233</v>
      </c>
      <c r="D6" s="44" t="s">
        <v>186</v>
      </c>
      <c r="E6" s="45" t="s">
        <v>234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40" t="s">
        <v>235</v>
      </c>
      <c r="B7" s="41"/>
      <c r="C7" s="46"/>
      <c r="D7" s="47">
        <v>127</v>
      </c>
      <c r="E7" s="47" t="e">
        <f>#REF!</f>
        <v>#REF!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43" t="s">
        <v>224</v>
      </c>
      <c r="B8" s="41"/>
      <c r="C8" s="47" t="e">
        <f>#REF!</f>
        <v>#REF!</v>
      </c>
      <c r="D8" s="47" t="e">
        <f t="shared" ref="D8:D16" si="0">C8/$D$7</f>
        <v>#REF!</v>
      </c>
      <c r="E8" s="48" t="e">
        <f t="shared" ref="E8:E16" si="1">C8/$E$7</f>
        <v>#REF!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3" t="s">
        <v>236</v>
      </c>
      <c r="B9" s="41"/>
      <c r="C9" s="47">
        <v>83600</v>
      </c>
      <c r="D9" s="47">
        <f t="shared" si="0"/>
        <v>658.26771653543312</v>
      </c>
      <c r="E9" s="48" t="e">
        <f t="shared" si="1"/>
        <v>#REF!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43" t="s">
        <v>237</v>
      </c>
      <c r="B10" s="41"/>
      <c r="C10" s="47">
        <v>13600</v>
      </c>
      <c r="D10" s="47">
        <f t="shared" si="0"/>
        <v>107.08661417322834</v>
      </c>
      <c r="E10" s="48" t="e">
        <f t="shared" si="1"/>
        <v>#REF!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43" t="s">
        <v>238</v>
      </c>
      <c r="B11" s="41"/>
      <c r="C11" s="47">
        <v>4000</v>
      </c>
      <c r="D11" s="47">
        <f t="shared" si="0"/>
        <v>31.496062992125985</v>
      </c>
      <c r="E11" s="48" t="e">
        <f t="shared" si="1"/>
        <v>#REF!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43" t="s">
        <v>239</v>
      </c>
      <c r="B12" s="41"/>
      <c r="C12" s="47">
        <v>8000</v>
      </c>
      <c r="D12" s="47">
        <f t="shared" si="0"/>
        <v>62.99212598425197</v>
      </c>
      <c r="E12" s="48" t="e">
        <f t="shared" si="1"/>
        <v>#REF!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43" t="s">
        <v>240</v>
      </c>
      <c r="B13" s="41"/>
      <c r="C13" s="47">
        <v>5000</v>
      </c>
      <c r="D13" s="47">
        <f t="shared" si="0"/>
        <v>39.370078740157481</v>
      </c>
      <c r="E13" s="48" t="e">
        <f t="shared" si="1"/>
        <v>#REF!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43" t="s">
        <v>241</v>
      </c>
      <c r="B14" s="41"/>
      <c r="C14" s="49">
        <v>57000</v>
      </c>
      <c r="D14" s="47">
        <f t="shared" si="0"/>
        <v>448.81889763779526</v>
      </c>
      <c r="E14" s="48" t="e">
        <f t="shared" si="1"/>
        <v>#REF!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3" t="s">
        <v>242</v>
      </c>
      <c r="B15" s="50">
        <v>0.08</v>
      </c>
      <c r="C15" s="49" t="e">
        <f>-SUM(C8)*B15</f>
        <v>#REF!</v>
      </c>
      <c r="D15" s="47" t="e">
        <f t="shared" si="0"/>
        <v>#REF!</v>
      </c>
      <c r="E15" s="48" t="e">
        <f t="shared" si="1"/>
        <v>#REF!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43" t="s">
        <v>243</v>
      </c>
      <c r="B16" s="41"/>
      <c r="C16" s="49" t="e">
        <f>SUM(C8:C15)</f>
        <v>#REF!</v>
      </c>
      <c r="D16" s="47" t="e">
        <f t="shared" si="0"/>
        <v>#REF!</v>
      </c>
      <c r="E16" s="48" t="e">
        <f t="shared" si="1"/>
        <v>#REF!</v>
      </c>
      <c r="F16" s="1"/>
      <c r="G16" s="51" t="e">
        <f>C16/12</f>
        <v>#REF!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25"/>
      <c r="B17" s="41"/>
      <c r="C17" s="41"/>
      <c r="D17" s="41"/>
      <c r="E17" s="4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0" t="s">
        <v>244</v>
      </c>
      <c r="B18" s="41"/>
      <c r="C18" s="41"/>
      <c r="D18" s="41"/>
      <c r="E18" s="4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43" t="s">
        <v>245</v>
      </c>
      <c r="B19" s="41"/>
      <c r="C19" s="52"/>
      <c r="D19" s="52"/>
      <c r="E19" s="5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43" t="s">
        <v>246</v>
      </c>
      <c r="B20" s="41"/>
      <c r="C20" s="52"/>
      <c r="D20" s="52"/>
      <c r="E20" s="5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54" t="s">
        <v>247</v>
      </c>
      <c r="B21" s="46"/>
      <c r="C21" s="47">
        <v>40000</v>
      </c>
      <c r="D21" s="47">
        <f>C21/$D$7</f>
        <v>314.96062992125985</v>
      </c>
      <c r="E21" s="48" t="e">
        <f>C21/$E$7</f>
        <v>#REF!</v>
      </c>
      <c r="F21" s="55"/>
      <c r="G21" s="55"/>
      <c r="H21" s="55"/>
      <c r="I21" s="5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54" t="s">
        <v>248</v>
      </c>
      <c r="B22" s="46"/>
      <c r="C22" s="52"/>
      <c r="D22" s="52"/>
      <c r="E22" s="53"/>
      <c r="F22" s="55"/>
      <c r="G22" s="55"/>
      <c r="H22" s="55"/>
      <c r="I22" s="5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54" t="s">
        <v>249</v>
      </c>
      <c r="B23" s="46"/>
      <c r="C23" s="49">
        <v>14000</v>
      </c>
      <c r="D23" s="49">
        <f>C23/$D$7</f>
        <v>110.23622047244095</v>
      </c>
      <c r="E23" s="56" t="e">
        <f>C23/$E$7</f>
        <v>#REF!</v>
      </c>
      <c r="F23" s="55"/>
      <c r="G23" s="55"/>
      <c r="H23" s="55"/>
      <c r="I23" s="5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54" t="s">
        <v>250</v>
      </c>
      <c r="B24" s="46"/>
      <c r="C24" s="52"/>
      <c r="D24" s="52"/>
      <c r="E24" s="53"/>
      <c r="F24" s="55"/>
      <c r="G24" s="55"/>
      <c r="H24" s="55"/>
      <c r="I24" s="5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54" t="s">
        <v>251</v>
      </c>
      <c r="B25" s="46"/>
      <c r="C25" s="47">
        <v>2000</v>
      </c>
      <c r="D25" s="47">
        <f>C25/$D$7</f>
        <v>15.748031496062993</v>
      </c>
      <c r="E25" s="48" t="e">
        <f>C25/$E$7</f>
        <v>#REF!</v>
      </c>
      <c r="F25" s="55"/>
      <c r="G25" s="55"/>
      <c r="H25" s="55"/>
      <c r="I25" s="5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54" t="s">
        <v>252</v>
      </c>
      <c r="B26" s="46"/>
      <c r="C26" s="52"/>
      <c r="D26" s="52"/>
      <c r="E26" s="53"/>
      <c r="F26" s="55"/>
      <c r="G26" s="55"/>
      <c r="H26" s="55"/>
      <c r="I26" s="5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25"/>
      <c r="B27" s="41"/>
      <c r="C27" s="41"/>
      <c r="D27" s="41"/>
      <c r="E27" s="4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43" t="s">
        <v>253</v>
      </c>
      <c r="B28" s="50">
        <v>0.03</v>
      </c>
      <c r="C28" s="49" t="e">
        <f>C16*B28</f>
        <v>#REF!</v>
      </c>
      <c r="D28" s="49" t="e">
        <f>C28/$D$7</f>
        <v>#REF!</v>
      </c>
      <c r="E28" s="56" t="e">
        <f>C28/$E$7</f>
        <v>#REF!</v>
      </c>
      <c r="F28" s="1"/>
      <c r="G28" s="57" t="s">
        <v>254</v>
      </c>
      <c r="H28" s="58"/>
      <c r="I28" s="5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25"/>
      <c r="B29" s="41"/>
      <c r="C29" s="41"/>
      <c r="D29" s="41"/>
      <c r="E29" s="42"/>
      <c r="F29" s="1"/>
      <c r="G29" s="59"/>
      <c r="H29" s="60"/>
      <c r="I29" s="6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40" t="s">
        <v>255</v>
      </c>
      <c r="B30" s="41"/>
      <c r="C30" s="44" t="e">
        <f>SUM(C19:C28)</f>
        <v>#REF!</v>
      </c>
      <c r="D30" s="49" t="e">
        <f>C30/$D$7</f>
        <v>#REF!</v>
      </c>
      <c r="E30" s="56" t="e">
        <f>C30/$E$7</f>
        <v>#REF!</v>
      </c>
      <c r="F30" s="1"/>
      <c r="G30" s="59"/>
      <c r="H30" s="60"/>
      <c r="I30" s="61" t="s">
        <v>256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25"/>
      <c r="B31" s="41"/>
      <c r="C31" s="41"/>
      <c r="D31" s="41"/>
      <c r="E31" s="42"/>
      <c r="F31" s="1"/>
      <c r="G31" s="59" t="s">
        <v>257</v>
      </c>
      <c r="H31" s="62">
        <v>0.75</v>
      </c>
      <c r="I31" s="61">
        <v>11518443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43" t="s">
        <v>258</v>
      </c>
      <c r="B32" s="41"/>
      <c r="C32" s="63">
        <v>165000</v>
      </c>
      <c r="D32" s="49">
        <f>C32/$D$7</f>
        <v>1299.2125984251968</v>
      </c>
      <c r="E32" s="56" t="e">
        <f>C32/$E$7</f>
        <v>#REF!</v>
      </c>
      <c r="F32" s="1"/>
      <c r="G32" s="59" t="s">
        <v>259</v>
      </c>
      <c r="H32" s="64">
        <v>1.7864999999999999E-2</v>
      </c>
      <c r="I32" s="65">
        <v>205777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43" t="s">
        <v>260</v>
      </c>
      <c r="B33" s="66"/>
      <c r="C33" s="52"/>
      <c r="D33" s="52"/>
      <c r="E33" s="53"/>
      <c r="F33" s="1"/>
      <c r="G33" s="59"/>
      <c r="H33" s="60"/>
      <c r="I33" s="6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43" t="s">
        <v>201</v>
      </c>
      <c r="B34" s="41"/>
      <c r="C34" s="67">
        <f>D34*D7</f>
        <v>127000</v>
      </c>
      <c r="D34" s="67">
        <v>1000</v>
      </c>
      <c r="E34" s="68" t="e">
        <f>C34/$E$7</f>
        <v>#REF!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25"/>
      <c r="B35" s="41"/>
      <c r="C35" s="41"/>
      <c r="D35" s="41"/>
      <c r="E35" s="42"/>
      <c r="F35" s="1"/>
      <c r="G35" s="26"/>
      <c r="H35" s="26"/>
      <c r="I35" s="2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40" t="s">
        <v>261</v>
      </c>
      <c r="B36" s="69"/>
      <c r="C36" s="44"/>
      <c r="D36" s="44"/>
      <c r="E36" s="45"/>
      <c r="F36" s="1"/>
      <c r="G36" s="26"/>
      <c r="H36" s="26"/>
      <c r="I36" s="2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25"/>
      <c r="B37" s="41"/>
      <c r="C37" s="41"/>
      <c r="D37" s="41"/>
      <c r="E37" s="42"/>
      <c r="F37" s="1"/>
      <c r="G37" s="26"/>
      <c r="H37" s="26"/>
      <c r="I37" s="2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40" t="s">
        <v>262</v>
      </c>
      <c r="B38" s="41"/>
      <c r="C38" s="44"/>
      <c r="D38" s="44"/>
      <c r="E38" s="45"/>
      <c r="F38" s="1"/>
      <c r="G38" s="26"/>
      <c r="H38" s="35"/>
      <c r="I38" s="2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25"/>
      <c r="B39" s="41"/>
      <c r="C39" s="41"/>
      <c r="D39" s="41"/>
      <c r="E39" s="42"/>
      <c r="F39" s="1"/>
      <c r="G39" s="26"/>
      <c r="H39" s="70"/>
      <c r="I39" s="2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40" t="s">
        <v>263</v>
      </c>
      <c r="B40" s="41"/>
      <c r="C40" s="44"/>
      <c r="D40" s="44"/>
      <c r="E40" s="45"/>
      <c r="F40" s="1"/>
      <c r="G40" s="26"/>
      <c r="H40" s="26"/>
      <c r="I40" s="2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43" t="s">
        <v>264</v>
      </c>
      <c r="B41" s="41"/>
      <c r="C41" s="71"/>
      <c r="D41" s="41"/>
      <c r="E41" s="4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43" t="s">
        <v>265</v>
      </c>
      <c r="B42" s="41"/>
      <c r="C42" s="49"/>
      <c r="D42" s="41"/>
      <c r="E42" s="4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43" t="s">
        <v>266</v>
      </c>
      <c r="B43" s="41"/>
      <c r="C43" s="72"/>
      <c r="D43" s="41"/>
      <c r="E43" s="4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25"/>
      <c r="B44" s="41"/>
      <c r="C44" s="42"/>
      <c r="D44" s="41"/>
      <c r="E44" s="4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40" t="s">
        <v>267</v>
      </c>
      <c r="B45" s="41"/>
      <c r="C45" s="41"/>
      <c r="D45" s="41"/>
      <c r="E45" s="4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43" t="s">
        <v>268</v>
      </c>
      <c r="B46" s="41"/>
      <c r="C46" s="49"/>
      <c r="D46" s="41"/>
      <c r="E46" s="4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43" t="s">
        <v>269</v>
      </c>
      <c r="B47" s="41"/>
      <c r="C47" s="71"/>
      <c r="D47" s="41"/>
      <c r="E47" s="4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43" t="s">
        <v>270</v>
      </c>
      <c r="B48" s="41"/>
      <c r="C48" s="49"/>
      <c r="D48" s="41"/>
      <c r="E48" s="4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43" t="s">
        <v>271</v>
      </c>
      <c r="B49" s="41"/>
      <c r="C49" s="49"/>
      <c r="D49" s="41"/>
      <c r="E49" s="4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43" t="s">
        <v>272</v>
      </c>
      <c r="B50" s="41"/>
      <c r="C50" s="49"/>
      <c r="D50" s="41"/>
      <c r="E50" s="4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43" t="s">
        <v>273</v>
      </c>
      <c r="B51" s="41"/>
      <c r="C51" s="49"/>
      <c r="D51" s="41"/>
      <c r="E51" s="4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43" t="s">
        <v>274</v>
      </c>
      <c r="B52" s="41"/>
      <c r="C52" s="73"/>
      <c r="D52" s="41"/>
      <c r="E52" s="4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25"/>
      <c r="B53" s="25"/>
      <c r="C53" s="25"/>
      <c r="D53" s="25"/>
      <c r="E53" s="4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25"/>
      <c r="B54" s="25"/>
      <c r="C54" s="25"/>
      <c r="D54" s="25"/>
      <c r="E54" s="2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25"/>
      <c r="B55" s="25"/>
      <c r="C55" s="25"/>
      <c r="D55" s="25"/>
      <c r="E55" s="2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25"/>
      <c r="B56" s="41"/>
      <c r="C56" s="41"/>
      <c r="D56" s="42"/>
      <c r="E56" s="2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25"/>
      <c r="B57" s="41"/>
      <c r="C57" s="41"/>
      <c r="D57" s="42"/>
      <c r="E57" s="2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25"/>
      <c r="B58" s="41"/>
      <c r="C58" s="41"/>
      <c r="D58" s="42"/>
      <c r="E58" s="2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25"/>
      <c r="B59" s="41"/>
      <c r="C59" s="41"/>
      <c r="D59" s="42"/>
      <c r="E59" s="2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25"/>
      <c r="B60" s="41"/>
      <c r="C60" s="41"/>
      <c r="D60" s="42"/>
      <c r="E60" s="2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>
      <c r="A61" s="25"/>
      <c r="B61" s="41"/>
      <c r="C61" s="41"/>
      <c r="D61" s="42"/>
      <c r="E61" s="2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>
      <c r="A62" s="25"/>
      <c r="B62" s="41"/>
      <c r="C62" s="41"/>
      <c r="D62" s="42"/>
      <c r="E62" s="2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>
      <c r="A63" s="25"/>
      <c r="B63" s="41"/>
      <c r="C63" s="41"/>
      <c r="D63" s="42"/>
      <c r="E63" s="2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>
      <c r="A64" s="25"/>
      <c r="B64" s="41"/>
      <c r="C64" s="41"/>
      <c r="D64" s="42"/>
      <c r="E64" s="2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>
      <c r="A65" s="25"/>
      <c r="B65" s="41"/>
      <c r="C65" s="41"/>
      <c r="D65" s="42"/>
      <c r="E65" s="2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>
      <c r="A66" s="25"/>
      <c r="B66" s="41"/>
      <c r="C66" s="41"/>
      <c r="D66" s="42"/>
      <c r="E66" s="2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>
      <c r="A67" s="25"/>
      <c r="B67" s="41"/>
      <c r="C67" s="41"/>
      <c r="D67" s="42"/>
      <c r="E67" s="2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>
      <c r="A68" s="25"/>
      <c r="B68" s="41"/>
      <c r="C68" s="41"/>
      <c r="D68" s="42"/>
      <c r="E68" s="2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>
      <c r="A69" s="25"/>
      <c r="B69" s="41"/>
      <c r="C69" s="41"/>
      <c r="D69" s="42"/>
      <c r="E69" s="2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>
      <c r="A70" s="25"/>
      <c r="B70" s="41"/>
      <c r="C70" s="41"/>
      <c r="D70" s="42"/>
      <c r="E70" s="2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>
      <c r="A71" s="25"/>
      <c r="B71" s="41"/>
      <c r="C71" s="41"/>
      <c r="D71" s="42"/>
      <c r="E71" s="2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>
      <c r="A72" s="25"/>
      <c r="B72" s="41"/>
      <c r="C72" s="41"/>
      <c r="D72" s="42"/>
      <c r="E72" s="2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>
      <c r="A73" s="25"/>
      <c r="B73" s="41"/>
      <c r="C73" s="41"/>
      <c r="D73" s="42"/>
      <c r="E73" s="2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>
      <c r="A74" s="25"/>
      <c r="B74" s="41"/>
      <c r="C74" s="41"/>
      <c r="D74" s="42"/>
      <c r="E74" s="2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>
      <c r="A75" s="25"/>
      <c r="B75" s="41"/>
      <c r="C75" s="41"/>
      <c r="D75" s="42"/>
      <c r="E75" s="2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>
      <c r="A76" s="25"/>
      <c r="B76" s="41"/>
      <c r="C76" s="41"/>
      <c r="D76" s="42"/>
      <c r="E76" s="2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>
      <c r="A77" s="25"/>
      <c r="B77" s="41"/>
      <c r="C77" s="41"/>
      <c r="D77" s="42"/>
      <c r="E77" s="2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">
      <c r="A78" s="25"/>
      <c r="B78" s="41"/>
      <c r="C78" s="41"/>
      <c r="D78" s="42"/>
      <c r="E78" s="2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>
      <c r="A79" s="25"/>
      <c r="B79" s="41"/>
      <c r="C79" s="41"/>
      <c r="D79" s="42"/>
      <c r="E79" s="2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">
      <c r="A80" s="25"/>
      <c r="B80" s="41"/>
      <c r="C80" s="41"/>
      <c r="D80" s="42"/>
      <c r="E80" s="2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>
      <c r="A81" s="25"/>
      <c r="B81" s="41"/>
      <c r="C81" s="41"/>
      <c r="D81" s="42"/>
      <c r="E81" s="2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>
      <c r="A82" s="25"/>
      <c r="B82" s="41"/>
      <c r="C82" s="41"/>
      <c r="D82" s="42"/>
      <c r="E82" s="2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>
      <c r="A83" s="25"/>
      <c r="B83" s="41"/>
      <c r="C83" s="41"/>
      <c r="D83" s="42"/>
      <c r="E83" s="2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>
      <c r="A84" s="25"/>
      <c r="B84" s="41"/>
      <c r="C84" s="41"/>
      <c r="D84" s="42"/>
      <c r="E84" s="2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>
      <c r="A85" s="25"/>
      <c r="B85" s="41"/>
      <c r="C85" s="41"/>
      <c r="D85" s="42"/>
      <c r="E85" s="2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>
      <c r="A86" s="25"/>
      <c r="B86" s="41"/>
      <c r="C86" s="41"/>
      <c r="D86" s="42"/>
      <c r="E86" s="2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>
      <c r="A87" s="25"/>
      <c r="B87" s="41"/>
      <c r="C87" s="41"/>
      <c r="D87" s="42"/>
      <c r="E87" s="2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>
      <c r="A88" s="25"/>
      <c r="B88" s="41"/>
      <c r="C88" s="41"/>
      <c r="D88" s="42"/>
      <c r="E88" s="2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>
      <c r="A89" s="25"/>
      <c r="B89" s="41"/>
      <c r="C89" s="41"/>
      <c r="D89" s="42"/>
      <c r="E89" s="2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>
      <c r="A90" s="25"/>
      <c r="B90" s="41"/>
      <c r="C90" s="41"/>
      <c r="D90" s="42"/>
      <c r="E90" s="2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>
      <c r="A91" s="25"/>
      <c r="B91" s="41"/>
      <c r="C91" s="41"/>
      <c r="D91" s="42"/>
      <c r="E91" s="2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>
      <c r="A92" s="25"/>
      <c r="B92" s="41"/>
      <c r="C92" s="41"/>
      <c r="D92" s="42"/>
      <c r="E92" s="2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>
      <c r="A93" s="25"/>
      <c r="B93" s="41"/>
      <c r="C93" s="41"/>
      <c r="D93" s="42"/>
      <c r="E93" s="2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>
      <c r="A94" s="25"/>
      <c r="B94" s="41"/>
      <c r="C94" s="41"/>
      <c r="D94" s="42"/>
      <c r="E94" s="2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>
      <c r="A95" s="25"/>
      <c r="B95" s="41"/>
      <c r="C95" s="41"/>
      <c r="D95" s="42"/>
      <c r="E95" s="2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>
      <c r="A96" s="25"/>
      <c r="B96" s="41"/>
      <c r="C96" s="41"/>
      <c r="D96" s="42"/>
      <c r="E96" s="2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>
      <c r="A97" s="25"/>
      <c r="B97" s="41"/>
      <c r="C97" s="41"/>
      <c r="D97" s="42"/>
      <c r="E97" s="2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>
      <c r="A98" s="25"/>
      <c r="B98" s="41"/>
      <c r="C98" s="41"/>
      <c r="D98" s="42"/>
      <c r="E98" s="2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">
      <c r="A99" s="25"/>
      <c r="B99" s="41"/>
      <c r="C99" s="41"/>
      <c r="D99" s="42"/>
      <c r="E99" s="2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">
      <c r="A100" s="25"/>
      <c r="B100" s="41"/>
      <c r="C100" s="41"/>
      <c r="D100" s="42"/>
      <c r="E100" s="2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">
      <c r="A101" s="25"/>
      <c r="B101" s="41"/>
      <c r="C101" s="41"/>
      <c r="D101" s="42"/>
      <c r="E101" s="2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">
      <c r="A102" s="25"/>
      <c r="B102" s="41"/>
      <c r="C102" s="41"/>
      <c r="D102" s="42"/>
      <c r="E102" s="2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">
      <c r="A103" s="25"/>
      <c r="B103" s="41"/>
      <c r="C103" s="41"/>
      <c r="D103" s="42"/>
      <c r="E103" s="2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">
      <c r="A104" s="25"/>
      <c r="B104" s="41"/>
      <c r="C104" s="41"/>
      <c r="D104" s="42"/>
      <c r="E104" s="2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">
      <c r="A105" s="25"/>
      <c r="B105" s="41"/>
      <c r="C105" s="41"/>
      <c r="D105" s="42"/>
      <c r="E105" s="2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">
      <c r="A106" s="25"/>
      <c r="B106" s="41"/>
      <c r="C106" s="41"/>
      <c r="D106" s="42"/>
      <c r="E106" s="2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">
      <c r="A107" s="25"/>
      <c r="B107" s="41"/>
      <c r="C107" s="41"/>
      <c r="D107" s="42"/>
      <c r="E107" s="2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">
      <c r="A108" s="25"/>
      <c r="B108" s="41"/>
      <c r="C108" s="41"/>
      <c r="D108" s="42"/>
      <c r="E108" s="2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">
      <c r="A109" s="25"/>
      <c r="B109" s="41"/>
      <c r="C109" s="41"/>
      <c r="D109" s="42"/>
      <c r="E109" s="2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">
      <c r="A110" s="25"/>
      <c r="B110" s="41"/>
      <c r="C110" s="41"/>
      <c r="D110" s="42"/>
      <c r="E110" s="2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">
      <c r="A111" s="25"/>
      <c r="B111" s="41"/>
      <c r="C111" s="41"/>
      <c r="D111" s="42"/>
      <c r="E111" s="2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">
      <c r="A112" s="25"/>
      <c r="B112" s="41"/>
      <c r="C112" s="41"/>
      <c r="D112" s="42"/>
      <c r="E112" s="2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">
      <c r="A113" s="25"/>
      <c r="B113" s="41"/>
      <c r="C113" s="41"/>
      <c r="D113" s="42"/>
      <c r="E113" s="2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">
      <c r="A114" s="25"/>
      <c r="B114" s="41"/>
      <c r="C114" s="41"/>
      <c r="D114" s="42"/>
      <c r="E114" s="2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">
      <c r="A115" s="25"/>
      <c r="B115" s="41"/>
      <c r="C115" s="41"/>
      <c r="D115" s="42"/>
      <c r="E115" s="2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">
      <c r="A116" s="25"/>
      <c r="B116" s="41"/>
      <c r="C116" s="41"/>
      <c r="D116" s="42"/>
      <c r="E116" s="2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">
      <c r="A117" s="25"/>
      <c r="B117" s="41"/>
      <c r="C117" s="41"/>
      <c r="D117" s="42"/>
      <c r="E117" s="2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">
      <c r="A118" s="25"/>
      <c r="B118" s="41"/>
      <c r="C118" s="41"/>
      <c r="D118" s="42"/>
      <c r="E118" s="2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">
      <c r="A119" s="25"/>
      <c r="B119" s="41"/>
      <c r="C119" s="41"/>
      <c r="D119" s="42"/>
      <c r="E119" s="2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">
      <c r="A120" s="25"/>
      <c r="B120" s="41"/>
      <c r="C120" s="41"/>
      <c r="D120" s="42"/>
      <c r="E120" s="2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">
      <c r="A121" s="25"/>
      <c r="B121" s="41"/>
      <c r="C121" s="41"/>
      <c r="D121" s="42"/>
      <c r="E121" s="2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">
      <c r="A122" s="25"/>
      <c r="B122" s="41"/>
      <c r="C122" s="41"/>
      <c r="D122" s="42"/>
      <c r="E122" s="2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">
      <c r="A123" s="25"/>
      <c r="B123" s="41"/>
      <c r="C123" s="41"/>
      <c r="D123" s="42"/>
      <c r="E123" s="2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">
      <c r="A124" s="25"/>
      <c r="B124" s="41"/>
      <c r="C124" s="41"/>
      <c r="D124" s="42"/>
      <c r="E124" s="2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">
      <c r="A125" s="25"/>
      <c r="B125" s="41"/>
      <c r="C125" s="41"/>
      <c r="D125" s="42"/>
      <c r="E125" s="2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">
      <c r="A126" s="25"/>
      <c r="B126" s="41"/>
      <c r="C126" s="41"/>
      <c r="D126" s="42"/>
      <c r="E126" s="2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">
      <c r="A127" s="25"/>
      <c r="B127" s="41"/>
      <c r="C127" s="41"/>
      <c r="D127" s="42"/>
      <c r="E127" s="2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">
      <c r="A128" s="25"/>
      <c r="B128" s="41"/>
      <c r="C128" s="41"/>
      <c r="D128" s="42"/>
      <c r="E128" s="2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">
      <c r="A129" s="25"/>
      <c r="B129" s="41"/>
      <c r="C129" s="41"/>
      <c r="D129" s="42"/>
      <c r="E129" s="2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">
      <c r="A130" s="25"/>
      <c r="B130" s="41"/>
      <c r="C130" s="41"/>
      <c r="D130" s="42"/>
      <c r="E130" s="2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">
      <c r="A131" s="25"/>
      <c r="B131" s="41"/>
      <c r="C131" s="41"/>
      <c r="D131" s="42"/>
      <c r="E131" s="2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">
      <c r="A132" s="25"/>
      <c r="B132" s="41"/>
      <c r="C132" s="41"/>
      <c r="D132" s="42"/>
      <c r="E132" s="2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">
      <c r="A133" s="25"/>
      <c r="B133" s="41"/>
      <c r="C133" s="41"/>
      <c r="D133" s="42"/>
      <c r="E133" s="2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">
      <c r="A134" s="25"/>
      <c r="B134" s="41"/>
      <c r="C134" s="41"/>
      <c r="D134" s="42"/>
      <c r="E134" s="2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">
      <c r="A135" s="25"/>
      <c r="B135" s="41"/>
      <c r="C135" s="41"/>
      <c r="D135" s="42"/>
      <c r="E135" s="2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">
      <c r="A136" s="25"/>
      <c r="B136" s="41"/>
      <c r="C136" s="41"/>
      <c r="D136" s="42"/>
      <c r="E136" s="2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">
      <c r="A137" s="25"/>
      <c r="B137" s="41"/>
      <c r="C137" s="41"/>
      <c r="D137" s="42"/>
      <c r="E137" s="2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">
      <c r="A138" s="25"/>
      <c r="B138" s="41"/>
      <c r="C138" s="41"/>
      <c r="D138" s="42"/>
      <c r="E138" s="2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">
      <c r="A139" s="25"/>
      <c r="B139" s="41"/>
      <c r="C139" s="41"/>
      <c r="D139" s="42"/>
      <c r="E139" s="2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">
      <c r="A140" s="25"/>
      <c r="B140" s="41"/>
      <c r="C140" s="41"/>
      <c r="D140" s="42"/>
      <c r="E140" s="2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">
      <c r="A141" s="25"/>
      <c r="B141" s="41"/>
      <c r="C141" s="41"/>
      <c r="D141" s="42"/>
      <c r="E141" s="2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">
      <c r="A142" s="25"/>
      <c r="B142" s="41"/>
      <c r="C142" s="41"/>
      <c r="D142" s="42"/>
      <c r="E142" s="2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">
      <c r="A143" s="25"/>
      <c r="B143" s="41"/>
      <c r="C143" s="41"/>
      <c r="D143" s="42"/>
      <c r="E143" s="2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">
      <c r="A144" s="25"/>
      <c r="B144" s="41"/>
      <c r="C144" s="41"/>
      <c r="D144" s="42"/>
      <c r="E144" s="2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">
      <c r="A145" s="25"/>
      <c r="B145" s="41"/>
      <c r="C145" s="41"/>
      <c r="D145" s="42"/>
      <c r="E145" s="2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">
      <c r="A146" s="25"/>
      <c r="B146" s="41"/>
      <c r="C146" s="41"/>
      <c r="D146" s="42"/>
      <c r="E146" s="2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">
      <c r="A147" s="25"/>
      <c r="B147" s="41"/>
      <c r="C147" s="41"/>
      <c r="D147" s="42"/>
      <c r="E147" s="2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">
      <c r="A148" s="25"/>
      <c r="B148" s="41"/>
      <c r="C148" s="41"/>
      <c r="D148" s="42"/>
      <c r="E148" s="2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">
      <c r="A149" s="25"/>
      <c r="B149" s="41"/>
      <c r="C149" s="41"/>
      <c r="D149" s="42"/>
      <c r="E149" s="2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">
      <c r="A150" s="25"/>
      <c r="B150" s="41"/>
      <c r="C150" s="41"/>
      <c r="D150" s="42"/>
      <c r="E150" s="2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">
      <c r="A151" s="25"/>
      <c r="B151" s="41"/>
      <c r="C151" s="41"/>
      <c r="D151" s="42"/>
      <c r="E151" s="2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">
      <c r="A152" s="25"/>
      <c r="B152" s="41"/>
      <c r="C152" s="41"/>
      <c r="D152" s="42"/>
      <c r="E152" s="2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">
      <c r="A153" s="25"/>
      <c r="B153" s="41"/>
      <c r="C153" s="41"/>
      <c r="D153" s="42"/>
      <c r="E153" s="2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">
      <c r="A154" s="25"/>
      <c r="B154" s="41"/>
      <c r="C154" s="41"/>
      <c r="D154" s="42"/>
      <c r="E154" s="2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">
      <c r="A155" s="25"/>
      <c r="B155" s="41"/>
      <c r="C155" s="41"/>
      <c r="D155" s="42"/>
      <c r="E155" s="2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">
      <c r="A156" s="25"/>
      <c r="B156" s="41"/>
      <c r="C156" s="41"/>
      <c r="D156" s="42"/>
      <c r="E156" s="2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">
      <c r="A157" s="25"/>
      <c r="B157" s="41"/>
      <c r="C157" s="41"/>
      <c r="D157" s="42"/>
      <c r="E157" s="2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">
      <c r="A158" s="25"/>
      <c r="B158" s="41"/>
      <c r="C158" s="41"/>
      <c r="D158" s="42"/>
      <c r="E158" s="2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">
      <c r="A159" s="25"/>
      <c r="B159" s="41"/>
      <c r="C159" s="41"/>
      <c r="D159" s="42"/>
      <c r="E159" s="2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">
      <c r="A160" s="25"/>
      <c r="B160" s="41"/>
      <c r="C160" s="41"/>
      <c r="D160" s="42"/>
      <c r="E160" s="2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">
      <c r="A161" s="25"/>
      <c r="B161" s="41"/>
      <c r="C161" s="41"/>
      <c r="D161" s="42"/>
      <c r="E161" s="2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">
      <c r="A162" s="25"/>
      <c r="B162" s="41"/>
      <c r="C162" s="41"/>
      <c r="D162" s="42"/>
      <c r="E162" s="2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">
      <c r="A163" s="25"/>
      <c r="B163" s="41"/>
      <c r="C163" s="41"/>
      <c r="D163" s="42"/>
      <c r="E163" s="2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">
      <c r="A164" s="25"/>
      <c r="B164" s="41"/>
      <c r="C164" s="41"/>
      <c r="D164" s="42"/>
      <c r="E164" s="2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">
      <c r="A165" s="25"/>
      <c r="B165" s="41"/>
      <c r="C165" s="41"/>
      <c r="D165" s="42"/>
      <c r="E165" s="2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">
      <c r="A166" s="25"/>
      <c r="B166" s="41"/>
      <c r="C166" s="41"/>
      <c r="D166" s="42"/>
      <c r="E166" s="2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">
      <c r="A167" s="25"/>
      <c r="B167" s="41"/>
      <c r="C167" s="41"/>
      <c r="D167" s="42"/>
      <c r="E167" s="2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">
      <c r="A168" s="25"/>
      <c r="B168" s="41"/>
      <c r="C168" s="41"/>
      <c r="D168" s="42"/>
      <c r="E168" s="2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">
      <c r="A169" s="25"/>
      <c r="B169" s="41"/>
      <c r="C169" s="41"/>
      <c r="D169" s="42"/>
      <c r="E169" s="2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">
      <c r="A170" s="25"/>
      <c r="B170" s="41"/>
      <c r="C170" s="41"/>
      <c r="D170" s="42"/>
      <c r="E170" s="2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">
      <c r="A171" s="25"/>
      <c r="B171" s="41"/>
      <c r="C171" s="41"/>
      <c r="D171" s="42"/>
      <c r="E171" s="2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">
      <c r="A172" s="25"/>
      <c r="B172" s="41"/>
      <c r="C172" s="41"/>
      <c r="D172" s="42"/>
      <c r="E172" s="2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">
      <c r="A173" s="25"/>
      <c r="B173" s="41"/>
      <c r="C173" s="41"/>
      <c r="D173" s="42"/>
      <c r="E173" s="2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">
      <c r="A174" s="25"/>
      <c r="B174" s="41"/>
      <c r="C174" s="41"/>
      <c r="D174" s="42"/>
      <c r="E174" s="2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">
      <c r="A175" s="25"/>
      <c r="B175" s="41"/>
      <c r="C175" s="41"/>
      <c r="D175" s="42"/>
      <c r="E175" s="2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">
      <c r="A176" s="25"/>
      <c r="B176" s="41"/>
      <c r="C176" s="41"/>
      <c r="D176" s="42"/>
      <c r="E176" s="2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">
      <c r="A177" s="25"/>
      <c r="B177" s="41"/>
      <c r="C177" s="41"/>
      <c r="D177" s="42"/>
      <c r="E177" s="2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">
      <c r="A178" s="25"/>
      <c r="B178" s="41"/>
      <c r="C178" s="41"/>
      <c r="D178" s="42"/>
      <c r="E178" s="2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">
      <c r="A179" s="25"/>
      <c r="B179" s="41"/>
      <c r="C179" s="41"/>
      <c r="D179" s="42"/>
      <c r="E179" s="2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">
      <c r="A180" s="25"/>
      <c r="B180" s="41"/>
      <c r="C180" s="41"/>
      <c r="D180" s="42"/>
      <c r="E180" s="2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">
      <c r="A181" s="25"/>
      <c r="B181" s="41"/>
      <c r="C181" s="41"/>
      <c r="D181" s="42"/>
      <c r="E181" s="2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">
      <c r="A182" s="25"/>
      <c r="B182" s="41"/>
      <c r="C182" s="41"/>
      <c r="D182" s="42"/>
      <c r="E182" s="2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">
      <c r="A183" s="25"/>
      <c r="B183" s="41"/>
      <c r="C183" s="41"/>
      <c r="D183" s="42"/>
      <c r="E183" s="2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">
      <c r="A184" s="25"/>
      <c r="B184" s="41"/>
      <c r="C184" s="41"/>
      <c r="D184" s="42"/>
      <c r="E184" s="2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">
      <c r="A185" s="25"/>
      <c r="B185" s="41"/>
      <c r="C185" s="41"/>
      <c r="D185" s="42"/>
      <c r="E185" s="2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">
      <c r="A186" s="25"/>
      <c r="B186" s="41"/>
      <c r="C186" s="41"/>
      <c r="D186" s="42"/>
      <c r="E186" s="2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">
      <c r="A187" s="25"/>
      <c r="B187" s="41"/>
      <c r="C187" s="41"/>
      <c r="D187" s="42"/>
      <c r="E187" s="2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">
      <c r="A188" s="25"/>
      <c r="B188" s="41"/>
      <c r="C188" s="41"/>
      <c r="D188" s="42"/>
      <c r="E188" s="2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">
      <c r="A189" s="25"/>
      <c r="B189" s="41"/>
      <c r="C189" s="41"/>
      <c r="D189" s="42"/>
      <c r="E189" s="2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">
      <c r="A190" s="25"/>
      <c r="B190" s="41"/>
      <c r="C190" s="41"/>
      <c r="D190" s="42"/>
      <c r="E190" s="2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">
      <c r="A191" s="25"/>
      <c r="B191" s="41"/>
      <c r="C191" s="41"/>
      <c r="D191" s="42"/>
      <c r="E191" s="2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">
      <c r="A192" s="25"/>
      <c r="B192" s="41"/>
      <c r="C192" s="41"/>
      <c r="D192" s="42"/>
      <c r="E192" s="2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">
      <c r="A193" s="25"/>
      <c r="B193" s="41"/>
      <c r="C193" s="41"/>
      <c r="D193" s="42"/>
      <c r="E193" s="2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">
      <c r="A194" s="25"/>
      <c r="B194" s="41"/>
      <c r="C194" s="41"/>
      <c r="D194" s="42"/>
      <c r="E194" s="2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">
      <c r="A195" s="25"/>
      <c r="B195" s="41"/>
      <c r="C195" s="41"/>
      <c r="D195" s="42"/>
      <c r="E195" s="2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">
      <c r="A196" s="25"/>
      <c r="B196" s="41"/>
      <c r="C196" s="41"/>
      <c r="D196" s="42"/>
      <c r="E196" s="2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">
      <c r="A197" s="25"/>
      <c r="B197" s="41"/>
      <c r="C197" s="41"/>
      <c r="D197" s="42"/>
      <c r="E197" s="2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">
      <c r="A198" s="25"/>
      <c r="B198" s="41"/>
      <c r="C198" s="41"/>
      <c r="D198" s="42"/>
      <c r="E198" s="2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">
      <c r="A199" s="25"/>
      <c r="B199" s="41"/>
      <c r="C199" s="41"/>
      <c r="D199" s="42"/>
      <c r="E199" s="2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">
      <c r="A200" s="25"/>
      <c r="B200" s="41"/>
      <c r="C200" s="41"/>
      <c r="D200" s="42"/>
      <c r="E200" s="2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">
      <c r="A201" s="25"/>
      <c r="B201" s="41"/>
      <c r="C201" s="41"/>
      <c r="D201" s="42"/>
      <c r="E201" s="2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">
      <c r="A202" s="25"/>
      <c r="B202" s="41"/>
      <c r="C202" s="41"/>
      <c r="D202" s="42"/>
      <c r="E202" s="2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">
      <c r="A203" s="25"/>
      <c r="B203" s="41"/>
      <c r="C203" s="41"/>
      <c r="D203" s="42"/>
      <c r="E203" s="2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">
      <c r="A204" s="25"/>
      <c r="B204" s="41"/>
      <c r="C204" s="41"/>
      <c r="D204" s="42"/>
      <c r="E204" s="2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">
      <c r="A205" s="25"/>
      <c r="B205" s="41"/>
      <c r="C205" s="41"/>
      <c r="D205" s="42"/>
      <c r="E205" s="2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">
      <c r="A206" s="25"/>
      <c r="B206" s="41"/>
      <c r="C206" s="41"/>
      <c r="D206" s="42"/>
      <c r="E206" s="2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">
      <c r="A207" s="25"/>
      <c r="B207" s="41"/>
      <c r="C207" s="41"/>
      <c r="D207" s="42"/>
      <c r="E207" s="2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">
      <c r="A208" s="25"/>
      <c r="B208" s="41"/>
      <c r="C208" s="41"/>
      <c r="D208" s="42"/>
      <c r="E208" s="2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">
      <c r="A209" s="25"/>
      <c r="B209" s="41"/>
      <c r="C209" s="41"/>
      <c r="D209" s="42"/>
      <c r="E209" s="2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">
      <c r="A210" s="25"/>
      <c r="B210" s="41"/>
      <c r="C210" s="41"/>
      <c r="D210" s="42"/>
      <c r="E210" s="2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">
      <c r="A211" s="25"/>
      <c r="B211" s="41"/>
      <c r="C211" s="41"/>
      <c r="D211" s="42"/>
      <c r="E211" s="2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">
      <c r="A212" s="25"/>
      <c r="B212" s="41"/>
      <c r="C212" s="41"/>
      <c r="D212" s="42"/>
      <c r="E212" s="2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">
      <c r="A213" s="25"/>
      <c r="B213" s="41"/>
      <c r="C213" s="41"/>
      <c r="D213" s="42"/>
      <c r="E213" s="2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">
      <c r="A214" s="25"/>
      <c r="B214" s="41"/>
      <c r="C214" s="41"/>
      <c r="D214" s="42"/>
      <c r="E214" s="2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">
      <c r="A215" s="25"/>
      <c r="B215" s="41"/>
      <c r="C215" s="41"/>
      <c r="D215" s="42"/>
      <c r="E215" s="2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">
      <c r="A216" s="25"/>
      <c r="B216" s="41"/>
      <c r="C216" s="41"/>
      <c r="D216" s="42"/>
      <c r="E216" s="2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">
      <c r="A217" s="25"/>
      <c r="B217" s="41"/>
      <c r="C217" s="41"/>
      <c r="D217" s="42"/>
      <c r="E217" s="2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">
      <c r="A218" s="25"/>
      <c r="B218" s="41"/>
      <c r="C218" s="41"/>
      <c r="D218" s="42"/>
      <c r="E218" s="2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">
      <c r="A219" s="25"/>
      <c r="B219" s="41"/>
      <c r="C219" s="41"/>
      <c r="D219" s="42"/>
      <c r="E219" s="2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">
      <c r="A220" s="25"/>
      <c r="B220" s="41"/>
      <c r="C220" s="41"/>
      <c r="D220" s="42"/>
      <c r="E220" s="2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">
      <c r="A221" s="25"/>
      <c r="B221" s="41"/>
      <c r="C221" s="41"/>
      <c r="D221" s="42"/>
      <c r="E221" s="2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">
      <c r="A222" s="25"/>
      <c r="B222" s="41"/>
      <c r="C222" s="41"/>
      <c r="D222" s="42"/>
      <c r="E222" s="2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">
      <c r="A223" s="25"/>
      <c r="B223" s="41"/>
      <c r="C223" s="41"/>
      <c r="D223" s="42"/>
      <c r="E223" s="2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">
      <c r="A224" s="25"/>
      <c r="B224" s="41"/>
      <c r="C224" s="41"/>
      <c r="D224" s="42"/>
      <c r="E224" s="2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">
      <c r="A225" s="25"/>
      <c r="B225" s="41"/>
      <c r="C225" s="41"/>
      <c r="D225" s="42"/>
      <c r="E225" s="2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">
      <c r="A226" s="25"/>
      <c r="B226" s="41"/>
      <c r="C226" s="41"/>
      <c r="D226" s="42"/>
      <c r="E226" s="2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">
      <c r="A227" s="25"/>
      <c r="B227" s="41"/>
      <c r="C227" s="41"/>
      <c r="D227" s="42"/>
      <c r="E227" s="2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">
      <c r="A228" s="25"/>
      <c r="B228" s="41"/>
      <c r="C228" s="41"/>
      <c r="D228" s="42"/>
      <c r="E228" s="2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">
      <c r="A229" s="25"/>
      <c r="B229" s="41"/>
      <c r="C229" s="41"/>
      <c r="D229" s="42"/>
      <c r="E229" s="2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">
      <c r="A230" s="25"/>
      <c r="B230" s="41"/>
      <c r="C230" s="41"/>
      <c r="D230" s="42"/>
      <c r="E230" s="2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">
      <c r="A231" s="25"/>
      <c r="B231" s="41"/>
      <c r="C231" s="41"/>
      <c r="D231" s="42"/>
      <c r="E231" s="2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">
      <c r="A232" s="25"/>
      <c r="B232" s="41"/>
      <c r="C232" s="41"/>
      <c r="D232" s="42"/>
      <c r="E232" s="2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">
      <c r="A233" s="25"/>
      <c r="B233" s="41"/>
      <c r="C233" s="41"/>
      <c r="D233" s="42"/>
      <c r="E233" s="2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">
      <c r="A234" s="25"/>
      <c r="B234" s="41"/>
      <c r="C234" s="41"/>
      <c r="D234" s="42"/>
      <c r="E234" s="2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">
      <c r="A235" s="25"/>
      <c r="B235" s="41"/>
      <c r="C235" s="41"/>
      <c r="D235" s="42"/>
      <c r="E235" s="2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">
      <c r="A236" s="25"/>
      <c r="B236" s="41"/>
      <c r="C236" s="41"/>
      <c r="D236" s="42"/>
      <c r="E236" s="2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">
      <c r="A237" s="25"/>
      <c r="B237" s="41"/>
      <c r="C237" s="41"/>
      <c r="D237" s="42"/>
      <c r="E237" s="2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">
      <c r="A238" s="25"/>
      <c r="B238" s="41"/>
      <c r="C238" s="41"/>
      <c r="D238" s="42"/>
      <c r="E238" s="2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">
      <c r="A239" s="25"/>
      <c r="B239" s="41"/>
      <c r="C239" s="41"/>
      <c r="D239" s="42"/>
      <c r="E239" s="2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">
      <c r="A240" s="25"/>
      <c r="B240" s="41"/>
      <c r="C240" s="41"/>
      <c r="D240" s="42"/>
      <c r="E240" s="2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">
      <c r="A241" s="25"/>
      <c r="B241" s="41"/>
      <c r="C241" s="41"/>
      <c r="D241" s="42"/>
      <c r="E241" s="2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">
      <c r="A242" s="25"/>
      <c r="B242" s="41"/>
      <c r="C242" s="41"/>
      <c r="D242" s="42"/>
      <c r="E242" s="2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">
      <c r="A243" s="25"/>
      <c r="B243" s="41"/>
      <c r="C243" s="41"/>
      <c r="D243" s="42"/>
      <c r="E243" s="2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">
      <c r="A244" s="25"/>
      <c r="B244" s="41"/>
      <c r="C244" s="41"/>
      <c r="D244" s="42"/>
      <c r="E244" s="2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">
      <c r="A245" s="25"/>
      <c r="B245" s="41"/>
      <c r="C245" s="41"/>
      <c r="D245" s="42"/>
      <c r="E245" s="2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">
      <c r="A246" s="25"/>
      <c r="B246" s="41"/>
      <c r="C246" s="41"/>
      <c r="D246" s="42"/>
      <c r="E246" s="2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">
      <c r="A247" s="25"/>
      <c r="B247" s="41"/>
      <c r="C247" s="41"/>
      <c r="D247" s="42"/>
      <c r="E247" s="2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">
      <c r="A248" s="25"/>
      <c r="B248" s="41"/>
      <c r="C248" s="41"/>
      <c r="D248" s="42"/>
      <c r="E248" s="2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">
      <c r="A249" s="25"/>
      <c r="B249" s="41"/>
      <c r="C249" s="41"/>
      <c r="D249" s="42"/>
      <c r="E249" s="2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">
      <c r="A250" s="25"/>
      <c r="B250" s="41"/>
      <c r="C250" s="41"/>
      <c r="D250" s="42"/>
      <c r="E250" s="2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">
      <c r="A251" s="25"/>
      <c r="B251" s="41"/>
      <c r="C251" s="41"/>
      <c r="D251" s="42"/>
      <c r="E251" s="2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">
      <c r="A252" s="25"/>
      <c r="B252" s="41"/>
      <c r="C252" s="41"/>
      <c r="D252" s="42"/>
      <c r="E252" s="2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">
      <c r="A253" s="25"/>
      <c r="B253" s="41"/>
      <c r="C253" s="41"/>
      <c r="D253" s="42"/>
      <c r="E253" s="2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">
      <c r="A254" s="25"/>
      <c r="B254" s="41"/>
      <c r="C254" s="41"/>
      <c r="D254" s="42"/>
      <c r="E254" s="2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">
      <c r="A255" s="25"/>
      <c r="B255" s="41"/>
      <c r="C255" s="41"/>
      <c r="D255" s="42"/>
      <c r="E255" s="2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">
      <c r="A256" s="25"/>
      <c r="B256" s="41"/>
      <c r="C256" s="41"/>
      <c r="D256" s="42"/>
      <c r="E256" s="2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">
      <c r="A257" s="25"/>
      <c r="B257" s="41"/>
      <c r="C257" s="41"/>
      <c r="D257" s="42"/>
      <c r="E257" s="2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">
      <c r="A258" s="25"/>
      <c r="B258" s="41"/>
      <c r="C258" s="41"/>
      <c r="D258" s="42"/>
      <c r="E258" s="2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">
      <c r="A259" s="25"/>
      <c r="B259" s="41"/>
      <c r="C259" s="41"/>
      <c r="D259" s="42"/>
      <c r="E259" s="2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">
      <c r="A260" s="25"/>
      <c r="B260" s="41"/>
      <c r="C260" s="41"/>
      <c r="D260" s="42"/>
      <c r="E260" s="2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">
      <c r="A261" s="25"/>
      <c r="B261" s="41"/>
      <c r="C261" s="41"/>
      <c r="D261" s="42"/>
      <c r="E261" s="2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">
      <c r="A262" s="25"/>
      <c r="B262" s="41"/>
      <c r="C262" s="41"/>
      <c r="D262" s="42"/>
      <c r="E262" s="2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">
      <c r="A263" s="25"/>
      <c r="B263" s="41"/>
      <c r="C263" s="41"/>
      <c r="D263" s="42"/>
      <c r="E263" s="2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">
      <c r="A264" s="25"/>
      <c r="B264" s="41"/>
      <c r="C264" s="41"/>
      <c r="D264" s="42"/>
      <c r="E264" s="2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">
      <c r="A265" s="25"/>
      <c r="B265" s="41"/>
      <c r="C265" s="41"/>
      <c r="D265" s="42"/>
      <c r="E265" s="2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">
      <c r="A266" s="25"/>
      <c r="B266" s="41"/>
      <c r="C266" s="41"/>
      <c r="D266" s="42"/>
      <c r="E266" s="2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">
      <c r="A267" s="25"/>
      <c r="B267" s="41"/>
      <c r="C267" s="41"/>
      <c r="D267" s="42"/>
      <c r="E267" s="2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">
      <c r="A268" s="25"/>
      <c r="B268" s="41"/>
      <c r="C268" s="41"/>
      <c r="D268" s="42"/>
      <c r="E268" s="2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">
      <c r="A269" s="25"/>
      <c r="B269" s="41"/>
      <c r="C269" s="41"/>
      <c r="D269" s="42"/>
      <c r="E269" s="2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">
      <c r="A270" s="25"/>
      <c r="B270" s="41"/>
      <c r="C270" s="41"/>
      <c r="D270" s="42"/>
      <c r="E270" s="2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">
      <c r="A271" s="25"/>
      <c r="B271" s="41"/>
      <c r="C271" s="41"/>
      <c r="D271" s="42"/>
      <c r="E271" s="2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">
      <c r="A272" s="25"/>
      <c r="B272" s="41"/>
      <c r="C272" s="41"/>
      <c r="D272" s="42"/>
      <c r="E272" s="2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">
      <c r="A273" s="25"/>
      <c r="B273" s="41"/>
      <c r="C273" s="41"/>
      <c r="D273" s="42"/>
      <c r="E273" s="2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">
      <c r="A274" s="25"/>
      <c r="B274" s="41"/>
      <c r="C274" s="41"/>
      <c r="D274" s="42"/>
      <c r="E274" s="2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">
      <c r="A275" s="25"/>
      <c r="B275" s="41"/>
      <c r="C275" s="41"/>
      <c r="D275" s="42"/>
      <c r="E275" s="2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">
      <c r="A276" s="25"/>
      <c r="B276" s="41"/>
      <c r="C276" s="41"/>
      <c r="D276" s="42"/>
      <c r="E276" s="2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">
      <c r="A277" s="25"/>
      <c r="B277" s="41"/>
      <c r="C277" s="41"/>
      <c r="D277" s="42"/>
      <c r="E277" s="2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">
      <c r="A278" s="25"/>
      <c r="B278" s="41"/>
      <c r="C278" s="41"/>
      <c r="D278" s="42"/>
      <c r="E278" s="2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">
      <c r="A279" s="25"/>
      <c r="B279" s="41"/>
      <c r="C279" s="41"/>
      <c r="D279" s="42"/>
      <c r="E279" s="2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">
      <c r="A280" s="25"/>
      <c r="B280" s="41"/>
      <c r="C280" s="41"/>
      <c r="D280" s="42"/>
      <c r="E280" s="2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">
      <c r="A281" s="25"/>
      <c r="B281" s="41"/>
      <c r="C281" s="41"/>
      <c r="D281" s="42"/>
      <c r="E281" s="2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">
      <c r="A282" s="25"/>
      <c r="B282" s="41"/>
      <c r="C282" s="41"/>
      <c r="D282" s="42"/>
      <c r="E282" s="2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">
      <c r="A283" s="25"/>
      <c r="B283" s="41"/>
      <c r="C283" s="41"/>
      <c r="D283" s="42"/>
      <c r="E283" s="2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">
      <c r="A284" s="25"/>
      <c r="B284" s="41"/>
      <c r="C284" s="41"/>
      <c r="D284" s="42"/>
      <c r="E284" s="2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">
      <c r="A285" s="25"/>
      <c r="B285" s="41"/>
      <c r="C285" s="41"/>
      <c r="D285" s="42"/>
      <c r="E285" s="2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">
      <c r="A286" s="25"/>
      <c r="B286" s="41"/>
      <c r="C286" s="41"/>
      <c r="D286" s="42"/>
      <c r="E286" s="2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">
      <c r="A287" s="25"/>
      <c r="B287" s="41"/>
      <c r="C287" s="41"/>
      <c r="D287" s="42"/>
      <c r="E287" s="2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">
      <c r="A288" s="25"/>
      <c r="B288" s="41"/>
      <c r="C288" s="41"/>
      <c r="D288" s="42"/>
      <c r="E288" s="2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">
      <c r="A289" s="25"/>
      <c r="B289" s="41"/>
      <c r="C289" s="41"/>
      <c r="D289" s="42"/>
      <c r="E289" s="2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">
      <c r="A290" s="25"/>
      <c r="B290" s="41"/>
      <c r="C290" s="41"/>
      <c r="D290" s="42"/>
      <c r="E290" s="2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">
      <c r="A291" s="25"/>
      <c r="B291" s="41"/>
      <c r="C291" s="41"/>
      <c r="D291" s="42"/>
      <c r="E291" s="2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">
      <c r="A292" s="25"/>
      <c r="B292" s="41"/>
      <c r="C292" s="41"/>
      <c r="D292" s="42"/>
      <c r="E292" s="2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">
      <c r="A293" s="25"/>
      <c r="B293" s="41"/>
      <c r="C293" s="41"/>
      <c r="D293" s="42"/>
      <c r="E293" s="2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">
      <c r="A294" s="25"/>
      <c r="B294" s="41"/>
      <c r="C294" s="41"/>
      <c r="D294" s="42"/>
      <c r="E294" s="2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">
      <c r="A295" s="25"/>
      <c r="B295" s="41"/>
      <c r="C295" s="41"/>
      <c r="D295" s="42"/>
      <c r="E295" s="2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">
      <c r="A296" s="25"/>
      <c r="B296" s="41"/>
      <c r="C296" s="41"/>
      <c r="D296" s="42"/>
      <c r="E296" s="2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">
      <c r="A297" s="25"/>
      <c r="B297" s="41"/>
      <c r="C297" s="41"/>
      <c r="D297" s="42"/>
      <c r="E297" s="2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">
      <c r="A298" s="25"/>
      <c r="B298" s="41"/>
      <c r="C298" s="41"/>
      <c r="D298" s="42"/>
      <c r="E298" s="2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">
      <c r="A299" s="25"/>
      <c r="B299" s="41"/>
      <c r="C299" s="41"/>
      <c r="D299" s="42"/>
      <c r="E299" s="2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">
      <c r="A300" s="25"/>
      <c r="B300" s="41"/>
      <c r="C300" s="41"/>
      <c r="D300" s="42"/>
      <c r="E300" s="2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">
      <c r="A301" s="25"/>
      <c r="B301" s="41"/>
      <c r="C301" s="41"/>
      <c r="D301" s="42"/>
      <c r="E301" s="2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">
      <c r="A302" s="25"/>
      <c r="B302" s="41"/>
      <c r="C302" s="41"/>
      <c r="D302" s="42"/>
      <c r="E302" s="2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">
      <c r="A303" s="25"/>
      <c r="B303" s="41"/>
      <c r="C303" s="41"/>
      <c r="D303" s="42"/>
      <c r="E303" s="2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">
      <c r="A304" s="25"/>
      <c r="B304" s="41"/>
      <c r="C304" s="41"/>
      <c r="D304" s="42"/>
      <c r="E304" s="2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">
      <c r="A305" s="25"/>
      <c r="B305" s="41"/>
      <c r="C305" s="41"/>
      <c r="D305" s="42"/>
      <c r="E305" s="2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">
      <c r="A306" s="25"/>
      <c r="B306" s="41"/>
      <c r="C306" s="41"/>
      <c r="D306" s="42"/>
      <c r="E306" s="2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">
      <c r="A307" s="25"/>
      <c r="B307" s="41"/>
      <c r="C307" s="41"/>
      <c r="D307" s="42"/>
      <c r="E307" s="2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">
      <c r="A308" s="25"/>
      <c r="B308" s="41"/>
      <c r="C308" s="41"/>
      <c r="D308" s="42"/>
      <c r="E308" s="2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">
      <c r="A309" s="25"/>
      <c r="B309" s="41"/>
      <c r="C309" s="41"/>
      <c r="D309" s="42"/>
      <c r="E309" s="2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">
      <c r="A310" s="25"/>
      <c r="B310" s="41"/>
      <c r="C310" s="41"/>
      <c r="D310" s="42"/>
      <c r="E310" s="2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">
      <c r="A311" s="25"/>
      <c r="B311" s="41"/>
      <c r="C311" s="41"/>
      <c r="D311" s="42"/>
      <c r="E311" s="2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">
      <c r="A312" s="25"/>
      <c r="B312" s="41"/>
      <c r="C312" s="41"/>
      <c r="D312" s="42"/>
      <c r="E312" s="2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">
      <c r="A313" s="25"/>
      <c r="B313" s="41"/>
      <c r="C313" s="41"/>
      <c r="D313" s="42"/>
      <c r="E313" s="2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">
      <c r="A314" s="25"/>
      <c r="B314" s="41"/>
      <c r="C314" s="41"/>
      <c r="D314" s="42"/>
      <c r="E314" s="2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">
      <c r="A315" s="25"/>
      <c r="B315" s="41"/>
      <c r="C315" s="41"/>
      <c r="D315" s="42"/>
      <c r="E315" s="2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">
      <c r="A316" s="25"/>
      <c r="B316" s="41"/>
      <c r="C316" s="41"/>
      <c r="D316" s="42"/>
      <c r="E316" s="2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">
      <c r="A317" s="25"/>
      <c r="B317" s="41"/>
      <c r="C317" s="41"/>
      <c r="D317" s="42"/>
      <c r="E317" s="2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">
      <c r="A318" s="25"/>
      <c r="B318" s="41"/>
      <c r="C318" s="41"/>
      <c r="D318" s="42"/>
      <c r="E318" s="2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">
      <c r="A319" s="25"/>
      <c r="B319" s="41"/>
      <c r="C319" s="41"/>
      <c r="D319" s="42"/>
      <c r="E319" s="2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">
      <c r="A320" s="25"/>
      <c r="B320" s="41"/>
      <c r="C320" s="41"/>
      <c r="D320" s="42"/>
      <c r="E320" s="2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">
      <c r="A321" s="25"/>
      <c r="B321" s="41"/>
      <c r="C321" s="41"/>
      <c r="D321" s="42"/>
      <c r="E321" s="2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">
      <c r="A322" s="25"/>
      <c r="B322" s="41"/>
      <c r="C322" s="41"/>
      <c r="D322" s="42"/>
      <c r="E322" s="2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">
      <c r="A323" s="25"/>
      <c r="B323" s="41"/>
      <c r="C323" s="41"/>
      <c r="D323" s="42"/>
      <c r="E323" s="2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">
      <c r="A324" s="25"/>
      <c r="B324" s="41"/>
      <c r="C324" s="41"/>
      <c r="D324" s="42"/>
      <c r="E324" s="2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">
      <c r="A325" s="25"/>
      <c r="B325" s="41"/>
      <c r="C325" s="41"/>
      <c r="D325" s="42"/>
      <c r="E325" s="2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">
      <c r="A326" s="25"/>
      <c r="B326" s="41"/>
      <c r="C326" s="41"/>
      <c r="D326" s="42"/>
      <c r="E326" s="2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">
      <c r="A327" s="25"/>
      <c r="B327" s="41"/>
      <c r="C327" s="41"/>
      <c r="D327" s="42"/>
      <c r="E327" s="2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">
      <c r="A328" s="25"/>
      <c r="B328" s="41"/>
      <c r="C328" s="41"/>
      <c r="D328" s="42"/>
      <c r="E328" s="2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">
      <c r="A329" s="25"/>
      <c r="B329" s="41"/>
      <c r="C329" s="41"/>
      <c r="D329" s="42"/>
      <c r="E329" s="2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">
      <c r="A330" s="25"/>
      <c r="B330" s="41"/>
      <c r="C330" s="41"/>
      <c r="D330" s="42"/>
      <c r="E330" s="2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">
      <c r="A331" s="25"/>
      <c r="B331" s="41"/>
      <c r="C331" s="41"/>
      <c r="D331" s="42"/>
      <c r="E331" s="2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">
      <c r="A332" s="25"/>
      <c r="B332" s="41"/>
      <c r="C332" s="41"/>
      <c r="D332" s="42"/>
      <c r="E332" s="2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">
      <c r="A333" s="25"/>
      <c r="B333" s="41"/>
      <c r="C333" s="41"/>
      <c r="D333" s="42"/>
      <c r="E333" s="2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">
      <c r="A334" s="25"/>
      <c r="B334" s="41"/>
      <c r="C334" s="41"/>
      <c r="D334" s="42"/>
      <c r="E334" s="2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">
      <c r="A335" s="25"/>
      <c r="B335" s="41"/>
      <c r="C335" s="41"/>
      <c r="D335" s="42"/>
      <c r="E335" s="2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">
      <c r="A336" s="25"/>
      <c r="B336" s="41"/>
      <c r="C336" s="41"/>
      <c r="D336" s="42"/>
      <c r="E336" s="2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">
      <c r="A337" s="25"/>
      <c r="B337" s="41"/>
      <c r="C337" s="41"/>
      <c r="D337" s="42"/>
      <c r="E337" s="2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">
      <c r="A338" s="25"/>
      <c r="B338" s="41"/>
      <c r="C338" s="41"/>
      <c r="D338" s="42"/>
      <c r="E338" s="2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">
      <c r="A339" s="25"/>
      <c r="B339" s="41"/>
      <c r="C339" s="41"/>
      <c r="D339" s="42"/>
      <c r="E339" s="2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">
      <c r="A340" s="25"/>
      <c r="B340" s="41"/>
      <c r="C340" s="41"/>
      <c r="D340" s="42"/>
      <c r="E340" s="2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">
      <c r="A341" s="25"/>
      <c r="B341" s="41"/>
      <c r="C341" s="41"/>
      <c r="D341" s="42"/>
      <c r="E341" s="2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">
      <c r="A342" s="25"/>
      <c r="B342" s="41"/>
      <c r="C342" s="41"/>
      <c r="D342" s="42"/>
      <c r="E342" s="2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">
      <c r="A343" s="25"/>
      <c r="B343" s="41"/>
      <c r="C343" s="41"/>
      <c r="D343" s="42"/>
      <c r="E343" s="2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">
      <c r="A344" s="25"/>
      <c r="B344" s="41"/>
      <c r="C344" s="41"/>
      <c r="D344" s="42"/>
      <c r="E344" s="2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">
      <c r="A345" s="25"/>
      <c r="B345" s="41"/>
      <c r="C345" s="41"/>
      <c r="D345" s="42"/>
      <c r="E345" s="2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">
      <c r="A346" s="25"/>
      <c r="B346" s="41"/>
      <c r="C346" s="41"/>
      <c r="D346" s="42"/>
      <c r="E346" s="2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">
      <c r="A347" s="25"/>
      <c r="B347" s="41"/>
      <c r="C347" s="41"/>
      <c r="D347" s="42"/>
      <c r="E347" s="2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">
      <c r="A348" s="25"/>
      <c r="B348" s="41"/>
      <c r="C348" s="41"/>
      <c r="D348" s="42"/>
      <c r="E348" s="2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">
      <c r="A349" s="25"/>
      <c r="B349" s="41"/>
      <c r="C349" s="41"/>
      <c r="D349" s="42"/>
      <c r="E349" s="2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">
      <c r="A350" s="25"/>
      <c r="B350" s="41"/>
      <c r="C350" s="41"/>
      <c r="D350" s="42"/>
      <c r="E350" s="2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">
      <c r="A351" s="25"/>
      <c r="B351" s="41"/>
      <c r="C351" s="41"/>
      <c r="D351" s="42"/>
      <c r="E351" s="2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">
      <c r="A352" s="25"/>
      <c r="B352" s="41"/>
      <c r="C352" s="41"/>
      <c r="D352" s="42"/>
      <c r="E352" s="2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">
      <c r="A353" s="25"/>
      <c r="B353" s="41"/>
      <c r="C353" s="41"/>
      <c r="D353" s="42"/>
      <c r="E353" s="2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">
      <c r="A354" s="25"/>
      <c r="B354" s="41"/>
      <c r="C354" s="41"/>
      <c r="D354" s="42"/>
      <c r="E354" s="2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">
      <c r="A355" s="25"/>
      <c r="B355" s="41"/>
      <c r="C355" s="41"/>
      <c r="D355" s="42"/>
      <c r="E355" s="2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">
      <c r="A356" s="25"/>
      <c r="B356" s="41"/>
      <c r="C356" s="41"/>
      <c r="D356" s="42"/>
      <c r="E356" s="2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">
      <c r="A357" s="25"/>
      <c r="B357" s="41"/>
      <c r="C357" s="41"/>
      <c r="D357" s="42"/>
      <c r="E357" s="2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">
      <c r="A358" s="25"/>
      <c r="B358" s="41"/>
      <c r="C358" s="41"/>
      <c r="D358" s="42"/>
      <c r="E358" s="2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">
      <c r="A359" s="25"/>
      <c r="B359" s="41"/>
      <c r="C359" s="41"/>
      <c r="D359" s="42"/>
      <c r="E359" s="2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">
      <c r="A360" s="25"/>
      <c r="B360" s="41"/>
      <c r="C360" s="41"/>
      <c r="D360" s="42"/>
      <c r="E360" s="2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">
      <c r="A361" s="25"/>
      <c r="B361" s="41"/>
      <c r="C361" s="41"/>
      <c r="D361" s="42"/>
      <c r="E361" s="2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">
      <c r="A362" s="25"/>
      <c r="B362" s="41"/>
      <c r="C362" s="41"/>
      <c r="D362" s="42"/>
      <c r="E362" s="2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">
      <c r="A363" s="25"/>
      <c r="B363" s="41"/>
      <c r="C363" s="41"/>
      <c r="D363" s="42"/>
      <c r="E363" s="2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">
      <c r="A364" s="25"/>
      <c r="B364" s="41"/>
      <c r="C364" s="41"/>
      <c r="D364" s="42"/>
      <c r="E364" s="2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">
      <c r="A365" s="25"/>
      <c r="B365" s="41"/>
      <c r="C365" s="41"/>
      <c r="D365" s="42"/>
      <c r="E365" s="2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">
      <c r="A366" s="25"/>
      <c r="B366" s="41"/>
      <c r="C366" s="41"/>
      <c r="D366" s="42"/>
      <c r="E366" s="2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">
      <c r="A367" s="25"/>
      <c r="B367" s="41"/>
      <c r="C367" s="41"/>
      <c r="D367" s="42"/>
      <c r="E367" s="2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">
      <c r="A368" s="25"/>
      <c r="B368" s="41"/>
      <c r="C368" s="41"/>
      <c r="D368" s="42"/>
      <c r="E368" s="2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">
      <c r="A369" s="25"/>
      <c r="B369" s="41"/>
      <c r="C369" s="41"/>
      <c r="D369" s="42"/>
      <c r="E369" s="2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">
      <c r="A370" s="25"/>
      <c r="B370" s="41"/>
      <c r="C370" s="41"/>
      <c r="D370" s="42"/>
      <c r="E370" s="2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">
      <c r="A371" s="25"/>
      <c r="B371" s="41"/>
      <c r="C371" s="41"/>
      <c r="D371" s="42"/>
      <c r="E371" s="2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">
      <c r="A372" s="25"/>
      <c r="B372" s="41"/>
      <c r="C372" s="41"/>
      <c r="D372" s="42"/>
      <c r="E372" s="2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">
      <c r="A373" s="25"/>
      <c r="B373" s="41"/>
      <c r="C373" s="41"/>
      <c r="D373" s="42"/>
      <c r="E373" s="2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">
      <c r="A374" s="25"/>
      <c r="B374" s="41"/>
      <c r="C374" s="41"/>
      <c r="D374" s="42"/>
      <c r="E374" s="2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">
      <c r="A375" s="25"/>
      <c r="B375" s="41"/>
      <c r="C375" s="41"/>
      <c r="D375" s="42"/>
      <c r="E375" s="2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">
      <c r="A376" s="25"/>
      <c r="B376" s="41"/>
      <c r="C376" s="41"/>
      <c r="D376" s="42"/>
      <c r="E376" s="2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">
      <c r="A377" s="25"/>
      <c r="B377" s="41"/>
      <c r="C377" s="41"/>
      <c r="D377" s="42"/>
      <c r="E377" s="2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">
      <c r="A378" s="25"/>
      <c r="B378" s="41"/>
      <c r="C378" s="41"/>
      <c r="D378" s="42"/>
      <c r="E378" s="2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">
      <c r="A379" s="25"/>
      <c r="B379" s="41"/>
      <c r="C379" s="41"/>
      <c r="D379" s="42"/>
      <c r="E379" s="2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">
      <c r="A380" s="25"/>
      <c r="B380" s="41"/>
      <c r="C380" s="41"/>
      <c r="D380" s="42"/>
      <c r="E380" s="2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">
      <c r="A381" s="25"/>
      <c r="B381" s="41"/>
      <c r="C381" s="41"/>
      <c r="D381" s="42"/>
      <c r="E381" s="2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">
      <c r="A382" s="25"/>
      <c r="B382" s="41"/>
      <c r="C382" s="41"/>
      <c r="D382" s="42"/>
      <c r="E382" s="2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">
      <c r="A383" s="25"/>
      <c r="B383" s="41"/>
      <c r="C383" s="41"/>
      <c r="D383" s="42"/>
      <c r="E383" s="2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">
      <c r="A384" s="25"/>
      <c r="B384" s="41"/>
      <c r="C384" s="41"/>
      <c r="D384" s="42"/>
      <c r="E384" s="2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">
      <c r="A385" s="25"/>
      <c r="B385" s="41"/>
      <c r="C385" s="41"/>
      <c r="D385" s="42"/>
      <c r="E385" s="2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">
      <c r="A386" s="25"/>
      <c r="B386" s="41"/>
      <c r="C386" s="41"/>
      <c r="D386" s="42"/>
      <c r="E386" s="2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">
      <c r="A387" s="25"/>
      <c r="B387" s="41"/>
      <c r="C387" s="41"/>
      <c r="D387" s="42"/>
      <c r="E387" s="2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">
      <c r="A388" s="25"/>
      <c r="B388" s="41"/>
      <c r="C388" s="41"/>
      <c r="D388" s="42"/>
      <c r="E388" s="2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">
      <c r="A389" s="25"/>
      <c r="B389" s="41"/>
      <c r="C389" s="41"/>
      <c r="D389" s="42"/>
      <c r="E389" s="2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">
      <c r="A390" s="25"/>
      <c r="B390" s="41"/>
      <c r="C390" s="41"/>
      <c r="D390" s="42"/>
      <c r="E390" s="2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">
      <c r="A391" s="25"/>
      <c r="B391" s="41"/>
      <c r="C391" s="41"/>
      <c r="D391" s="42"/>
      <c r="E391" s="2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">
      <c r="A392" s="25"/>
      <c r="B392" s="41"/>
      <c r="C392" s="41"/>
      <c r="D392" s="42"/>
      <c r="E392" s="2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">
      <c r="A393" s="25"/>
      <c r="B393" s="41"/>
      <c r="C393" s="41"/>
      <c r="D393" s="42"/>
      <c r="E393" s="2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">
      <c r="A394" s="25"/>
      <c r="B394" s="41"/>
      <c r="C394" s="41"/>
      <c r="D394" s="42"/>
      <c r="E394" s="2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">
      <c r="A395" s="25"/>
      <c r="B395" s="41"/>
      <c r="C395" s="41"/>
      <c r="D395" s="42"/>
      <c r="E395" s="2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">
      <c r="A396" s="25"/>
      <c r="B396" s="41"/>
      <c r="C396" s="41"/>
      <c r="D396" s="42"/>
      <c r="E396" s="2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">
      <c r="A397" s="25"/>
      <c r="B397" s="41"/>
      <c r="C397" s="41"/>
      <c r="D397" s="42"/>
      <c r="E397" s="2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">
      <c r="A398" s="25"/>
      <c r="B398" s="41"/>
      <c r="C398" s="41"/>
      <c r="D398" s="42"/>
      <c r="E398" s="2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">
      <c r="A399" s="25"/>
      <c r="B399" s="41"/>
      <c r="C399" s="41"/>
      <c r="D399" s="42"/>
      <c r="E399" s="2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">
      <c r="A400" s="25"/>
      <c r="B400" s="41"/>
      <c r="C400" s="41"/>
      <c r="D400" s="42"/>
      <c r="E400" s="2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">
      <c r="A401" s="25"/>
      <c r="B401" s="41"/>
      <c r="C401" s="41"/>
      <c r="D401" s="42"/>
      <c r="E401" s="2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">
      <c r="A402" s="25"/>
      <c r="B402" s="41"/>
      <c r="C402" s="41"/>
      <c r="D402" s="42"/>
      <c r="E402" s="2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">
      <c r="A403" s="25"/>
      <c r="B403" s="41"/>
      <c r="C403" s="41"/>
      <c r="D403" s="42"/>
      <c r="E403" s="2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">
      <c r="A404" s="25"/>
      <c r="B404" s="41"/>
      <c r="C404" s="41"/>
      <c r="D404" s="42"/>
      <c r="E404" s="2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">
      <c r="A405" s="25"/>
      <c r="B405" s="41"/>
      <c r="C405" s="41"/>
      <c r="D405" s="42"/>
      <c r="E405" s="2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">
      <c r="A406" s="25"/>
      <c r="B406" s="41"/>
      <c r="C406" s="41"/>
      <c r="D406" s="42"/>
      <c r="E406" s="2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">
      <c r="A407" s="25"/>
      <c r="B407" s="41"/>
      <c r="C407" s="41"/>
      <c r="D407" s="42"/>
      <c r="E407" s="2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">
      <c r="A408" s="25"/>
      <c r="B408" s="41"/>
      <c r="C408" s="41"/>
      <c r="D408" s="42"/>
      <c r="E408" s="2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">
      <c r="A409" s="25"/>
      <c r="B409" s="41"/>
      <c r="C409" s="41"/>
      <c r="D409" s="42"/>
      <c r="E409" s="2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">
      <c r="A410" s="25"/>
      <c r="B410" s="41"/>
      <c r="C410" s="41"/>
      <c r="D410" s="42"/>
      <c r="E410" s="2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">
      <c r="A411" s="25"/>
      <c r="B411" s="41"/>
      <c r="C411" s="41"/>
      <c r="D411" s="42"/>
      <c r="E411" s="2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">
      <c r="A412" s="25"/>
      <c r="B412" s="41"/>
      <c r="C412" s="41"/>
      <c r="D412" s="42"/>
      <c r="E412" s="2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">
      <c r="A413" s="25"/>
      <c r="B413" s="41"/>
      <c r="C413" s="41"/>
      <c r="D413" s="42"/>
      <c r="E413" s="2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">
      <c r="A414" s="25"/>
      <c r="B414" s="41"/>
      <c r="C414" s="41"/>
      <c r="D414" s="42"/>
      <c r="E414" s="2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">
      <c r="A415" s="25"/>
      <c r="B415" s="41"/>
      <c r="C415" s="41"/>
      <c r="D415" s="42"/>
      <c r="E415" s="2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">
      <c r="A416" s="25"/>
      <c r="B416" s="41"/>
      <c r="C416" s="41"/>
      <c r="D416" s="42"/>
      <c r="E416" s="2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">
      <c r="A417" s="25"/>
      <c r="B417" s="41"/>
      <c r="C417" s="41"/>
      <c r="D417" s="42"/>
      <c r="E417" s="2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">
      <c r="A418" s="25"/>
      <c r="B418" s="41"/>
      <c r="C418" s="41"/>
      <c r="D418" s="42"/>
      <c r="E418" s="2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">
      <c r="A419" s="25"/>
      <c r="B419" s="41"/>
      <c r="C419" s="41"/>
      <c r="D419" s="42"/>
      <c r="E419" s="2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">
      <c r="A420" s="25"/>
      <c r="B420" s="41"/>
      <c r="C420" s="41"/>
      <c r="D420" s="42"/>
      <c r="E420" s="2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">
      <c r="A421" s="25"/>
      <c r="B421" s="41"/>
      <c r="C421" s="41"/>
      <c r="D421" s="42"/>
      <c r="E421" s="2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">
      <c r="A422" s="25"/>
      <c r="B422" s="41"/>
      <c r="C422" s="41"/>
      <c r="D422" s="42"/>
      <c r="E422" s="2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">
      <c r="A423" s="25"/>
      <c r="B423" s="41"/>
      <c r="C423" s="41"/>
      <c r="D423" s="42"/>
      <c r="E423" s="2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">
      <c r="A424" s="25"/>
      <c r="B424" s="41"/>
      <c r="C424" s="41"/>
      <c r="D424" s="42"/>
      <c r="E424" s="2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">
      <c r="A425" s="25"/>
      <c r="B425" s="41"/>
      <c r="C425" s="41"/>
      <c r="D425" s="42"/>
      <c r="E425" s="2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">
      <c r="A426" s="25"/>
      <c r="B426" s="41"/>
      <c r="C426" s="41"/>
      <c r="D426" s="42"/>
      <c r="E426" s="2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">
      <c r="A427" s="25"/>
      <c r="B427" s="41"/>
      <c r="C427" s="41"/>
      <c r="D427" s="42"/>
      <c r="E427" s="2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">
      <c r="A428" s="25"/>
      <c r="B428" s="41"/>
      <c r="C428" s="41"/>
      <c r="D428" s="42"/>
      <c r="E428" s="2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">
      <c r="A429" s="25"/>
      <c r="B429" s="41"/>
      <c r="C429" s="41"/>
      <c r="D429" s="42"/>
      <c r="E429" s="2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">
      <c r="A430" s="25"/>
      <c r="B430" s="41"/>
      <c r="C430" s="41"/>
      <c r="D430" s="42"/>
      <c r="E430" s="2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">
      <c r="A431" s="25"/>
      <c r="B431" s="41"/>
      <c r="C431" s="41"/>
      <c r="D431" s="42"/>
      <c r="E431" s="2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">
      <c r="A432" s="25"/>
      <c r="B432" s="41"/>
      <c r="C432" s="41"/>
      <c r="D432" s="42"/>
      <c r="E432" s="2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">
      <c r="A433" s="25"/>
      <c r="B433" s="41"/>
      <c r="C433" s="41"/>
      <c r="D433" s="42"/>
      <c r="E433" s="2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">
      <c r="A434" s="25"/>
      <c r="B434" s="41"/>
      <c r="C434" s="41"/>
      <c r="D434" s="42"/>
      <c r="E434" s="2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">
      <c r="A435" s="25"/>
      <c r="B435" s="41"/>
      <c r="C435" s="41"/>
      <c r="D435" s="42"/>
      <c r="E435" s="2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">
      <c r="A436" s="25"/>
      <c r="B436" s="41"/>
      <c r="C436" s="41"/>
      <c r="D436" s="42"/>
      <c r="E436" s="2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">
      <c r="A437" s="25"/>
      <c r="B437" s="41"/>
      <c r="C437" s="41"/>
      <c r="D437" s="42"/>
      <c r="E437" s="2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">
      <c r="A438" s="25"/>
      <c r="B438" s="41"/>
      <c r="C438" s="41"/>
      <c r="D438" s="42"/>
      <c r="E438" s="2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">
      <c r="A439" s="25"/>
      <c r="B439" s="41"/>
      <c r="C439" s="41"/>
      <c r="D439" s="42"/>
      <c r="E439" s="2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">
      <c r="A440" s="25"/>
      <c r="B440" s="41"/>
      <c r="C440" s="41"/>
      <c r="D440" s="42"/>
      <c r="E440" s="2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">
      <c r="A441" s="25"/>
      <c r="B441" s="41"/>
      <c r="C441" s="41"/>
      <c r="D441" s="42"/>
      <c r="E441" s="2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">
      <c r="A442" s="25"/>
      <c r="B442" s="41"/>
      <c r="C442" s="41"/>
      <c r="D442" s="42"/>
      <c r="E442" s="2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">
      <c r="A443" s="25"/>
      <c r="B443" s="41"/>
      <c r="C443" s="41"/>
      <c r="D443" s="42"/>
      <c r="E443" s="2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">
      <c r="A444" s="25"/>
      <c r="B444" s="41"/>
      <c r="C444" s="41"/>
      <c r="D444" s="42"/>
      <c r="E444" s="2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">
      <c r="A445" s="25"/>
      <c r="B445" s="41"/>
      <c r="C445" s="41"/>
      <c r="D445" s="42"/>
      <c r="E445" s="2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">
      <c r="A446" s="25"/>
      <c r="B446" s="41"/>
      <c r="C446" s="41"/>
      <c r="D446" s="42"/>
      <c r="E446" s="2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">
      <c r="A447" s="25"/>
      <c r="B447" s="41"/>
      <c r="C447" s="41"/>
      <c r="D447" s="42"/>
      <c r="E447" s="2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">
      <c r="A448" s="25"/>
      <c r="B448" s="41"/>
      <c r="C448" s="41"/>
      <c r="D448" s="42"/>
      <c r="E448" s="2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">
      <c r="A449" s="25"/>
      <c r="B449" s="41"/>
      <c r="C449" s="41"/>
      <c r="D449" s="42"/>
      <c r="E449" s="2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">
      <c r="A450" s="25"/>
      <c r="B450" s="41"/>
      <c r="C450" s="41"/>
      <c r="D450" s="42"/>
      <c r="E450" s="2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">
      <c r="A451" s="25"/>
      <c r="B451" s="41"/>
      <c r="C451" s="41"/>
      <c r="D451" s="42"/>
      <c r="E451" s="2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">
      <c r="A452" s="25"/>
      <c r="B452" s="41"/>
      <c r="C452" s="41"/>
      <c r="D452" s="42"/>
      <c r="E452" s="2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">
      <c r="A453" s="25"/>
      <c r="B453" s="41"/>
      <c r="C453" s="41"/>
      <c r="D453" s="42"/>
      <c r="E453" s="2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">
      <c r="A454" s="25"/>
      <c r="B454" s="41"/>
      <c r="C454" s="41"/>
      <c r="D454" s="42"/>
      <c r="E454" s="2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">
      <c r="A455" s="25"/>
      <c r="B455" s="41"/>
      <c r="C455" s="41"/>
      <c r="D455" s="42"/>
      <c r="E455" s="2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">
      <c r="A456" s="25"/>
      <c r="B456" s="41"/>
      <c r="C456" s="41"/>
      <c r="D456" s="42"/>
      <c r="E456" s="2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">
      <c r="A457" s="25"/>
      <c r="B457" s="41"/>
      <c r="C457" s="41"/>
      <c r="D457" s="42"/>
      <c r="E457" s="2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">
      <c r="A458" s="25"/>
      <c r="B458" s="41"/>
      <c r="C458" s="41"/>
      <c r="D458" s="42"/>
      <c r="E458" s="2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">
      <c r="A459" s="25"/>
      <c r="B459" s="41"/>
      <c r="C459" s="41"/>
      <c r="D459" s="42"/>
      <c r="E459" s="2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">
      <c r="A460" s="25"/>
      <c r="B460" s="41"/>
      <c r="C460" s="41"/>
      <c r="D460" s="42"/>
      <c r="E460" s="2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">
      <c r="A461" s="25"/>
      <c r="B461" s="41"/>
      <c r="C461" s="41"/>
      <c r="D461" s="42"/>
      <c r="E461" s="2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">
      <c r="A462" s="25"/>
      <c r="B462" s="41"/>
      <c r="C462" s="41"/>
      <c r="D462" s="42"/>
      <c r="E462" s="2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">
      <c r="A463" s="25"/>
      <c r="B463" s="41"/>
      <c r="C463" s="41"/>
      <c r="D463" s="42"/>
      <c r="E463" s="2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">
      <c r="A464" s="25"/>
      <c r="B464" s="41"/>
      <c r="C464" s="41"/>
      <c r="D464" s="42"/>
      <c r="E464" s="2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">
      <c r="A465" s="25"/>
      <c r="B465" s="41"/>
      <c r="C465" s="41"/>
      <c r="D465" s="42"/>
      <c r="E465" s="2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">
      <c r="A466" s="25"/>
      <c r="B466" s="41"/>
      <c r="C466" s="41"/>
      <c r="D466" s="42"/>
      <c r="E466" s="2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">
      <c r="A467" s="25"/>
      <c r="B467" s="41"/>
      <c r="C467" s="41"/>
      <c r="D467" s="42"/>
      <c r="E467" s="2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">
      <c r="A468" s="25"/>
      <c r="B468" s="41"/>
      <c r="C468" s="41"/>
      <c r="D468" s="42"/>
      <c r="E468" s="2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">
      <c r="A469" s="25"/>
      <c r="B469" s="41"/>
      <c r="C469" s="41"/>
      <c r="D469" s="42"/>
      <c r="E469" s="2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">
      <c r="A470" s="25"/>
      <c r="B470" s="41"/>
      <c r="C470" s="41"/>
      <c r="D470" s="42"/>
      <c r="E470" s="2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">
      <c r="A471" s="25"/>
      <c r="B471" s="41"/>
      <c r="C471" s="41"/>
      <c r="D471" s="42"/>
      <c r="E471" s="2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">
      <c r="A472" s="25"/>
      <c r="B472" s="41"/>
      <c r="C472" s="41"/>
      <c r="D472" s="42"/>
      <c r="E472" s="2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">
      <c r="A473" s="25"/>
      <c r="B473" s="41"/>
      <c r="C473" s="41"/>
      <c r="D473" s="42"/>
      <c r="E473" s="2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">
      <c r="A474" s="25"/>
      <c r="B474" s="41"/>
      <c r="C474" s="41"/>
      <c r="D474" s="42"/>
      <c r="E474" s="2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">
      <c r="A475" s="25"/>
      <c r="B475" s="41"/>
      <c r="C475" s="41"/>
      <c r="D475" s="42"/>
      <c r="E475" s="2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">
      <c r="A476" s="25"/>
      <c r="B476" s="41"/>
      <c r="C476" s="41"/>
      <c r="D476" s="42"/>
      <c r="E476" s="2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">
      <c r="A477" s="25"/>
      <c r="B477" s="41"/>
      <c r="C477" s="41"/>
      <c r="D477" s="42"/>
      <c r="E477" s="2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">
      <c r="A478" s="25"/>
      <c r="B478" s="41"/>
      <c r="C478" s="41"/>
      <c r="D478" s="42"/>
      <c r="E478" s="2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">
      <c r="A479" s="25"/>
      <c r="B479" s="41"/>
      <c r="C479" s="41"/>
      <c r="D479" s="42"/>
      <c r="E479" s="2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">
      <c r="A480" s="25"/>
      <c r="B480" s="41"/>
      <c r="C480" s="41"/>
      <c r="D480" s="42"/>
      <c r="E480" s="2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">
      <c r="A481" s="25"/>
      <c r="B481" s="41"/>
      <c r="C481" s="41"/>
      <c r="D481" s="42"/>
      <c r="E481" s="2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">
      <c r="A482" s="25"/>
      <c r="B482" s="41"/>
      <c r="C482" s="41"/>
      <c r="D482" s="42"/>
      <c r="E482" s="2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">
      <c r="A483" s="25"/>
      <c r="B483" s="41"/>
      <c r="C483" s="41"/>
      <c r="D483" s="42"/>
      <c r="E483" s="2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">
      <c r="A484" s="25"/>
      <c r="B484" s="41"/>
      <c r="C484" s="41"/>
      <c r="D484" s="42"/>
      <c r="E484" s="2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">
      <c r="A485" s="25"/>
      <c r="B485" s="41"/>
      <c r="C485" s="41"/>
      <c r="D485" s="42"/>
      <c r="E485" s="2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">
      <c r="A486" s="25"/>
      <c r="B486" s="41"/>
      <c r="C486" s="41"/>
      <c r="D486" s="42"/>
      <c r="E486" s="2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">
      <c r="A487" s="25"/>
      <c r="B487" s="41"/>
      <c r="C487" s="41"/>
      <c r="D487" s="42"/>
      <c r="E487" s="2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">
      <c r="A488" s="25"/>
      <c r="B488" s="41"/>
      <c r="C488" s="41"/>
      <c r="D488" s="42"/>
      <c r="E488" s="2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">
      <c r="A489" s="25"/>
      <c r="B489" s="41"/>
      <c r="C489" s="41"/>
      <c r="D489" s="42"/>
      <c r="E489" s="2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">
      <c r="A490" s="25"/>
      <c r="B490" s="41"/>
      <c r="C490" s="41"/>
      <c r="D490" s="42"/>
      <c r="E490" s="2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">
      <c r="A491" s="25"/>
      <c r="B491" s="41"/>
      <c r="C491" s="41"/>
      <c r="D491" s="42"/>
      <c r="E491" s="2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">
      <c r="A492" s="25"/>
      <c r="B492" s="41"/>
      <c r="C492" s="41"/>
      <c r="D492" s="42"/>
      <c r="E492" s="2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">
      <c r="A493" s="25"/>
      <c r="B493" s="41"/>
      <c r="C493" s="41"/>
      <c r="D493" s="42"/>
      <c r="E493" s="2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">
      <c r="A494" s="25"/>
      <c r="B494" s="41"/>
      <c r="C494" s="41"/>
      <c r="D494" s="42"/>
      <c r="E494" s="2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">
      <c r="A495" s="25"/>
      <c r="B495" s="41"/>
      <c r="C495" s="41"/>
      <c r="D495" s="42"/>
      <c r="E495" s="2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">
      <c r="A496" s="25"/>
      <c r="B496" s="41"/>
      <c r="C496" s="41"/>
      <c r="D496" s="42"/>
      <c r="E496" s="2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">
      <c r="A497" s="25"/>
      <c r="B497" s="41"/>
      <c r="C497" s="41"/>
      <c r="D497" s="42"/>
      <c r="E497" s="2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">
      <c r="A498" s="25"/>
      <c r="B498" s="41"/>
      <c r="C498" s="41"/>
      <c r="D498" s="42"/>
      <c r="E498" s="2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">
      <c r="A499" s="25"/>
      <c r="B499" s="41"/>
      <c r="C499" s="41"/>
      <c r="D499" s="42"/>
      <c r="E499" s="2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">
      <c r="A500" s="25"/>
      <c r="B500" s="41"/>
      <c r="C500" s="41"/>
      <c r="D500" s="42"/>
      <c r="E500" s="2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">
      <c r="A501" s="25"/>
      <c r="B501" s="41"/>
      <c r="C501" s="41"/>
      <c r="D501" s="42"/>
      <c r="E501" s="2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">
      <c r="A502" s="25"/>
      <c r="B502" s="41"/>
      <c r="C502" s="41"/>
      <c r="D502" s="42"/>
      <c r="E502" s="2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">
      <c r="A503" s="25"/>
      <c r="B503" s="41"/>
      <c r="C503" s="41"/>
      <c r="D503" s="42"/>
      <c r="E503" s="2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">
      <c r="A504" s="25"/>
      <c r="B504" s="41"/>
      <c r="C504" s="41"/>
      <c r="D504" s="42"/>
      <c r="E504" s="2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">
      <c r="A505" s="25"/>
      <c r="B505" s="41"/>
      <c r="C505" s="41"/>
      <c r="D505" s="42"/>
      <c r="E505" s="2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">
      <c r="A506" s="25"/>
      <c r="B506" s="41"/>
      <c r="C506" s="41"/>
      <c r="D506" s="42"/>
      <c r="E506" s="2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">
      <c r="A507" s="25"/>
      <c r="B507" s="41"/>
      <c r="C507" s="41"/>
      <c r="D507" s="42"/>
      <c r="E507" s="2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">
      <c r="A508" s="25"/>
      <c r="B508" s="41"/>
      <c r="C508" s="41"/>
      <c r="D508" s="42"/>
      <c r="E508" s="2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">
      <c r="A509" s="25"/>
      <c r="B509" s="41"/>
      <c r="C509" s="41"/>
      <c r="D509" s="42"/>
      <c r="E509" s="2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">
      <c r="A510" s="25"/>
      <c r="B510" s="41"/>
      <c r="C510" s="41"/>
      <c r="D510" s="42"/>
      <c r="E510" s="2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">
      <c r="A511" s="25"/>
      <c r="B511" s="41"/>
      <c r="C511" s="41"/>
      <c r="D511" s="42"/>
      <c r="E511" s="2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">
      <c r="A512" s="25"/>
      <c r="B512" s="41"/>
      <c r="C512" s="41"/>
      <c r="D512" s="42"/>
      <c r="E512" s="2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">
      <c r="A513" s="25"/>
      <c r="B513" s="41"/>
      <c r="C513" s="41"/>
      <c r="D513" s="42"/>
      <c r="E513" s="2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">
      <c r="A514" s="25"/>
      <c r="B514" s="41"/>
      <c r="C514" s="41"/>
      <c r="D514" s="42"/>
      <c r="E514" s="2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">
      <c r="A515" s="25"/>
      <c r="B515" s="41"/>
      <c r="C515" s="41"/>
      <c r="D515" s="42"/>
      <c r="E515" s="2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">
      <c r="A516" s="25"/>
      <c r="B516" s="41"/>
      <c r="C516" s="41"/>
      <c r="D516" s="42"/>
      <c r="E516" s="2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">
      <c r="A517" s="25"/>
      <c r="B517" s="41"/>
      <c r="C517" s="41"/>
      <c r="D517" s="42"/>
      <c r="E517" s="2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">
      <c r="A518" s="25"/>
      <c r="B518" s="41"/>
      <c r="C518" s="41"/>
      <c r="D518" s="42"/>
      <c r="E518" s="2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">
      <c r="A519" s="25"/>
      <c r="B519" s="41"/>
      <c r="C519" s="41"/>
      <c r="D519" s="42"/>
      <c r="E519" s="2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">
      <c r="A520" s="25"/>
      <c r="B520" s="41"/>
      <c r="C520" s="41"/>
      <c r="D520" s="42"/>
      <c r="E520" s="2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">
      <c r="A521" s="25"/>
      <c r="B521" s="41"/>
      <c r="C521" s="41"/>
      <c r="D521" s="42"/>
      <c r="E521" s="2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">
      <c r="A522" s="25"/>
      <c r="B522" s="41"/>
      <c r="C522" s="41"/>
      <c r="D522" s="42"/>
      <c r="E522" s="2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">
      <c r="A523" s="25"/>
      <c r="B523" s="41"/>
      <c r="C523" s="41"/>
      <c r="D523" s="42"/>
      <c r="E523" s="2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">
      <c r="A524" s="25"/>
      <c r="B524" s="41"/>
      <c r="C524" s="41"/>
      <c r="D524" s="42"/>
      <c r="E524" s="2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">
      <c r="A525" s="25"/>
      <c r="B525" s="41"/>
      <c r="C525" s="41"/>
      <c r="D525" s="42"/>
      <c r="E525" s="2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">
      <c r="A526" s="25"/>
      <c r="B526" s="41"/>
      <c r="C526" s="41"/>
      <c r="D526" s="42"/>
      <c r="E526" s="2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">
      <c r="A527" s="25"/>
      <c r="B527" s="41"/>
      <c r="C527" s="41"/>
      <c r="D527" s="42"/>
      <c r="E527" s="2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">
      <c r="A528" s="25"/>
      <c r="B528" s="41"/>
      <c r="C528" s="41"/>
      <c r="D528" s="42"/>
      <c r="E528" s="2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">
      <c r="A529" s="25"/>
      <c r="B529" s="41"/>
      <c r="C529" s="41"/>
      <c r="D529" s="42"/>
      <c r="E529" s="2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">
      <c r="A530" s="25"/>
      <c r="B530" s="41"/>
      <c r="C530" s="41"/>
      <c r="D530" s="42"/>
      <c r="E530" s="2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">
      <c r="A531" s="25"/>
      <c r="B531" s="41"/>
      <c r="C531" s="41"/>
      <c r="D531" s="42"/>
      <c r="E531" s="2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">
      <c r="A532" s="25"/>
      <c r="B532" s="41"/>
      <c r="C532" s="41"/>
      <c r="D532" s="42"/>
      <c r="E532" s="2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">
      <c r="A533" s="25"/>
      <c r="B533" s="41"/>
      <c r="C533" s="41"/>
      <c r="D533" s="42"/>
      <c r="E533" s="2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">
      <c r="A534" s="25"/>
      <c r="B534" s="41"/>
      <c r="C534" s="41"/>
      <c r="D534" s="42"/>
      <c r="E534" s="2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">
      <c r="A535" s="25"/>
      <c r="B535" s="41"/>
      <c r="C535" s="41"/>
      <c r="D535" s="42"/>
      <c r="E535" s="2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">
      <c r="A536" s="25"/>
      <c r="B536" s="41"/>
      <c r="C536" s="41"/>
      <c r="D536" s="42"/>
      <c r="E536" s="2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">
      <c r="A537" s="25"/>
      <c r="B537" s="41"/>
      <c r="C537" s="41"/>
      <c r="D537" s="42"/>
      <c r="E537" s="2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">
      <c r="A538" s="25"/>
      <c r="B538" s="41"/>
      <c r="C538" s="41"/>
      <c r="D538" s="42"/>
      <c r="E538" s="2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">
      <c r="A539" s="25"/>
      <c r="B539" s="41"/>
      <c r="C539" s="41"/>
      <c r="D539" s="42"/>
      <c r="E539" s="2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">
      <c r="A540" s="25"/>
      <c r="B540" s="41"/>
      <c r="C540" s="41"/>
      <c r="D540" s="42"/>
      <c r="E540" s="2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">
      <c r="A541" s="25"/>
      <c r="B541" s="41"/>
      <c r="C541" s="41"/>
      <c r="D541" s="42"/>
      <c r="E541" s="2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">
      <c r="A542" s="25"/>
      <c r="B542" s="41"/>
      <c r="C542" s="41"/>
      <c r="D542" s="42"/>
      <c r="E542" s="2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">
      <c r="A543" s="25"/>
      <c r="B543" s="41"/>
      <c r="C543" s="41"/>
      <c r="D543" s="42"/>
      <c r="E543" s="2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">
      <c r="A544" s="25"/>
      <c r="B544" s="41"/>
      <c r="C544" s="41"/>
      <c r="D544" s="42"/>
      <c r="E544" s="2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">
      <c r="A545" s="25"/>
      <c r="B545" s="41"/>
      <c r="C545" s="41"/>
      <c r="D545" s="42"/>
      <c r="E545" s="2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">
      <c r="A546" s="25"/>
      <c r="B546" s="41"/>
      <c r="C546" s="41"/>
      <c r="D546" s="42"/>
      <c r="E546" s="2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">
      <c r="A547" s="25"/>
      <c r="B547" s="41"/>
      <c r="C547" s="41"/>
      <c r="D547" s="42"/>
      <c r="E547" s="2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">
      <c r="A548" s="25"/>
      <c r="B548" s="41"/>
      <c r="C548" s="41"/>
      <c r="D548" s="42"/>
      <c r="E548" s="2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">
      <c r="A549" s="25"/>
      <c r="B549" s="41"/>
      <c r="C549" s="41"/>
      <c r="D549" s="42"/>
      <c r="E549" s="2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">
      <c r="A550" s="25"/>
      <c r="B550" s="41"/>
      <c r="C550" s="41"/>
      <c r="D550" s="42"/>
      <c r="E550" s="2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">
      <c r="A551" s="25"/>
      <c r="B551" s="41"/>
      <c r="C551" s="41"/>
      <c r="D551" s="42"/>
      <c r="E551" s="2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">
      <c r="A552" s="25"/>
      <c r="B552" s="41"/>
      <c r="C552" s="41"/>
      <c r="D552" s="42"/>
      <c r="E552" s="2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">
      <c r="A553" s="25"/>
      <c r="B553" s="41"/>
      <c r="C553" s="41"/>
      <c r="D553" s="42"/>
      <c r="E553" s="2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">
      <c r="A554" s="25"/>
      <c r="B554" s="41"/>
      <c r="C554" s="41"/>
      <c r="D554" s="42"/>
      <c r="E554" s="2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">
      <c r="A555" s="25"/>
      <c r="B555" s="41"/>
      <c r="C555" s="41"/>
      <c r="D555" s="42"/>
      <c r="E555" s="2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">
      <c r="A556" s="25"/>
      <c r="B556" s="41"/>
      <c r="C556" s="41"/>
      <c r="D556" s="42"/>
      <c r="E556" s="2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">
      <c r="A557" s="25"/>
      <c r="B557" s="41"/>
      <c r="C557" s="41"/>
      <c r="D557" s="42"/>
      <c r="E557" s="2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">
      <c r="A558" s="25"/>
      <c r="B558" s="41"/>
      <c r="C558" s="41"/>
      <c r="D558" s="42"/>
      <c r="E558" s="2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">
      <c r="A559" s="25"/>
      <c r="B559" s="41"/>
      <c r="C559" s="41"/>
      <c r="D559" s="42"/>
      <c r="E559" s="2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">
      <c r="A560" s="25"/>
      <c r="B560" s="41"/>
      <c r="C560" s="41"/>
      <c r="D560" s="42"/>
      <c r="E560" s="2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">
      <c r="A561" s="25"/>
      <c r="B561" s="41"/>
      <c r="C561" s="41"/>
      <c r="D561" s="42"/>
      <c r="E561" s="2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">
      <c r="A562" s="25"/>
      <c r="B562" s="41"/>
      <c r="C562" s="41"/>
      <c r="D562" s="42"/>
      <c r="E562" s="2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">
      <c r="A563" s="25"/>
      <c r="B563" s="41"/>
      <c r="C563" s="41"/>
      <c r="D563" s="42"/>
      <c r="E563" s="2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">
      <c r="A564" s="25"/>
      <c r="B564" s="41"/>
      <c r="C564" s="41"/>
      <c r="D564" s="42"/>
      <c r="E564" s="2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">
      <c r="A565" s="25"/>
      <c r="B565" s="41"/>
      <c r="C565" s="41"/>
      <c r="D565" s="42"/>
      <c r="E565" s="2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">
      <c r="A566" s="25"/>
      <c r="B566" s="41"/>
      <c r="C566" s="41"/>
      <c r="D566" s="42"/>
      <c r="E566" s="2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">
      <c r="A567" s="25"/>
      <c r="B567" s="41"/>
      <c r="C567" s="41"/>
      <c r="D567" s="42"/>
      <c r="E567" s="2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">
      <c r="A568" s="25"/>
      <c r="B568" s="41"/>
      <c r="C568" s="41"/>
      <c r="D568" s="42"/>
      <c r="E568" s="2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">
      <c r="A569" s="25"/>
      <c r="B569" s="41"/>
      <c r="C569" s="41"/>
      <c r="D569" s="42"/>
      <c r="E569" s="2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">
      <c r="A570" s="25"/>
      <c r="B570" s="41"/>
      <c r="C570" s="41"/>
      <c r="D570" s="42"/>
      <c r="E570" s="2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">
      <c r="A571" s="25"/>
      <c r="B571" s="41"/>
      <c r="C571" s="41"/>
      <c r="D571" s="42"/>
      <c r="E571" s="2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">
      <c r="A572" s="25"/>
      <c r="B572" s="41"/>
      <c r="C572" s="41"/>
      <c r="D572" s="42"/>
      <c r="E572" s="2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">
      <c r="A573" s="25"/>
      <c r="B573" s="41"/>
      <c r="C573" s="41"/>
      <c r="D573" s="42"/>
      <c r="E573" s="2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">
      <c r="A574" s="25"/>
      <c r="B574" s="41"/>
      <c r="C574" s="41"/>
      <c r="D574" s="42"/>
      <c r="E574" s="2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">
      <c r="A575" s="25"/>
      <c r="B575" s="41"/>
      <c r="C575" s="41"/>
      <c r="D575" s="42"/>
      <c r="E575" s="2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">
      <c r="A576" s="25"/>
      <c r="B576" s="41"/>
      <c r="C576" s="41"/>
      <c r="D576" s="42"/>
      <c r="E576" s="2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">
      <c r="A577" s="25"/>
      <c r="B577" s="41"/>
      <c r="C577" s="41"/>
      <c r="D577" s="42"/>
      <c r="E577" s="2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">
      <c r="A578" s="25"/>
      <c r="B578" s="41"/>
      <c r="C578" s="41"/>
      <c r="D578" s="42"/>
      <c r="E578" s="2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">
      <c r="A579" s="25"/>
      <c r="B579" s="41"/>
      <c r="C579" s="41"/>
      <c r="D579" s="42"/>
      <c r="E579" s="2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">
      <c r="A580" s="25"/>
      <c r="B580" s="41"/>
      <c r="C580" s="41"/>
      <c r="D580" s="42"/>
      <c r="E580" s="2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">
      <c r="A581" s="25"/>
      <c r="B581" s="41"/>
      <c r="C581" s="41"/>
      <c r="D581" s="42"/>
      <c r="E581" s="2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">
      <c r="A582" s="25"/>
      <c r="B582" s="41"/>
      <c r="C582" s="41"/>
      <c r="D582" s="42"/>
      <c r="E582" s="2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">
      <c r="A583" s="25"/>
      <c r="B583" s="41"/>
      <c r="C583" s="41"/>
      <c r="D583" s="42"/>
      <c r="E583" s="2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">
      <c r="A584" s="25"/>
      <c r="B584" s="41"/>
      <c r="C584" s="41"/>
      <c r="D584" s="42"/>
      <c r="E584" s="2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">
      <c r="A585" s="25"/>
      <c r="B585" s="41"/>
      <c r="C585" s="41"/>
      <c r="D585" s="42"/>
      <c r="E585" s="2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">
      <c r="A586" s="25"/>
      <c r="B586" s="41"/>
      <c r="C586" s="41"/>
      <c r="D586" s="42"/>
      <c r="E586" s="2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">
      <c r="A587" s="25"/>
      <c r="B587" s="41"/>
      <c r="C587" s="41"/>
      <c r="D587" s="42"/>
      <c r="E587" s="2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">
      <c r="A588" s="25"/>
      <c r="B588" s="41"/>
      <c r="C588" s="41"/>
      <c r="D588" s="42"/>
      <c r="E588" s="2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">
      <c r="A589" s="25"/>
      <c r="B589" s="41"/>
      <c r="C589" s="41"/>
      <c r="D589" s="42"/>
      <c r="E589" s="2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">
      <c r="A590" s="25"/>
      <c r="B590" s="41"/>
      <c r="C590" s="41"/>
      <c r="D590" s="42"/>
      <c r="E590" s="2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">
      <c r="A591" s="25"/>
      <c r="B591" s="41"/>
      <c r="C591" s="41"/>
      <c r="D591" s="42"/>
      <c r="E591" s="2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">
      <c r="A592" s="25"/>
      <c r="B592" s="41"/>
      <c r="C592" s="41"/>
      <c r="D592" s="42"/>
      <c r="E592" s="2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">
      <c r="A593" s="25"/>
      <c r="B593" s="41"/>
      <c r="C593" s="41"/>
      <c r="D593" s="42"/>
      <c r="E593" s="2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">
      <c r="A594" s="25"/>
      <c r="B594" s="41"/>
      <c r="C594" s="41"/>
      <c r="D594" s="42"/>
      <c r="E594" s="2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">
      <c r="A595" s="25"/>
      <c r="B595" s="41"/>
      <c r="C595" s="41"/>
      <c r="D595" s="42"/>
      <c r="E595" s="2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">
      <c r="A596" s="25"/>
      <c r="B596" s="41"/>
      <c r="C596" s="41"/>
      <c r="D596" s="42"/>
      <c r="E596" s="2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">
      <c r="A597" s="25"/>
      <c r="B597" s="41"/>
      <c r="C597" s="41"/>
      <c r="D597" s="42"/>
      <c r="E597" s="2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">
      <c r="A598" s="25"/>
      <c r="B598" s="41"/>
      <c r="C598" s="41"/>
      <c r="D598" s="42"/>
      <c r="E598" s="2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">
      <c r="A599" s="25"/>
      <c r="B599" s="41"/>
      <c r="C599" s="41"/>
      <c r="D599" s="42"/>
      <c r="E599" s="2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">
      <c r="A600" s="25"/>
      <c r="B600" s="41"/>
      <c r="C600" s="41"/>
      <c r="D600" s="42"/>
      <c r="E600" s="2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">
      <c r="A601" s="25"/>
      <c r="B601" s="41"/>
      <c r="C601" s="41"/>
      <c r="D601" s="42"/>
      <c r="E601" s="2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">
      <c r="A602" s="25"/>
      <c r="B602" s="41"/>
      <c r="C602" s="41"/>
      <c r="D602" s="42"/>
      <c r="E602" s="2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">
      <c r="A603" s="25"/>
      <c r="B603" s="41"/>
      <c r="C603" s="41"/>
      <c r="D603" s="42"/>
      <c r="E603" s="2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">
      <c r="A604" s="25"/>
      <c r="B604" s="41"/>
      <c r="C604" s="41"/>
      <c r="D604" s="42"/>
      <c r="E604" s="2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">
      <c r="A605" s="25"/>
      <c r="B605" s="41"/>
      <c r="C605" s="41"/>
      <c r="D605" s="42"/>
      <c r="E605" s="2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">
      <c r="A606" s="25"/>
      <c r="B606" s="41"/>
      <c r="C606" s="41"/>
      <c r="D606" s="42"/>
      <c r="E606" s="2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">
      <c r="A607" s="25"/>
      <c r="B607" s="41"/>
      <c r="C607" s="41"/>
      <c r="D607" s="42"/>
      <c r="E607" s="2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">
      <c r="A608" s="25"/>
      <c r="B608" s="41"/>
      <c r="C608" s="41"/>
      <c r="D608" s="42"/>
      <c r="E608" s="2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">
      <c r="A609" s="25"/>
      <c r="B609" s="41"/>
      <c r="C609" s="41"/>
      <c r="D609" s="42"/>
      <c r="E609" s="2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">
      <c r="A610" s="25"/>
      <c r="B610" s="41"/>
      <c r="C610" s="41"/>
      <c r="D610" s="42"/>
      <c r="E610" s="2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">
      <c r="A611" s="25"/>
      <c r="B611" s="41"/>
      <c r="C611" s="41"/>
      <c r="D611" s="42"/>
      <c r="E611" s="2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">
      <c r="A612" s="25"/>
      <c r="B612" s="41"/>
      <c r="C612" s="41"/>
      <c r="D612" s="42"/>
      <c r="E612" s="2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">
      <c r="A613" s="25"/>
      <c r="B613" s="41"/>
      <c r="C613" s="41"/>
      <c r="D613" s="42"/>
      <c r="E613" s="2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">
      <c r="A614" s="25"/>
      <c r="B614" s="41"/>
      <c r="C614" s="41"/>
      <c r="D614" s="42"/>
      <c r="E614" s="2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">
      <c r="A615" s="25"/>
      <c r="B615" s="41"/>
      <c r="C615" s="41"/>
      <c r="D615" s="42"/>
      <c r="E615" s="2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">
      <c r="A616" s="25"/>
      <c r="B616" s="41"/>
      <c r="C616" s="41"/>
      <c r="D616" s="42"/>
      <c r="E616" s="2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">
      <c r="A617" s="25"/>
      <c r="B617" s="41"/>
      <c r="C617" s="41"/>
      <c r="D617" s="42"/>
      <c r="E617" s="2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">
      <c r="A618" s="25"/>
      <c r="B618" s="41"/>
      <c r="C618" s="41"/>
      <c r="D618" s="42"/>
      <c r="E618" s="2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">
      <c r="A619" s="25"/>
      <c r="B619" s="41"/>
      <c r="C619" s="41"/>
      <c r="D619" s="42"/>
      <c r="E619" s="2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">
      <c r="A620" s="25"/>
      <c r="B620" s="41"/>
      <c r="C620" s="41"/>
      <c r="D620" s="42"/>
      <c r="E620" s="2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">
      <c r="A621" s="25"/>
      <c r="B621" s="41"/>
      <c r="C621" s="41"/>
      <c r="D621" s="42"/>
      <c r="E621" s="2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">
      <c r="A622" s="25"/>
      <c r="B622" s="41"/>
      <c r="C622" s="41"/>
      <c r="D622" s="42"/>
      <c r="E622" s="2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">
      <c r="A623" s="25"/>
      <c r="B623" s="41"/>
      <c r="C623" s="41"/>
      <c r="D623" s="42"/>
      <c r="E623" s="2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">
      <c r="A624" s="25"/>
      <c r="B624" s="41"/>
      <c r="C624" s="41"/>
      <c r="D624" s="42"/>
      <c r="E624" s="2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">
      <c r="A625" s="25"/>
      <c r="B625" s="41"/>
      <c r="C625" s="41"/>
      <c r="D625" s="42"/>
      <c r="E625" s="2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">
      <c r="A626" s="25"/>
      <c r="B626" s="41"/>
      <c r="C626" s="41"/>
      <c r="D626" s="42"/>
      <c r="E626" s="2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">
      <c r="A627" s="25"/>
      <c r="B627" s="41"/>
      <c r="C627" s="41"/>
      <c r="D627" s="42"/>
      <c r="E627" s="2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">
      <c r="A628" s="25"/>
      <c r="B628" s="41"/>
      <c r="C628" s="41"/>
      <c r="D628" s="42"/>
      <c r="E628" s="2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">
      <c r="A629" s="25"/>
      <c r="B629" s="41"/>
      <c r="C629" s="41"/>
      <c r="D629" s="42"/>
      <c r="E629" s="2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">
      <c r="A630" s="25"/>
      <c r="B630" s="41"/>
      <c r="C630" s="41"/>
      <c r="D630" s="42"/>
      <c r="E630" s="2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">
      <c r="A631" s="25"/>
      <c r="B631" s="41"/>
      <c r="C631" s="41"/>
      <c r="D631" s="42"/>
      <c r="E631" s="2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">
      <c r="A632" s="25"/>
      <c r="B632" s="41"/>
      <c r="C632" s="41"/>
      <c r="D632" s="42"/>
      <c r="E632" s="2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">
      <c r="A633" s="25"/>
      <c r="B633" s="41"/>
      <c r="C633" s="41"/>
      <c r="D633" s="42"/>
      <c r="E633" s="2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">
      <c r="A634" s="25"/>
      <c r="B634" s="41"/>
      <c r="C634" s="41"/>
      <c r="D634" s="42"/>
      <c r="E634" s="2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">
      <c r="A635" s="25"/>
      <c r="B635" s="41"/>
      <c r="C635" s="41"/>
      <c r="D635" s="42"/>
      <c r="E635" s="2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">
      <c r="A636" s="25"/>
      <c r="B636" s="41"/>
      <c r="C636" s="41"/>
      <c r="D636" s="42"/>
      <c r="E636" s="2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">
      <c r="A637" s="25"/>
      <c r="B637" s="41"/>
      <c r="C637" s="41"/>
      <c r="D637" s="42"/>
      <c r="E637" s="2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">
      <c r="A638" s="25"/>
      <c r="B638" s="41"/>
      <c r="C638" s="41"/>
      <c r="D638" s="42"/>
      <c r="E638" s="2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">
      <c r="A639" s="25"/>
      <c r="B639" s="41"/>
      <c r="C639" s="41"/>
      <c r="D639" s="42"/>
      <c r="E639" s="2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">
      <c r="A640" s="25"/>
      <c r="B640" s="41"/>
      <c r="C640" s="41"/>
      <c r="D640" s="42"/>
      <c r="E640" s="2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">
      <c r="A641" s="25"/>
      <c r="B641" s="41"/>
      <c r="C641" s="41"/>
      <c r="D641" s="42"/>
      <c r="E641" s="2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">
      <c r="A642" s="25"/>
      <c r="B642" s="41"/>
      <c r="C642" s="41"/>
      <c r="D642" s="42"/>
      <c r="E642" s="2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">
      <c r="A643" s="25"/>
      <c r="B643" s="41"/>
      <c r="C643" s="41"/>
      <c r="D643" s="42"/>
      <c r="E643" s="2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">
      <c r="A644" s="25"/>
      <c r="B644" s="41"/>
      <c r="C644" s="41"/>
      <c r="D644" s="42"/>
      <c r="E644" s="2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">
      <c r="A645" s="25"/>
      <c r="B645" s="41"/>
      <c r="C645" s="41"/>
      <c r="D645" s="42"/>
      <c r="E645" s="2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">
      <c r="A646" s="25"/>
      <c r="B646" s="41"/>
      <c r="C646" s="41"/>
      <c r="D646" s="42"/>
      <c r="E646" s="2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">
      <c r="A647" s="25"/>
      <c r="B647" s="41"/>
      <c r="C647" s="41"/>
      <c r="D647" s="42"/>
      <c r="E647" s="2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">
      <c r="A648" s="25"/>
      <c r="B648" s="41"/>
      <c r="C648" s="41"/>
      <c r="D648" s="42"/>
      <c r="E648" s="2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">
      <c r="A649" s="25"/>
      <c r="B649" s="41"/>
      <c r="C649" s="41"/>
      <c r="D649" s="42"/>
      <c r="E649" s="2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">
      <c r="A650" s="25"/>
      <c r="B650" s="41"/>
      <c r="C650" s="41"/>
      <c r="D650" s="42"/>
      <c r="E650" s="2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">
      <c r="A651" s="25"/>
      <c r="B651" s="41"/>
      <c r="C651" s="41"/>
      <c r="D651" s="42"/>
      <c r="E651" s="2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">
      <c r="A652" s="25"/>
      <c r="B652" s="41"/>
      <c r="C652" s="41"/>
      <c r="D652" s="42"/>
      <c r="E652" s="2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">
      <c r="A653" s="25"/>
      <c r="B653" s="41"/>
      <c r="C653" s="41"/>
      <c r="D653" s="42"/>
      <c r="E653" s="2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">
      <c r="A654" s="25"/>
      <c r="B654" s="41"/>
      <c r="C654" s="41"/>
      <c r="D654" s="42"/>
      <c r="E654" s="2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">
      <c r="A655" s="25"/>
      <c r="B655" s="41"/>
      <c r="C655" s="41"/>
      <c r="D655" s="42"/>
      <c r="E655" s="2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">
      <c r="A656" s="25"/>
      <c r="B656" s="41"/>
      <c r="C656" s="41"/>
      <c r="D656" s="42"/>
      <c r="E656" s="2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">
      <c r="A657" s="25"/>
      <c r="B657" s="41"/>
      <c r="C657" s="41"/>
      <c r="D657" s="42"/>
      <c r="E657" s="2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">
      <c r="A658" s="25"/>
      <c r="B658" s="41"/>
      <c r="C658" s="41"/>
      <c r="D658" s="42"/>
      <c r="E658" s="2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">
      <c r="A659" s="25"/>
      <c r="B659" s="41"/>
      <c r="C659" s="41"/>
      <c r="D659" s="42"/>
      <c r="E659" s="2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">
      <c r="A660" s="25"/>
      <c r="B660" s="41"/>
      <c r="C660" s="41"/>
      <c r="D660" s="42"/>
      <c r="E660" s="2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">
      <c r="A661" s="25"/>
      <c r="B661" s="41"/>
      <c r="C661" s="41"/>
      <c r="D661" s="42"/>
      <c r="E661" s="2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">
      <c r="A662" s="25"/>
      <c r="B662" s="41"/>
      <c r="C662" s="41"/>
      <c r="D662" s="42"/>
      <c r="E662" s="2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">
      <c r="A663" s="25"/>
      <c r="B663" s="41"/>
      <c r="C663" s="41"/>
      <c r="D663" s="42"/>
      <c r="E663" s="2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">
      <c r="A664" s="25"/>
      <c r="B664" s="41"/>
      <c r="C664" s="41"/>
      <c r="D664" s="42"/>
      <c r="E664" s="2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">
      <c r="A665" s="25"/>
      <c r="B665" s="41"/>
      <c r="C665" s="41"/>
      <c r="D665" s="42"/>
      <c r="E665" s="2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">
      <c r="A666" s="25"/>
      <c r="B666" s="41"/>
      <c r="C666" s="41"/>
      <c r="D666" s="42"/>
      <c r="E666" s="2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">
      <c r="A667" s="25"/>
      <c r="B667" s="41"/>
      <c r="C667" s="41"/>
      <c r="D667" s="42"/>
      <c r="E667" s="2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">
      <c r="A668" s="25"/>
      <c r="B668" s="41"/>
      <c r="C668" s="41"/>
      <c r="D668" s="42"/>
      <c r="E668" s="2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">
      <c r="A669" s="25"/>
      <c r="B669" s="41"/>
      <c r="C669" s="41"/>
      <c r="D669" s="42"/>
      <c r="E669" s="2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">
      <c r="A670" s="25"/>
      <c r="B670" s="41"/>
      <c r="C670" s="41"/>
      <c r="D670" s="42"/>
      <c r="E670" s="2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">
      <c r="A671" s="25"/>
      <c r="B671" s="41"/>
      <c r="C671" s="41"/>
      <c r="D671" s="42"/>
      <c r="E671" s="2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">
      <c r="A672" s="25"/>
      <c r="B672" s="41"/>
      <c r="C672" s="41"/>
      <c r="D672" s="42"/>
      <c r="E672" s="2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">
      <c r="A673" s="25"/>
      <c r="B673" s="41"/>
      <c r="C673" s="41"/>
      <c r="D673" s="42"/>
      <c r="E673" s="2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">
      <c r="A674" s="25"/>
      <c r="B674" s="41"/>
      <c r="C674" s="41"/>
      <c r="D674" s="42"/>
      <c r="E674" s="2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">
      <c r="A675" s="25"/>
      <c r="B675" s="41"/>
      <c r="C675" s="41"/>
      <c r="D675" s="42"/>
      <c r="E675" s="2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">
      <c r="A676" s="25"/>
      <c r="B676" s="41"/>
      <c r="C676" s="41"/>
      <c r="D676" s="42"/>
      <c r="E676" s="2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">
      <c r="A677" s="25"/>
      <c r="B677" s="41"/>
      <c r="C677" s="41"/>
      <c r="D677" s="42"/>
      <c r="E677" s="2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">
      <c r="A678" s="25"/>
      <c r="B678" s="41"/>
      <c r="C678" s="41"/>
      <c r="D678" s="42"/>
      <c r="E678" s="2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">
      <c r="A679" s="25"/>
      <c r="B679" s="41"/>
      <c r="C679" s="41"/>
      <c r="D679" s="42"/>
      <c r="E679" s="2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">
      <c r="A680" s="25"/>
      <c r="B680" s="41"/>
      <c r="C680" s="41"/>
      <c r="D680" s="42"/>
      <c r="E680" s="2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">
      <c r="A681" s="25"/>
      <c r="B681" s="41"/>
      <c r="C681" s="41"/>
      <c r="D681" s="42"/>
      <c r="E681" s="2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">
      <c r="A682" s="25"/>
      <c r="B682" s="41"/>
      <c r="C682" s="41"/>
      <c r="D682" s="42"/>
      <c r="E682" s="2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">
      <c r="A683" s="25"/>
      <c r="B683" s="41"/>
      <c r="C683" s="41"/>
      <c r="D683" s="42"/>
      <c r="E683" s="2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">
      <c r="A684" s="25"/>
      <c r="B684" s="41"/>
      <c r="C684" s="41"/>
      <c r="D684" s="42"/>
      <c r="E684" s="2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">
      <c r="A685" s="25"/>
      <c r="B685" s="41"/>
      <c r="C685" s="41"/>
      <c r="D685" s="42"/>
      <c r="E685" s="2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">
      <c r="A686" s="25"/>
      <c r="B686" s="41"/>
      <c r="C686" s="41"/>
      <c r="D686" s="42"/>
      <c r="E686" s="2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">
      <c r="A687" s="25"/>
      <c r="B687" s="41"/>
      <c r="C687" s="41"/>
      <c r="D687" s="42"/>
      <c r="E687" s="2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">
      <c r="A688" s="25"/>
      <c r="B688" s="41"/>
      <c r="C688" s="41"/>
      <c r="D688" s="42"/>
      <c r="E688" s="2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">
      <c r="A689" s="25"/>
      <c r="B689" s="41"/>
      <c r="C689" s="41"/>
      <c r="D689" s="42"/>
      <c r="E689" s="2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">
      <c r="A690" s="25"/>
      <c r="B690" s="41"/>
      <c r="C690" s="41"/>
      <c r="D690" s="42"/>
      <c r="E690" s="2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">
      <c r="A691" s="25"/>
      <c r="B691" s="41"/>
      <c r="C691" s="41"/>
      <c r="D691" s="42"/>
      <c r="E691" s="2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">
      <c r="A692" s="25"/>
      <c r="B692" s="41"/>
      <c r="C692" s="41"/>
      <c r="D692" s="42"/>
      <c r="E692" s="2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">
      <c r="A693" s="25"/>
      <c r="B693" s="41"/>
      <c r="C693" s="41"/>
      <c r="D693" s="42"/>
      <c r="E693" s="2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">
      <c r="A694" s="25"/>
      <c r="B694" s="41"/>
      <c r="C694" s="41"/>
      <c r="D694" s="42"/>
      <c r="E694" s="2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">
      <c r="A695" s="25"/>
      <c r="B695" s="41"/>
      <c r="C695" s="41"/>
      <c r="D695" s="42"/>
      <c r="E695" s="2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">
      <c r="A696" s="25"/>
      <c r="B696" s="41"/>
      <c r="C696" s="41"/>
      <c r="D696" s="42"/>
      <c r="E696" s="2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">
      <c r="A697" s="25"/>
      <c r="B697" s="41"/>
      <c r="C697" s="41"/>
      <c r="D697" s="42"/>
      <c r="E697" s="2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">
      <c r="A698" s="25"/>
      <c r="B698" s="41"/>
      <c r="C698" s="41"/>
      <c r="D698" s="42"/>
      <c r="E698" s="2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">
      <c r="A699" s="25"/>
      <c r="B699" s="41"/>
      <c r="C699" s="41"/>
      <c r="D699" s="42"/>
      <c r="E699" s="2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">
      <c r="A700" s="25"/>
      <c r="B700" s="41"/>
      <c r="C700" s="41"/>
      <c r="D700" s="42"/>
      <c r="E700" s="2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">
      <c r="A701" s="25"/>
      <c r="B701" s="41"/>
      <c r="C701" s="41"/>
      <c r="D701" s="42"/>
      <c r="E701" s="2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">
      <c r="A702" s="25"/>
      <c r="B702" s="41"/>
      <c r="C702" s="41"/>
      <c r="D702" s="42"/>
      <c r="E702" s="2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">
      <c r="A703" s="25"/>
      <c r="B703" s="41"/>
      <c r="C703" s="41"/>
      <c r="D703" s="42"/>
      <c r="E703" s="2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">
      <c r="A704" s="25"/>
      <c r="B704" s="41"/>
      <c r="C704" s="41"/>
      <c r="D704" s="42"/>
      <c r="E704" s="2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">
      <c r="A705" s="25"/>
      <c r="B705" s="41"/>
      <c r="C705" s="41"/>
      <c r="D705" s="42"/>
      <c r="E705" s="2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">
      <c r="A706" s="25"/>
      <c r="B706" s="41"/>
      <c r="C706" s="41"/>
      <c r="D706" s="42"/>
      <c r="E706" s="2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">
      <c r="A707" s="25"/>
      <c r="B707" s="41"/>
      <c r="C707" s="41"/>
      <c r="D707" s="42"/>
      <c r="E707" s="2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">
      <c r="A708" s="25"/>
      <c r="B708" s="41"/>
      <c r="C708" s="41"/>
      <c r="D708" s="42"/>
      <c r="E708" s="2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">
      <c r="A709" s="25"/>
      <c r="B709" s="41"/>
      <c r="C709" s="41"/>
      <c r="D709" s="42"/>
      <c r="E709" s="2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">
      <c r="A710" s="25"/>
      <c r="B710" s="41"/>
      <c r="C710" s="41"/>
      <c r="D710" s="42"/>
      <c r="E710" s="2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">
      <c r="A711" s="25"/>
      <c r="B711" s="41"/>
      <c r="C711" s="41"/>
      <c r="D711" s="42"/>
      <c r="E711" s="2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">
      <c r="A712" s="25"/>
      <c r="B712" s="41"/>
      <c r="C712" s="41"/>
      <c r="D712" s="42"/>
      <c r="E712" s="2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">
      <c r="A713" s="25"/>
      <c r="B713" s="41"/>
      <c r="C713" s="41"/>
      <c r="D713" s="42"/>
      <c r="E713" s="2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">
      <c r="A714" s="25"/>
      <c r="B714" s="41"/>
      <c r="C714" s="41"/>
      <c r="D714" s="42"/>
      <c r="E714" s="2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">
      <c r="A715" s="25"/>
      <c r="B715" s="41"/>
      <c r="C715" s="41"/>
      <c r="D715" s="42"/>
      <c r="E715" s="2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">
      <c r="A716" s="25"/>
      <c r="B716" s="41"/>
      <c r="C716" s="41"/>
      <c r="D716" s="42"/>
      <c r="E716" s="2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">
      <c r="A717" s="25"/>
      <c r="B717" s="41"/>
      <c r="C717" s="41"/>
      <c r="D717" s="42"/>
      <c r="E717" s="2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">
      <c r="A718" s="25"/>
      <c r="B718" s="41"/>
      <c r="C718" s="41"/>
      <c r="D718" s="42"/>
      <c r="E718" s="2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">
      <c r="A719" s="25"/>
      <c r="B719" s="41"/>
      <c r="C719" s="41"/>
      <c r="D719" s="42"/>
      <c r="E719" s="2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">
      <c r="A720" s="25"/>
      <c r="B720" s="41"/>
      <c r="C720" s="41"/>
      <c r="D720" s="42"/>
      <c r="E720" s="2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">
      <c r="A721" s="25"/>
      <c r="B721" s="41"/>
      <c r="C721" s="41"/>
      <c r="D721" s="42"/>
      <c r="E721" s="2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">
      <c r="A722" s="25"/>
      <c r="B722" s="41"/>
      <c r="C722" s="41"/>
      <c r="D722" s="42"/>
      <c r="E722" s="2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">
      <c r="A723" s="25"/>
      <c r="B723" s="41"/>
      <c r="C723" s="41"/>
      <c r="D723" s="42"/>
      <c r="E723" s="2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">
      <c r="A724" s="25"/>
      <c r="B724" s="41"/>
      <c r="C724" s="41"/>
      <c r="D724" s="42"/>
      <c r="E724" s="2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">
      <c r="A725" s="25"/>
      <c r="B725" s="41"/>
      <c r="C725" s="41"/>
      <c r="D725" s="42"/>
      <c r="E725" s="2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">
      <c r="A726" s="25"/>
      <c r="B726" s="41"/>
      <c r="C726" s="41"/>
      <c r="D726" s="42"/>
      <c r="E726" s="2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">
      <c r="A727" s="25"/>
      <c r="B727" s="41"/>
      <c r="C727" s="41"/>
      <c r="D727" s="42"/>
      <c r="E727" s="2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">
      <c r="A728" s="25"/>
      <c r="B728" s="41"/>
      <c r="C728" s="41"/>
      <c r="D728" s="42"/>
      <c r="E728" s="2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">
      <c r="A729" s="25"/>
      <c r="B729" s="41"/>
      <c r="C729" s="41"/>
      <c r="D729" s="42"/>
      <c r="E729" s="2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">
      <c r="A730" s="25"/>
      <c r="B730" s="41"/>
      <c r="C730" s="41"/>
      <c r="D730" s="42"/>
      <c r="E730" s="2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">
      <c r="A731" s="25"/>
      <c r="B731" s="41"/>
      <c r="C731" s="41"/>
      <c r="D731" s="42"/>
      <c r="E731" s="2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">
      <c r="A732" s="25"/>
      <c r="B732" s="41"/>
      <c r="C732" s="41"/>
      <c r="D732" s="42"/>
      <c r="E732" s="2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">
      <c r="A733" s="25"/>
      <c r="B733" s="41"/>
      <c r="C733" s="41"/>
      <c r="D733" s="42"/>
      <c r="E733" s="2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">
      <c r="A734" s="25"/>
      <c r="B734" s="41"/>
      <c r="C734" s="41"/>
      <c r="D734" s="42"/>
      <c r="E734" s="2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">
      <c r="A735" s="25"/>
      <c r="B735" s="41"/>
      <c r="C735" s="41"/>
      <c r="D735" s="42"/>
      <c r="E735" s="2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">
      <c r="A736" s="25"/>
      <c r="B736" s="41"/>
      <c r="C736" s="41"/>
      <c r="D736" s="42"/>
      <c r="E736" s="2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">
      <c r="A737" s="25"/>
      <c r="B737" s="41"/>
      <c r="C737" s="41"/>
      <c r="D737" s="42"/>
      <c r="E737" s="2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">
      <c r="A738" s="25"/>
      <c r="B738" s="41"/>
      <c r="C738" s="41"/>
      <c r="D738" s="42"/>
      <c r="E738" s="2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">
      <c r="A739" s="25"/>
      <c r="B739" s="41"/>
      <c r="C739" s="41"/>
      <c r="D739" s="42"/>
      <c r="E739" s="2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">
      <c r="A740" s="25"/>
      <c r="B740" s="41"/>
      <c r="C740" s="41"/>
      <c r="D740" s="42"/>
      <c r="E740" s="2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">
      <c r="A741" s="25"/>
      <c r="B741" s="41"/>
      <c r="C741" s="41"/>
      <c r="D741" s="42"/>
      <c r="E741" s="2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">
      <c r="A742" s="25"/>
      <c r="B742" s="41"/>
      <c r="C742" s="41"/>
      <c r="D742" s="42"/>
      <c r="E742" s="2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">
      <c r="A743" s="25"/>
      <c r="B743" s="41"/>
      <c r="C743" s="41"/>
      <c r="D743" s="42"/>
      <c r="E743" s="2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">
      <c r="A744" s="25"/>
      <c r="B744" s="41"/>
      <c r="C744" s="41"/>
      <c r="D744" s="42"/>
      <c r="E744" s="2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">
      <c r="A745" s="25"/>
      <c r="B745" s="41"/>
      <c r="C745" s="41"/>
      <c r="D745" s="42"/>
      <c r="E745" s="2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">
      <c r="A746" s="25"/>
      <c r="B746" s="41"/>
      <c r="C746" s="41"/>
      <c r="D746" s="42"/>
      <c r="E746" s="2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">
      <c r="A747" s="25"/>
      <c r="B747" s="41"/>
      <c r="C747" s="41"/>
      <c r="D747" s="42"/>
      <c r="E747" s="2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">
      <c r="A748" s="25"/>
      <c r="B748" s="41"/>
      <c r="C748" s="41"/>
      <c r="D748" s="42"/>
      <c r="E748" s="2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">
      <c r="A749" s="25"/>
      <c r="B749" s="41"/>
      <c r="C749" s="41"/>
      <c r="D749" s="42"/>
      <c r="E749" s="2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">
      <c r="A750" s="25"/>
      <c r="B750" s="41"/>
      <c r="C750" s="41"/>
      <c r="D750" s="42"/>
      <c r="E750" s="2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">
      <c r="A751" s="25"/>
      <c r="B751" s="41"/>
      <c r="C751" s="41"/>
      <c r="D751" s="42"/>
      <c r="E751" s="2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">
      <c r="A752" s="25"/>
      <c r="B752" s="41"/>
      <c r="C752" s="41"/>
      <c r="D752" s="42"/>
      <c r="E752" s="2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">
      <c r="A753" s="25"/>
      <c r="B753" s="41"/>
      <c r="C753" s="41"/>
      <c r="D753" s="42"/>
      <c r="E753" s="2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">
      <c r="A754" s="25"/>
      <c r="B754" s="41"/>
      <c r="C754" s="41"/>
      <c r="D754" s="42"/>
      <c r="E754" s="2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">
      <c r="A755" s="25"/>
      <c r="B755" s="41"/>
      <c r="C755" s="41"/>
      <c r="D755" s="42"/>
      <c r="E755" s="2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">
      <c r="A756" s="25"/>
      <c r="B756" s="41"/>
      <c r="C756" s="41"/>
      <c r="D756" s="42"/>
      <c r="E756" s="2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">
      <c r="A757" s="25"/>
      <c r="B757" s="41"/>
      <c r="C757" s="41"/>
      <c r="D757" s="42"/>
      <c r="E757" s="2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">
      <c r="A758" s="25"/>
      <c r="B758" s="41"/>
      <c r="C758" s="41"/>
      <c r="D758" s="42"/>
      <c r="E758" s="2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">
      <c r="A759" s="25"/>
      <c r="B759" s="41"/>
      <c r="C759" s="41"/>
      <c r="D759" s="42"/>
      <c r="E759" s="2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">
      <c r="A760" s="25"/>
      <c r="B760" s="41"/>
      <c r="C760" s="41"/>
      <c r="D760" s="42"/>
      <c r="E760" s="2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">
      <c r="A761" s="25"/>
      <c r="B761" s="41"/>
      <c r="C761" s="41"/>
      <c r="D761" s="42"/>
      <c r="E761" s="2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">
      <c r="A762" s="25"/>
      <c r="B762" s="41"/>
      <c r="C762" s="41"/>
      <c r="D762" s="42"/>
      <c r="E762" s="2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">
      <c r="A763" s="25"/>
      <c r="B763" s="41"/>
      <c r="C763" s="41"/>
      <c r="D763" s="42"/>
      <c r="E763" s="2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">
      <c r="A764" s="25"/>
      <c r="B764" s="41"/>
      <c r="C764" s="41"/>
      <c r="D764" s="42"/>
      <c r="E764" s="2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">
      <c r="A765" s="25"/>
      <c r="B765" s="41"/>
      <c r="C765" s="41"/>
      <c r="D765" s="42"/>
      <c r="E765" s="2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">
      <c r="A766" s="25"/>
      <c r="B766" s="41"/>
      <c r="C766" s="41"/>
      <c r="D766" s="42"/>
      <c r="E766" s="2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">
      <c r="A767" s="25"/>
      <c r="B767" s="41"/>
      <c r="C767" s="41"/>
      <c r="D767" s="42"/>
      <c r="E767" s="2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">
      <c r="A768" s="25"/>
      <c r="B768" s="41"/>
      <c r="C768" s="41"/>
      <c r="D768" s="42"/>
      <c r="E768" s="2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">
      <c r="A769" s="25"/>
      <c r="B769" s="41"/>
      <c r="C769" s="41"/>
      <c r="D769" s="42"/>
      <c r="E769" s="2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">
      <c r="A770" s="25"/>
      <c r="B770" s="41"/>
      <c r="C770" s="41"/>
      <c r="D770" s="42"/>
      <c r="E770" s="2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">
      <c r="A771" s="25"/>
      <c r="B771" s="41"/>
      <c r="C771" s="41"/>
      <c r="D771" s="42"/>
      <c r="E771" s="2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">
      <c r="A772" s="25"/>
      <c r="B772" s="41"/>
      <c r="C772" s="41"/>
      <c r="D772" s="42"/>
      <c r="E772" s="2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">
      <c r="A773" s="25"/>
      <c r="B773" s="41"/>
      <c r="C773" s="41"/>
      <c r="D773" s="42"/>
      <c r="E773" s="2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">
      <c r="A774" s="25"/>
      <c r="B774" s="41"/>
      <c r="C774" s="41"/>
      <c r="D774" s="42"/>
      <c r="E774" s="2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">
      <c r="A775" s="25"/>
      <c r="B775" s="41"/>
      <c r="C775" s="41"/>
      <c r="D775" s="42"/>
      <c r="E775" s="2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">
      <c r="A776" s="25"/>
      <c r="B776" s="41"/>
      <c r="C776" s="41"/>
      <c r="D776" s="42"/>
      <c r="E776" s="2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">
      <c r="A777" s="25"/>
      <c r="B777" s="41"/>
      <c r="C777" s="41"/>
      <c r="D777" s="42"/>
      <c r="E777" s="2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">
      <c r="A778" s="25"/>
      <c r="B778" s="41"/>
      <c r="C778" s="41"/>
      <c r="D778" s="42"/>
      <c r="E778" s="2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">
      <c r="A779" s="25"/>
      <c r="B779" s="41"/>
      <c r="C779" s="41"/>
      <c r="D779" s="42"/>
      <c r="E779" s="2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">
      <c r="A780" s="25"/>
      <c r="B780" s="41"/>
      <c r="C780" s="41"/>
      <c r="D780" s="42"/>
      <c r="E780" s="2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">
      <c r="A781" s="25"/>
      <c r="B781" s="41"/>
      <c r="C781" s="41"/>
      <c r="D781" s="42"/>
      <c r="E781" s="2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">
      <c r="A782" s="25"/>
      <c r="B782" s="41"/>
      <c r="C782" s="41"/>
      <c r="D782" s="42"/>
      <c r="E782" s="2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">
      <c r="A783" s="25"/>
      <c r="B783" s="41"/>
      <c r="C783" s="41"/>
      <c r="D783" s="42"/>
      <c r="E783" s="2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">
      <c r="A784" s="25"/>
      <c r="B784" s="41"/>
      <c r="C784" s="41"/>
      <c r="D784" s="42"/>
      <c r="E784" s="2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">
      <c r="A785" s="25"/>
      <c r="B785" s="41"/>
      <c r="C785" s="41"/>
      <c r="D785" s="42"/>
      <c r="E785" s="2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">
      <c r="A786" s="25"/>
      <c r="B786" s="41"/>
      <c r="C786" s="41"/>
      <c r="D786" s="42"/>
      <c r="E786" s="2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">
      <c r="A787" s="25"/>
      <c r="B787" s="41"/>
      <c r="C787" s="41"/>
      <c r="D787" s="42"/>
      <c r="E787" s="2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">
      <c r="A788" s="25"/>
      <c r="B788" s="41"/>
      <c r="C788" s="41"/>
      <c r="D788" s="42"/>
      <c r="E788" s="2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">
      <c r="A789" s="25"/>
      <c r="B789" s="41"/>
      <c r="C789" s="41"/>
      <c r="D789" s="42"/>
      <c r="E789" s="2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">
      <c r="A790" s="25"/>
      <c r="B790" s="41"/>
      <c r="C790" s="41"/>
      <c r="D790" s="42"/>
      <c r="E790" s="2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">
      <c r="A791" s="25"/>
      <c r="B791" s="41"/>
      <c r="C791" s="41"/>
      <c r="D791" s="42"/>
      <c r="E791" s="2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">
      <c r="A792" s="25"/>
      <c r="B792" s="41"/>
      <c r="C792" s="41"/>
      <c r="D792" s="42"/>
      <c r="E792" s="2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">
      <c r="A793" s="25"/>
      <c r="B793" s="41"/>
      <c r="C793" s="41"/>
      <c r="D793" s="42"/>
      <c r="E793" s="2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">
      <c r="A794" s="25"/>
      <c r="B794" s="41"/>
      <c r="C794" s="41"/>
      <c r="D794" s="42"/>
      <c r="E794" s="2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">
      <c r="A795" s="25"/>
      <c r="B795" s="41"/>
      <c r="C795" s="41"/>
      <c r="D795" s="42"/>
      <c r="E795" s="2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">
      <c r="A796" s="25"/>
      <c r="B796" s="41"/>
      <c r="C796" s="41"/>
      <c r="D796" s="42"/>
      <c r="E796" s="2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">
      <c r="A797" s="25"/>
      <c r="B797" s="41"/>
      <c r="C797" s="41"/>
      <c r="D797" s="42"/>
      <c r="E797" s="2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">
      <c r="A798" s="25"/>
      <c r="B798" s="41"/>
      <c r="C798" s="41"/>
      <c r="D798" s="42"/>
      <c r="E798" s="2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">
      <c r="A799" s="25"/>
      <c r="B799" s="41"/>
      <c r="C799" s="41"/>
      <c r="D799" s="42"/>
      <c r="E799" s="2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">
      <c r="A800" s="25"/>
      <c r="B800" s="41"/>
      <c r="C800" s="41"/>
      <c r="D800" s="42"/>
      <c r="E800" s="2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">
      <c r="A801" s="25"/>
      <c r="B801" s="41"/>
      <c r="C801" s="41"/>
      <c r="D801" s="42"/>
      <c r="E801" s="2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">
      <c r="A802" s="25"/>
      <c r="B802" s="41"/>
      <c r="C802" s="41"/>
      <c r="D802" s="42"/>
      <c r="E802" s="2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">
      <c r="A803" s="25"/>
      <c r="B803" s="41"/>
      <c r="C803" s="41"/>
      <c r="D803" s="42"/>
      <c r="E803" s="2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">
      <c r="A804" s="25"/>
      <c r="B804" s="41"/>
      <c r="C804" s="41"/>
      <c r="D804" s="42"/>
      <c r="E804" s="2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">
      <c r="A805" s="25"/>
      <c r="B805" s="41"/>
      <c r="C805" s="41"/>
      <c r="D805" s="42"/>
      <c r="E805" s="2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">
      <c r="A806" s="25"/>
      <c r="B806" s="41"/>
      <c r="C806" s="41"/>
      <c r="D806" s="42"/>
      <c r="E806" s="2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">
      <c r="A807" s="25"/>
      <c r="B807" s="41"/>
      <c r="C807" s="41"/>
      <c r="D807" s="42"/>
      <c r="E807" s="2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">
      <c r="A808" s="25"/>
      <c r="B808" s="41"/>
      <c r="C808" s="41"/>
      <c r="D808" s="42"/>
      <c r="E808" s="2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">
      <c r="A809" s="25"/>
      <c r="B809" s="41"/>
      <c r="C809" s="41"/>
      <c r="D809" s="42"/>
      <c r="E809" s="2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">
      <c r="A810" s="25"/>
      <c r="B810" s="41"/>
      <c r="C810" s="41"/>
      <c r="D810" s="42"/>
      <c r="E810" s="2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">
      <c r="A811" s="25"/>
      <c r="B811" s="41"/>
      <c r="C811" s="41"/>
      <c r="D811" s="42"/>
      <c r="E811" s="2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">
      <c r="A812" s="25"/>
      <c r="B812" s="41"/>
      <c r="C812" s="41"/>
      <c r="D812" s="42"/>
      <c r="E812" s="2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">
      <c r="A813" s="25"/>
      <c r="B813" s="41"/>
      <c r="C813" s="41"/>
      <c r="D813" s="42"/>
      <c r="E813" s="2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">
      <c r="A814" s="25"/>
      <c r="B814" s="41"/>
      <c r="C814" s="41"/>
      <c r="D814" s="42"/>
      <c r="E814" s="2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">
      <c r="A815" s="25"/>
      <c r="B815" s="41"/>
      <c r="C815" s="41"/>
      <c r="D815" s="42"/>
      <c r="E815" s="2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">
      <c r="A816" s="25"/>
      <c r="B816" s="41"/>
      <c r="C816" s="41"/>
      <c r="D816" s="42"/>
      <c r="E816" s="2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">
      <c r="A817" s="25"/>
      <c r="B817" s="41"/>
      <c r="C817" s="41"/>
      <c r="D817" s="42"/>
      <c r="E817" s="2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">
      <c r="A818" s="25"/>
      <c r="B818" s="41"/>
      <c r="C818" s="41"/>
      <c r="D818" s="42"/>
      <c r="E818" s="2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">
      <c r="A819" s="25"/>
      <c r="B819" s="41"/>
      <c r="C819" s="41"/>
      <c r="D819" s="42"/>
      <c r="E819" s="2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">
      <c r="A820" s="25"/>
      <c r="B820" s="41"/>
      <c r="C820" s="41"/>
      <c r="D820" s="42"/>
      <c r="E820" s="2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">
      <c r="A821" s="25"/>
      <c r="B821" s="41"/>
      <c r="C821" s="41"/>
      <c r="D821" s="42"/>
      <c r="E821" s="2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">
      <c r="A822" s="25"/>
      <c r="B822" s="41"/>
      <c r="C822" s="41"/>
      <c r="D822" s="42"/>
      <c r="E822" s="2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">
      <c r="A823" s="25"/>
      <c r="B823" s="41"/>
      <c r="C823" s="41"/>
      <c r="D823" s="42"/>
      <c r="E823" s="2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">
      <c r="A824" s="25"/>
      <c r="B824" s="41"/>
      <c r="C824" s="41"/>
      <c r="D824" s="42"/>
      <c r="E824" s="2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">
      <c r="A825" s="25"/>
      <c r="B825" s="41"/>
      <c r="C825" s="41"/>
      <c r="D825" s="42"/>
      <c r="E825" s="2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">
      <c r="A826" s="25"/>
      <c r="B826" s="41"/>
      <c r="C826" s="41"/>
      <c r="D826" s="42"/>
      <c r="E826" s="2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">
      <c r="A827" s="25"/>
      <c r="B827" s="41"/>
      <c r="C827" s="41"/>
      <c r="D827" s="42"/>
      <c r="E827" s="2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">
      <c r="A828" s="25"/>
      <c r="B828" s="41"/>
      <c r="C828" s="41"/>
      <c r="D828" s="42"/>
      <c r="E828" s="2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">
      <c r="A829" s="25"/>
      <c r="B829" s="41"/>
      <c r="C829" s="41"/>
      <c r="D829" s="42"/>
      <c r="E829" s="2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">
      <c r="A830" s="25"/>
      <c r="B830" s="41"/>
      <c r="C830" s="41"/>
      <c r="D830" s="42"/>
      <c r="E830" s="2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">
      <c r="A831" s="25"/>
      <c r="B831" s="41"/>
      <c r="C831" s="41"/>
      <c r="D831" s="42"/>
      <c r="E831" s="2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">
      <c r="A832" s="25"/>
      <c r="B832" s="41"/>
      <c r="C832" s="41"/>
      <c r="D832" s="42"/>
      <c r="E832" s="2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">
      <c r="A833" s="25"/>
      <c r="B833" s="41"/>
      <c r="C833" s="41"/>
      <c r="D833" s="42"/>
      <c r="E833" s="2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">
      <c r="A834" s="25"/>
      <c r="B834" s="41"/>
      <c r="C834" s="41"/>
      <c r="D834" s="42"/>
      <c r="E834" s="2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">
      <c r="A835" s="25"/>
      <c r="B835" s="41"/>
      <c r="C835" s="41"/>
      <c r="D835" s="42"/>
      <c r="E835" s="2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">
      <c r="A836" s="25"/>
      <c r="B836" s="41"/>
      <c r="C836" s="41"/>
      <c r="D836" s="42"/>
      <c r="E836" s="2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">
      <c r="A837" s="25"/>
      <c r="B837" s="41"/>
      <c r="C837" s="41"/>
      <c r="D837" s="42"/>
      <c r="E837" s="2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">
      <c r="A838" s="25"/>
      <c r="B838" s="41"/>
      <c r="C838" s="41"/>
      <c r="D838" s="42"/>
      <c r="E838" s="2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">
      <c r="A839" s="25"/>
      <c r="B839" s="41"/>
      <c r="C839" s="41"/>
      <c r="D839" s="42"/>
      <c r="E839" s="2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">
      <c r="A840" s="25"/>
      <c r="B840" s="41"/>
      <c r="C840" s="41"/>
      <c r="D840" s="42"/>
      <c r="E840" s="2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">
      <c r="A841" s="25"/>
      <c r="B841" s="41"/>
      <c r="C841" s="41"/>
      <c r="D841" s="42"/>
      <c r="E841" s="2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">
      <c r="A842" s="25"/>
      <c r="B842" s="41"/>
      <c r="C842" s="41"/>
      <c r="D842" s="42"/>
      <c r="E842" s="2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">
      <c r="A843" s="25"/>
      <c r="B843" s="41"/>
      <c r="C843" s="41"/>
      <c r="D843" s="42"/>
      <c r="E843" s="2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">
      <c r="A844" s="25"/>
      <c r="B844" s="41"/>
      <c r="C844" s="41"/>
      <c r="D844" s="42"/>
      <c r="E844" s="2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">
      <c r="A845" s="25"/>
      <c r="B845" s="41"/>
      <c r="C845" s="41"/>
      <c r="D845" s="42"/>
      <c r="E845" s="2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">
      <c r="A846" s="25"/>
      <c r="B846" s="41"/>
      <c r="C846" s="41"/>
      <c r="D846" s="42"/>
      <c r="E846" s="2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">
      <c r="A847" s="25"/>
      <c r="B847" s="41"/>
      <c r="C847" s="41"/>
      <c r="D847" s="42"/>
      <c r="E847" s="2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">
      <c r="A848" s="25"/>
      <c r="B848" s="41"/>
      <c r="C848" s="41"/>
      <c r="D848" s="42"/>
      <c r="E848" s="2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">
      <c r="A849" s="25"/>
      <c r="B849" s="41"/>
      <c r="C849" s="41"/>
      <c r="D849" s="42"/>
      <c r="E849" s="2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">
      <c r="A850" s="25"/>
      <c r="B850" s="41"/>
      <c r="C850" s="41"/>
      <c r="D850" s="42"/>
      <c r="E850" s="2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">
      <c r="A851" s="25"/>
      <c r="B851" s="41"/>
      <c r="C851" s="41"/>
      <c r="D851" s="42"/>
      <c r="E851" s="2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">
      <c r="A852" s="25"/>
      <c r="B852" s="41"/>
      <c r="C852" s="41"/>
      <c r="D852" s="42"/>
      <c r="E852" s="2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">
      <c r="A853" s="25"/>
      <c r="B853" s="41"/>
      <c r="C853" s="41"/>
      <c r="D853" s="42"/>
      <c r="E853" s="2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">
      <c r="A854" s="25"/>
      <c r="B854" s="41"/>
      <c r="C854" s="41"/>
      <c r="D854" s="42"/>
      <c r="E854" s="2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">
      <c r="A855" s="25"/>
      <c r="B855" s="41"/>
      <c r="C855" s="41"/>
      <c r="D855" s="42"/>
      <c r="E855" s="2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">
      <c r="A856" s="25"/>
      <c r="B856" s="41"/>
      <c r="C856" s="41"/>
      <c r="D856" s="42"/>
      <c r="E856" s="2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">
      <c r="A857" s="25"/>
      <c r="B857" s="41"/>
      <c r="C857" s="41"/>
      <c r="D857" s="42"/>
      <c r="E857" s="2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">
      <c r="A858" s="25"/>
      <c r="B858" s="41"/>
      <c r="C858" s="41"/>
      <c r="D858" s="42"/>
      <c r="E858" s="2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">
      <c r="A859" s="25"/>
      <c r="B859" s="41"/>
      <c r="C859" s="41"/>
      <c r="D859" s="42"/>
      <c r="E859" s="2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">
      <c r="A860" s="25"/>
      <c r="B860" s="41"/>
      <c r="C860" s="41"/>
      <c r="D860" s="42"/>
      <c r="E860" s="2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">
      <c r="A861" s="25"/>
      <c r="B861" s="41"/>
      <c r="C861" s="41"/>
      <c r="D861" s="42"/>
      <c r="E861" s="2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">
      <c r="A862" s="25"/>
      <c r="B862" s="41"/>
      <c r="C862" s="41"/>
      <c r="D862" s="42"/>
      <c r="E862" s="2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">
      <c r="A863" s="25"/>
      <c r="B863" s="41"/>
      <c r="C863" s="41"/>
      <c r="D863" s="42"/>
      <c r="E863" s="2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">
      <c r="A864" s="25"/>
      <c r="B864" s="41"/>
      <c r="C864" s="41"/>
      <c r="D864" s="42"/>
      <c r="E864" s="2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">
      <c r="A865" s="25"/>
      <c r="B865" s="41"/>
      <c r="C865" s="41"/>
      <c r="D865" s="42"/>
      <c r="E865" s="2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">
      <c r="A866" s="25"/>
      <c r="B866" s="41"/>
      <c r="C866" s="41"/>
      <c r="D866" s="42"/>
      <c r="E866" s="2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">
      <c r="A867" s="25"/>
      <c r="B867" s="41"/>
      <c r="C867" s="41"/>
      <c r="D867" s="42"/>
      <c r="E867" s="2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">
      <c r="A868" s="25"/>
      <c r="B868" s="41"/>
      <c r="C868" s="41"/>
      <c r="D868" s="42"/>
      <c r="E868" s="2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">
      <c r="A869" s="25"/>
      <c r="B869" s="41"/>
      <c r="C869" s="41"/>
      <c r="D869" s="42"/>
      <c r="E869" s="2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">
      <c r="A870" s="25"/>
      <c r="B870" s="41"/>
      <c r="C870" s="41"/>
      <c r="D870" s="42"/>
      <c r="E870" s="2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">
      <c r="A871" s="25"/>
      <c r="B871" s="41"/>
      <c r="C871" s="41"/>
      <c r="D871" s="42"/>
      <c r="E871" s="2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">
      <c r="A872" s="25"/>
      <c r="B872" s="41"/>
      <c r="C872" s="41"/>
      <c r="D872" s="42"/>
      <c r="E872" s="2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">
      <c r="A873" s="25"/>
      <c r="B873" s="41"/>
      <c r="C873" s="41"/>
      <c r="D873" s="42"/>
      <c r="E873" s="2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">
      <c r="A874" s="25"/>
      <c r="B874" s="41"/>
      <c r="C874" s="41"/>
      <c r="D874" s="42"/>
      <c r="E874" s="2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">
      <c r="A875" s="25"/>
      <c r="B875" s="41"/>
      <c r="C875" s="41"/>
      <c r="D875" s="42"/>
      <c r="E875" s="2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">
      <c r="A876" s="25"/>
      <c r="B876" s="41"/>
      <c r="C876" s="41"/>
      <c r="D876" s="42"/>
      <c r="E876" s="2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">
      <c r="A877" s="25"/>
      <c r="B877" s="41"/>
      <c r="C877" s="41"/>
      <c r="D877" s="42"/>
      <c r="E877" s="2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">
      <c r="A878" s="25"/>
      <c r="B878" s="41"/>
      <c r="C878" s="41"/>
      <c r="D878" s="42"/>
      <c r="E878" s="2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">
      <c r="A879" s="25"/>
      <c r="B879" s="41"/>
      <c r="C879" s="41"/>
      <c r="D879" s="42"/>
      <c r="E879" s="2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">
      <c r="A880" s="25"/>
      <c r="B880" s="41"/>
      <c r="C880" s="41"/>
      <c r="D880" s="42"/>
      <c r="E880" s="2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">
      <c r="A881" s="25"/>
      <c r="B881" s="41"/>
      <c r="C881" s="41"/>
      <c r="D881" s="42"/>
      <c r="E881" s="2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">
      <c r="A882" s="25"/>
      <c r="B882" s="41"/>
      <c r="C882" s="41"/>
      <c r="D882" s="42"/>
      <c r="E882" s="2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">
      <c r="A883" s="25"/>
      <c r="B883" s="41"/>
      <c r="C883" s="41"/>
      <c r="D883" s="42"/>
      <c r="E883" s="2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">
      <c r="A884" s="25"/>
      <c r="B884" s="41"/>
      <c r="C884" s="41"/>
      <c r="D884" s="42"/>
      <c r="E884" s="2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">
      <c r="A885" s="25"/>
      <c r="B885" s="41"/>
      <c r="C885" s="41"/>
      <c r="D885" s="42"/>
      <c r="E885" s="2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">
      <c r="A886" s="25"/>
      <c r="B886" s="41"/>
      <c r="C886" s="41"/>
      <c r="D886" s="42"/>
      <c r="E886" s="2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">
      <c r="A887" s="25"/>
      <c r="B887" s="41"/>
      <c r="C887" s="41"/>
      <c r="D887" s="42"/>
      <c r="E887" s="2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">
      <c r="A888" s="25"/>
      <c r="B888" s="41"/>
      <c r="C888" s="41"/>
      <c r="D888" s="42"/>
      <c r="E888" s="2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">
      <c r="A889" s="25"/>
      <c r="B889" s="41"/>
      <c r="C889" s="41"/>
      <c r="D889" s="42"/>
      <c r="E889" s="2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">
      <c r="A890" s="25"/>
      <c r="B890" s="41"/>
      <c r="C890" s="41"/>
      <c r="D890" s="42"/>
      <c r="E890" s="2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">
      <c r="A891" s="25"/>
      <c r="B891" s="41"/>
      <c r="C891" s="41"/>
      <c r="D891" s="42"/>
      <c r="E891" s="2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">
      <c r="A892" s="25"/>
      <c r="B892" s="41"/>
      <c r="C892" s="41"/>
      <c r="D892" s="42"/>
      <c r="E892" s="2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">
      <c r="A893" s="25"/>
      <c r="B893" s="41"/>
      <c r="C893" s="41"/>
      <c r="D893" s="42"/>
      <c r="E893" s="2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">
      <c r="A894" s="25"/>
      <c r="B894" s="41"/>
      <c r="C894" s="41"/>
      <c r="D894" s="42"/>
      <c r="E894" s="2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">
      <c r="A895" s="25"/>
      <c r="B895" s="41"/>
      <c r="C895" s="41"/>
      <c r="D895" s="42"/>
      <c r="E895" s="2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">
      <c r="A896" s="25"/>
      <c r="B896" s="41"/>
      <c r="C896" s="41"/>
      <c r="D896" s="42"/>
      <c r="E896" s="2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">
      <c r="A897" s="25"/>
      <c r="B897" s="41"/>
      <c r="C897" s="41"/>
      <c r="D897" s="42"/>
      <c r="E897" s="2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">
      <c r="A898" s="25"/>
      <c r="B898" s="41"/>
      <c r="C898" s="41"/>
      <c r="D898" s="42"/>
      <c r="E898" s="2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">
      <c r="A899" s="25"/>
      <c r="B899" s="41"/>
      <c r="C899" s="41"/>
      <c r="D899" s="42"/>
      <c r="E899" s="2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">
      <c r="A900" s="25"/>
      <c r="B900" s="41"/>
      <c r="C900" s="41"/>
      <c r="D900" s="42"/>
      <c r="E900" s="2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">
      <c r="A901" s="25"/>
      <c r="B901" s="41"/>
      <c r="C901" s="41"/>
      <c r="D901" s="42"/>
      <c r="E901" s="2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">
      <c r="A902" s="25"/>
      <c r="B902" s="41"/>
      <c r="C902" s="41"/>
      <c r="D902" s="42"/>
      <c r="E902" s="2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">
      <c r="A903" s="25"/>
      <c r="B903" s="41"/>
      <c r="C903" s="41"/>
      <c r="D903" s="42"/>
      <c r="E903" s="2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">
      <c r="A904" s="25"/>
      <c r="B904" s="41"/>
      <c r="C904" s="41"/>
      <c r="D904" s="42"/>
      <c r="E904" s="2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">
      <c r="A905" s="25"/>
      <c r="B905" s="41"/>
      <c r="C905" s="41"/>
      <c r="D905" s="42"/>
      <c r="E905" s="2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">
      <c r="A906" s="25"/>
      <c r="B906" s="41"/>
      <c r="C906" s="41"/>
      <c r="D906" s="42"/>
      <c r="E906" s="2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">
      <c r="A907" s="25"/>
      <c r="B907" s="41"/>
      <c r="C907" s="41"/>
      <c r="D907" s="42"/>
      <c r="E907" s="2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">
      <c r="A908" s="25"/>
      <c r="B908" s="41"/>
      <c r="C908" s="41"/>
      <c r="D908" s="42"/>
      <c r="E908" s="2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">
      <c r="A909" s="25"/>
      <c r="B909" s="41"/>
      <c r="C909" s="41"/>
      <c r="D909" s="42"/>
      <c r="E909" s="2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">
      <c r="A910" s="25"/>
      <c r="B910" s="41"/>
      <c r="C910" s="41"/>
      <c r="D910" s="42"/>
      <c r="E910" s="2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">
      <c r="A911" s="25"/>
      <c r="B911" s="41"/>
      <c r="C911" s="41"/>
      <c r="D911" s="42"/>
      <c r="E911" s="2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">
      <c r="A912" s="25"/>
      <c r="B912" s="41"/>
      <c r="C912" s="41"/>
      <c r="D912" s="42"/>
      <c r="E912" s="2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">
      <c r="A913" s="25"/>
      <c r="B913" s="41"/>
      <c r="C913" s="41"/>
      <c r="D913" s="42"/>
      <c r="E913" s="2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">
      <c r="A914" s="25"/>
      <c r="B914" s="41"/>
      <c r="C914" s="41"/>
      <c r="D914" s="42"/>
      <c r="E914" s="2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">
      <c r="A915" s="25"/>
      <c r="B915" s="41"/>
      <c r="C915" s="41"/>
      <c r="D915" s="42"/>
      <c r="E915" s="2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">
      <c r="A916" s="25"/>
      <c r="B916" s="41"/>
      <c r="C916" s="41"/>
      <c r="D916" s="42"/>
      <c r="E916" s="2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">
      <c r="A917" s="25"/>
      <c r="B917" s="41"/>
      <c r="C917" s="41"/>
      <c r="D917" s="42"/>
      <c r="E917" s="2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">
      <c r="A918" s="25"/>
      <c r="B918" s="41"/>
      <c r="C918" s="41"/>
      <c r="D918" s="42"/>
      <c r="E918" s="2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">
      <c r="A919" s="25"/>
      <c r="B919" s="41"/>
      <c r="C919" s="41"/>
      <c r="D919" s="42"/>
      <c r="E919" s="2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">
      <c r="A920" s="25"/>
      <c r="B920" s="41"/>
      <c r="C920" s="41"/>
      <c r="D920" s="42"/>
      <c r="E920" s="2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">
      <c r="A921" s="25"/>
      <c r="B921" s="41"/>
      <c r="C921" s="41"/>
      <c r="D921" s="42"/>
      <c r="E921" s="2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">
      <c r="A922" s="25"/>
      <c r="B922" s="41"/>
      <c r="C922" s="41"/>
      <c r="D922" s="42"/>
      <c r="E922" s="2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">
      <c r="A923" s="25"/>
      <c r="B923" s="41"/>
      <c r="C923" s="41"/>
      <c r="D923" s="42"/>
      <c r="E923" s="2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">
      <c r="A924" s="25"/>
      <c r="B924" s="41"/>
      <c r="C924" s="41"/>
      <c r="D924" s="42"/>
      <c r="E924" s="2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">
      <c r="A925" s="25"/>
      <c r="B925" s="41"/>
      <c r="C925" s="41"/>
      <c r="D925" s="42"/>
      <c r="E925" s="2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">
      <c r="A926" s="25"/>
      <c r="B926" s="41"/>
      <c r="C926" s="41"/>
      <c r="D926" s="42"/>
      <c r="E926" s="2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">
      <c r="A927" s="25"/>
      <c r="B927" s="41"/>
      <c r="C927" s="41"/>
      <c r="D927" s="42"/>
      <c r="E927" s="2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">
      <c r="A928" s="25"/>
      <c r="B928" s="41"/>
      <c r="C928" s="41"/>
      <c r="D928" s="42"/>
      <c r="E928" s="2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">
      <c r="A929" s="25"/>
      <c r="B929" s="41"/>
      <c r="C929" s="41"/>
      <c r="D929" s="42"/>
      <c r="E929" s="2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">
      <c r="A930" s="25"/>
      <c r="B930" s="41"/>
      <c r="C930" s="41"/>
      <c r="D930" s="42"/>
      <c r="E930" s="2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">
      <c r="A931" s="25"/>
      <c r="B931" s="41"/>
      <c r="C931" s="41"/>
      <c r="D931" s="42"/>
      <c r="E931" s="2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">
      <c r="A932" s="25"/>
      <c r="B932" s="41"/>
      <c r="C932" s="41"/>
      <c r="D932" s="42"/>
      <c r="E932" s="2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">
      <c r="A933" s="25"/>
      <c r="B933" s="41"/>
      <c r="C933" s="41"/>
      <c r="D933" s="42"/>
      <c r="E933" s="2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">
      <c r="A934" s="25"/>
      <c r="B934" s="41"/>
      <c r="C934" s="41"/>
      <c r="D934" s="42"/>
      <c r="E934" s="2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">
      <c r="A935" s="25"/>
      <c r="B935" s="41"/>
      <c r="C935" s="41"/>
      <c r="D935" s="42"/>
      <c r="E935" s="2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">
      <c r="A936" s="25"/>
      <c r="B936" s="41"/>
      <c r="C936" s="41"/>
      <c r="D936" s="42"/>
      <c r="E936" s="2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">
      <c r="A937" s="25"/>
      <c r="B937" s="41"/>
      <c r="C937" s="41"/>
      <c r="D937" s="42"/>
      <c r="E937" s="2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">
      <c r="A938" s="25"/>
      <c r="B938" s="41"/>
      <c r="C938" s="41"/>
      <c r="D938" s="42"/>
      <c r="E938" s="2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">
      <c r="A939" s="25"/>
      <c r="B939" s="41"/>
      <c r="C939" s="41"/>
      <c r="D939" s="42"/>
      <c r="E939" s="2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">
      <c r="A940" s="25"/>
      <c r="B940" s="41"/>
      <c r="C940" s="41"/>
      <c r="D940" s="42"/>
      <c r="E940" s="2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">
      <c r="A941" s="25"/>
      <c r="B941" s="41"/>
      <c r="C941" s="41"/>
      <c r="D941" s="42"/>
      <c r="E941" s="2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">
      <c r="A942" s="25"/>
      <c r="B942" s="41"/>
      <c r="C942" s="41"/>
      <c r="D942" s="42"/>
      <c r="E942" s="2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">
      <c r="A943" s="25"/>
      <c r="B943" s="41"/>
      <c r="C943" s="41"/>
      <c r="D943" s="42"/>
      <c r="E943" s="2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">
      <c r="A944" s="25"/>
      <c r="B944" s="41"/>
      <c r="C944" s="41"/>
      <c r="D944" s="42"/>
      <c r="E944" s="2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">
      <c r="A945" s="25"/>
      <c r="B945" s="41"/>
      <c r="C945" s="41"/>
      <c r="D945" s="42"/>
      <c r="E945" s="2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">
      <c r="A946" s="25"/>
      <c r="B946" s="41"/>
      <c r="C946" s="41"/>
      <c r="D946" s="42"/>
      <c r="E946" s="2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">
      <c r="A947" s="25"/>
      <c r="B947" s="41"/>
      <c r="C947" s="41"/>
      <c r="D947" s="42"/>
      <c r="E947" s="2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">
      <c r="A948" s="25"/>
      <c r="B948" s="41"/>
      <c r="C948" s="41"/>
      <c r="D948" s="42"/>
      <c r="E948" s="2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">
      <c r="A949" s="25"/>
      <c r="B949" s="41"/>
      <c r="C949" s="41"/>
      <c r="D949" s="42"/>
      <c r="E949" s="2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">
      <c r="A950" s="25"/>
      <c r="B950" s="41"/>
      <c r="C950" s="41"/>
      <c r="D950" s="42"/>
      <c r="E950" s="2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">
      <c r="A951" s="25"/>
      <c r="B951" s="41"/>
      <c r="C951" s="41"/>
      <c r="D951" s="42"/>
      <c r="E951" s="2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">
      <c r="A952" s="25"/>
      <c r="B952" s="41"/>
      <c r="C952" s="41"/>
      <c r="D952" s="42"/>
      <c r="E952" s="2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">
      <c r="A953" s="25"/>
      <c r="B953" s="41"/>
      <c r="C953" s="41"/>
      <c r="D953" s="42"/>
      <c r="E953" s="2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">
      <c r="A954" s="25"/>
      <c r="B954" s="41"/>
      <c r="C954" s="41"/>
      <c r="D954" s="42"/>
      <c r="E954" s="2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">
      <c r="A955" s="25"/>
      <c r="B955" s="41"/>
      <c r="C955" s="41"/>
      <c r="D955" s="42"/>
      <c r="E955" s="2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">
      <c r="A956" s="25"/>
      <c r="B956" s="41"/>
      <c r="C956" s="41"/>
      <c r="D956" s="42"/>
      <c r="E956" s="2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">
      <c r="A957" s="25"/>
      <c r="B957" s="41"/>
      <c r="C957" s="41"/>
      <c r="D957" s="42"/>
      <c r="E957" s="2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">
      <c r="A958" s="25"/>
      <c r="B958" s="41"/>
      <c r="C958" s="41"/>
      <c r="D958" s="42"/>
      <c r="E958" s="2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">
      <c r="A959" s="25"/>
      <c r="B959" s="41"/>
      <c r="C959" s="41"/>
      <c r="D959" s="42"/>
      <c r="E959" s="2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">
      <c r="A960" s="25"/>
      <c r="B960" s="41"/>
      <c r="C960" s="41"/>
      <c r="D960" s="42"/>
      <c r="E960" s="2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">
      <c r="A961" s="25"/>
      <c r="B961" s="41"/>
      <c r="C961" s="41"/>
      <c r="D961" s="42"/>
      <c r="E961" s="2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">
      <c r="A962" s="25"/>
      <c r="B962" s="41"/>
      <c r="C962" s="41"/>
      <c r="D962" s="42"/>
      <c r="E962" s="2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">
      <c r="A963" s="25"/>
      <c r="B963" s="41"/>
      <c r="C963" s="41"/>
      <c r="D963" s="42"/>
      <c r="E963" s="2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">
      <c r="A964" s="25"/>
      <c r="B964" s="41"/>
      <c r="C964" s="41"/>
      <c r="D964" s="42"/>
      <c r="E964" s="2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">
      <c r="A965" s="25"/>
      <c r="B965" s="41"/>
      <c r="C965" s="41"/>
      <c r="D965" s="42"/>
      <c r="E965" s="2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">
      <c r="A966" s="25"/>
      <c r="B966" s="41"/>
      <c r="C966" s="41"/>
      <c r="D966" s="42"/>
      <c r="E966" s="2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">
      <c r="A967" s="25"/>
      <c r="B967" s="41"/>
      <c r="C967" s="41"/>
      <c r="D967" s="42"/>
      <c r="E967" s="2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">
      <c r="A968" s="25"/>
      <c r="B968" s="41"/>
      <c r="C968" s="41"/>
      <c r="D968" s="42"/>
      <c r="E968" s="2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">
      <c r="A969" s="25"/>
      <c r="B969" s="41"/>
      <c r="C969" s="41"/>
      <c r="D969" s="42"/>
      <c r="E969" s="2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">
      <c r="A970" s="25"/>
      <c r="B970" s="41"/>
      <c r="C970" s="41"/>
      <c r="D970" s="42"/>
      <c r="E970" s="2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">
      <c r="A971" s="25"/>
      <c r="B971" s="41"/>
      <c r="C971" s="41"/>
      <c r="D971" s="42"/>
      <c r="E971" s="2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">
      <c r="A972" s="25"/>
      <c r="B972" s="41"/>
      <c r="C972" s="41"/>
      <c r="D972" s="42"/>
      <c r="E972" s="2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">
      <c r="A973" s="25"/>
      <c r="B973" s="41"/>
      <c r="C973" s="41"/>
      <c r="D973" s="42"/>
      <c r="E973" s="2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">
      <c r="A974" s="25"/>
      <c r="B974" s="41"/>
      <c r="C974" s="41"/>
      <c r="D974" s="42"/>
      <c r="E974" s="2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">
      <c r="A975" s="25"/>
      <c r="B975" s="41"/>
      <c r="C975" s="41"/>
      <c r="D975" s="42"/>
      <c r="E975" s="2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">
      <c r="A976" s="25"/>
      <c r="B976" s="41"/>
      <c r="C976" s="41"/>
      <c r="D976" s="42"/>
      <c r="E976" s="2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">
      <c r="A977" s="25"/>
      <c r="B977" s="41"/>
      <c r="C977" s="41"/>
      <c r="D977" s="42"/>
      <c r="E977" s="2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">
      <c r="A978" s="25"/>
      <c r="B978" s="41"/>
      <c r="C978" s="41"/>
      <c r="D978" s="42"/>
      <c r="E978" s="2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">
      <c r="A979" s="25"/>
      <c r="B979" s="41"/>
      <c r="C979" s="41"/>
      <c r="D979" s="42"/>
      <c r="E979" s="2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">
      <c r="A980" s="25"/>
      <c r="B980" s="41"/>
      <c r="C980" s="41"/>
      <c r="D980" s="42"/>
      <c r="E980" s="2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">
      <c r="A981" s="25"/>
      <c r="B981" s="41"/>
      <c r="C981" s="41"/>
      <c r="D981" s="42"/>
      <c r="E981" s="2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">
      <c r="A982" s="25"/>
      <c r="B982" s="41"/>
      <c r="C982" s="41"/>
      <c r="D982" s="42"/>
      <c r="E982" s="2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">
      <c r="A983" s="25"/>
      <c r="B983" s="41"/>
      <c r="C983" s="41"/>
      <c r="D983" s="42"/>
      <c r="E983" s="2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">
      <c r="A984" s="25"/>
      <c r="B984" s="41"/>
      <c r="C984" s="41"/>
      <c r="D984" s="42"/>
      <c r="E984" s="2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">
      <c r="A985" s="25"/>
      <c r="B985" s="41"/>
      <c r="C985" s="41"/>
      <c r="D985" s="42"/>
      <c r="E985" s="2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">
      <c r="A986" s="25"/>
      <c r="B986" s="41"/>
      <c r="C986" s="41"/>
      <c r="D986" s="42"/>
      <c r="E986" s="2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">
      <c r="A987" s="25"/>
      <c r="B987" s="41"/>
      <c r="C987" s="41"/>
      <c r="D987" s="42"/>
      <c r="E987" s="2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">
      <c r="A988" s="25"/>
      <c r="B988" s="41"/>
      <c r="C988" s="41"/>
      <c r="D988" s="42"/>
      <c r="E988" s="2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">
      <c r="A989" s="25"/>
      <c r="B989" s="41"/>
      <c r="C989" s="41"/>
      <c r="D989" s="42"/>
      <c r="E989" s="2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">
      <c r="A990" s="25"/>
      <c r="B990" s="41"/>
      <c r="C990" s="41"/>
      <c r="D990" s="42"/>
      <c r="E990" s="2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">
      <c r="A991" s="25"/>
      <c r="B991" s="41"/>
      <c r="C991" s="41"/>
      <c r="D991" s="42"/>
      <c r="E991" s="2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">
      <c r="A992" s="25"/>
      <c r="B992" s="41"/>
      <c r="C992" s="41"/>
      <c r="D992" s="42"/>
      <c r="E992" s="2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">
      <c r="A993" s="25"/>
      <c r="B993" s="41"/>
      <c r="C993" s="41"/>
      <c r="D993" s="42"/>
      <c r="E993" s="2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">
      <c r="A994" s="25"/>
      <c r="B994" s="41"/>
      <c r="C994" s="41"/>
      <c r="D994" s="42"/>
      <c r="E994" s="2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">
      <c r="A995" s="25"/>
      <c r="B995" s="41"/>
      <c r="C995" s="41"/>
      <c r="D995" s="42"/>
      <c r="E995" s="2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">
      <c r="A996" s="25"/>
      <c r="B996" s="41"/>
      <c r="C996" s="41"/>
      <c r="D996" s="42"/>
      <c r="E996" s="2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">
      <c r="A997" s="25"/>
      <c r="B997" s="41"/>
      <c r="C997" s="41"/>
      <c r="D997" s="42"/>
      <c r="E997" s="2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">
      <c r="A998" s="25"/>
      <c r="B998" s="41"/>
      <c r="C998" s="41"/>
      <c r="D998" s="42"/>
      <c r="E998" s="2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">
      <c r="A999" s="25"/>
      <c r="B999" s="41"/>
      <c r="C999" s="41"/>
      <c r="D999" s="42"/>
      <c r="E999" s="2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">
      <c r="A1000" s="25"/>
      <c r="B1000" s="41"/>
      <c r="C1000" s="41"/>
      <c r="D1000" s="42"/>
      <c r="E1000" s="2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">
      <c r="A1001" s="25"/>
      <c r="B1001" s="41"/>
      <c r="C1001" s="41"/>
      <c r="D1001" s="42"/>
      <c r="E1001" s="25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">
      <c r="A1002" s="25"/>
      <c r="B1002" s="41"/>
      <c r="C1002" s="41"/>
      <c r="D1002" s="42"/>
      <c r="E1002" s="25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">
      <c r="A1003" s="25"/>
      <c r="B1003" s="41"/>
      <c r="C1003" s="41"/>
      <c r="D1003" s="42"/>
      <c r="E1003" s="25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">
      <c r="A1004" s="25"/>
      <c r="B1004" s="41"/>
      <c r="C1004" s="41"/>
      <c r="D1004" s="42"/>
      <c r="E1004" s="25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4">
      <c r="A1005" s="25"/>
      <c r="B1005" s="41"/>
      <c r="C1005" s="41"/>
      <c r="D1005" s="42"/>
      <c r="E1005" s="25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4">
      <c r="A1006" s="25"/>
      <c r="B1006" s="41"/>
      <c r="C1006" s="41"/>
      <c r="D1006" s="42"/>
      <c r="E1006" s="25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4">
      <c r="A1007" s="25"/>
      <c r="B1007" s="41"/>
      <c r="C1007" s="41"/>
      <c r="D1007" s="42"/>
      <c r="E1007" s="25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4">
      <c r="A1008" s="25"/>
      <c r="B1008" s="41"/>
      <c r="C1008" s="41"/>
      <c r="D1008" s="42"/>
      <c r="E1008" s="25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4">
      <c r="A1009" s="25"/>
      <c r="B1009" s="41"/>
      <c r="C1009" s="41"/>
      <c r="D1009" s="42"/>
      <c r="E1009" s="25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4">
      <c r="A1010" s="25"/>
      <c r="B1010" s="41"/>
      <c r="C1010" s="41"/>
      <c r="D1010" s="42"/>
      <c r="E1010" s="25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4">
      <c r="A1011" s="25"/>
      <c r="B1011" s="41"/>
      <c r="C1011" s="41"/>
      <c r="D1011" s="42"/>
      <c r="E1011" s="25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2986-21AF-324B-9198-816A53097DF0}">
  <sheetPr filterMode="1">
    <outlinePr summaryBelow="0" summaryRight="0"/>
  </sheetPr>
  <dimension ref="A1:R197"/>
  <sheetViews>
    <sheetView workbookViewId="0">
      <selection activeCell="N190" sqref="N190"/>
    </sheetView>
  </sheetViews>
  <sheetFormatPr baseColWidth="10" defaultColWidth="12.6640625" defaultRowHeight="15" customHeight="1" outlineLevelRow="2" outlineLevelCol="1"/>
  <cols>
    <col min="1" max="1" width="55.5" bestFit="1" customWidth="1"/>
    <col min="2" max="2" width="12.6640625" bestFit="1" customWidth="1" outlineLevel="1"/>
    <col min="3" max="4" width="12.83203125" customWidth="1" outlineLevel="1"/>
    <col min="5" max="5" width="12.6640625" bestFit="1" customWidth="1" outlineLevel="1"/>
    <col min="6" max="6" width="13.1640625" bestFit="1" customWidth="1" outlineLevel="1"/>
    <col min="7" max="7" width="12.83203125" customWidth="1" outlineLevel="1"/>
    <col min="8" max="8" width="12.1640625" bestFit="1" customWidth="1" outlineLevel="1"/>
    <col min="9" max="9" width="13.1640625" bestFit="1" customWidth="1" outlineLevel="1"/>
    <col min="10" max="10" width="13" bestFit="1" customWidth="1" outlineLevel="1"/>
    <col min="11" max="11" width="12.5" bestFit="1" customWidth="1"/>
    <col min="12" max="12" width="13" bestFit="1" customWidth="1"/>
    <col min="13" max="14" width="12.83203125" customWidth="1"/>
    <col min="15" max="15" width="55.83203125" bestFit="1" customWidth="1"/>
  </cols>
  <sheetData>
    <row r="1" spans="1:15" ht="17" collapsed="1">
      <c r="A1" s="75" t="s">
        <v>1</v>
      </c>
      <c r="B1" s="90">
        <v>46023</v>
      </c>
      <c r="C1" s="315">
        <f>EDATE(B1, 1)</f>
        <v>46054</v>
      </c>
      <c r="D1" s="315">
        <f t="shared" ref="D1:M1" si="0">EDATE(C1, 1)</f>
        <v>46082</v>
      </c>
      <c r="E1" s="315">
        <f t="shared" si="0"/>
        <v>46113</v>
      </c>
      <c r="F1" s="315">
        <f t="shared" si="0"/>
        <v>46143</v>
      </c>
      <c r="G1" s="315">
        <f t="shared" si="0"/>
        <v>46174</v>
      </c>
      <c r="H1" s="315">
        <f t="shared" si="0"/>
        <v>46204</v>
      </c>
      <c r="I1" s="315">
        <f t="shared" si="0"/>
        <v>46235</v>
      </c>
      <c r="J1" s="315">
        <f t="shared" si="0"/>
        <v>46266</v>
      </c>
      <c r="K1" s="315">
        <f t="shared" si="0"/>
        <v>46296</v>
      </c>
      <c r="L1" s="315">
        <f t="shared" si="0"/>
        <v>46327</v>
      </c>
      <c r="M1" s="315">
        <f t="shared" si="0"/>
        <v>46357</v>
      </c>
      <c r="N1" s="75" t="s">
        <v>5</v>
      </c>
      <c r="O1" s="75"/>
    </row>
    <row r="2" spans="1:15" ht="16" hidden="1" outlineLevel="1">
      <c r="A2" s="11" t="s">
        <v>224</v>
      </c>
      <c r="B2" s="317">
        <f>'Worksheet - DO NOT DELETE'!B12</f>
        <v>159666</v>
      </c>
      <c r="C2" s="317">
        <f>'Worksheet - DO NOT DELETE'!C12</f>
        <v>159666</v>
      </c>
      <c r="D2" s="317">
        <f>'Worksheet - DO NOT DELETE'!D12</f>
        <v>159666</v>
      </c>
      <c r="E2" s="317">
        <f>'Worksheet - DO NOT DELETE'!E12</f>
        <v>159666</v>
      </c>
      <c r="F2" s="317">
        <f>'Worksheet - DO NOT DELETE'!F12</f>
        <v>159666</v>
      </c>
      <c r="G2" s="317">
        <f>'Worksheet - DO NOT DELETE'!G12</f>
        <v>159666</v>
      </c>
      <c r="H2" s="317">
        <f>'Worksheet - DO NOT DELETE'!H12</f>
        <v>159666</v>
      </c>
      <c r="I2" s="317">
        <f>'Worksheet - DO NOT DELETE'!I12</f>
        <v>159666</v>
      </c>
      <c r="J2" s="317">
        <f>'Worksheet - DO NOT DELETE'!J12</f>
        <v>159666</v>
      </c>
      <c r="K2" s="317">
        <f>'Worksheet - DO NOT DELETE'!K12</f>
        <v>159666</v>
      </c>
      <c r="L2" s="317">
        <f>'Worksheet - DO NOT DELETE'!L12</f>
        <v>159666</v>
      </c>
      <c r="M2" s="317">
        <f>'Worksheet - DO NOT DELETE'!M12</f>
        <v>159666</v>
      </c>
      <c r="N2" s="317">
        <f t="shared" ref="N2:N9" si="1">SUM(B2:M2)</f>
        <v>1915992</v>
      </c>
      <c r="O2" s="94"/>
    </row>
    <row r="3" spans="1:15" ht="16" hidden="1" outlineLevel="1">
      <c r="A3" s="11" t="s">
        <v>225</v>
      </c>
      <c r="B3" s="318">
        <f>'Worksheet - DO NOT DELETE'!B16</f>
        <v>-9750.1199999999862</v>
      </c>
      <c r="C3" s="318">
        <f>'Worksheet - DO NOT DELETE'!C16</f>
        <v>-9750.1199999999862</v>
      </c>
      <c r="D3" s="318">
        <f>'Worksheet - DO NOT DELETE'!D16</f>
        <v>-9375.3302999999869</v>
      </c>
      <c r="E3" s="318">
        <f>'Worksheet - DO NOT DELETE'!E16</f>
        <v>-9179.9524293899722</v>
      </c>
      <c r="F3" s="318">
        <f>'Worksheet - DO NOT DELETE'!F16</f>
        <v>-8984.3205675481549</v>
      </c>
      <c r="G3" s="318">
        <f>'Worksheet - DO NOT DELETE'!G16</f>
        <v>-8788.4343842859689</v>
      </c>
      <c r="H3" s="318">
        <f>'Worksheet - DO NOT DELETE'!H16</f>
        <v>-8516.8547661776793</v>
      </c>
      <c r="I3" s="318">
        <f>'Worksheet - DO NOT DELETE'!I16</f>
        <v>-8244.7863047568044</v>
      </c>
      <c r="J3" s="318">
        <f>'Worksheet - DO NOT DELETE'!J16</f>
        <v>-7972.2281201053484</v>
      </c>
      <c r="K3" s="318">
        <f>'Worksheet - DO NOT DELETE'!K16</f>
        <v>-7881.2118569774302</v>
      </c>
      <c r="L3" s="318">
        <f>'Worksheet - DO NOT DELETE'!L16</f>
        <v>-7790.140984091634</v>
      </c>
      <c r="M3" s="318">
        <f>'Worksheet - DO NOT DELETE'!M16</f>
        <v>-7699.0154686821052</v>
      </c>
      <c r="N3" s="318">
        <f t="shared" si="1"/>
        <v>-103932.51518201506</v>
      </c>
      <c r="O3" s="31"/>
    </row>
    <row r="4" spans="1:15" ht="16" hidden="1" outlineLevel="1">
      <c r="A4" s="11" t="s">
        <v>226</v>
      </c>
      <c r="B4" s="318">
        <f>'Worksheet - DO NOT DELETE'!B15-(B5+B6)</f>
        <v>0</v>
      </c>
      <c r="C4" s="318">
        <f>'Worksheet - DO NOT DELETE'!C15-(C5+C6)</f>
        <v>-3541.32</v>
      </c>
      <c r="D4" s="318">
        <f>'Worksheet - DO NOT DELETE'!D15-(D5+D6)</f>
        <v>-9762.9765750000006</v>
      </c>
      <c r="E4" s="318">
        <f>'Worksheet - DO NOT DELETE'!E15-(E5+E6)</f>
        <v>-1777.3942626450003</v>
      </c>
      <c r="F4" s="318">
        <f>'Worksheet - DO NOT DELETE'!F15-(F5+F6)</f>
        <v>-2669.5573127796588</v>
      </c>
      <c r="G4" s="318">
        <f>'Worksheet - DO NOT DELETE'!G15-(G5+G6)</f>
        <v>-2673.027737286272</v>
      </c>
      <c r="H4" s="318">
        <f>'Worksheet - DO NOT DELETE'!H15-(H5+H6)</f>
        <v>-1785.2261248089249</v>
      </c>
      <c r="I4" s="318">
        <f>'Worksheet - DO NOT DELETE'!I15-(I5+I6)</f>
        <v>-1788.439531833581</v>
      </c>
      <c r="J4" s="318">
        <f>'Worksheet - DO NOT DELETE'!J15-(J5+J6)</f>
        <v>-1791.6587229908819</v>
      </c>
      <c r="K4" s="318">
        <f>'Worksheet - DO NOT DELETE'!K15-(K5+K6)</f>
        <v>-896.36685911233803</v>
      </c>
      <c r="L4" s="318">
        <f>'Worksheet - DO NOT DELETE'!L15-(L5+L6)</f>
        <v>-896.90467922780522</v>
      </c>
      <c r="M4" s="318">
        <f>'Worksheet - DO NOT DELETE'!M15-(M5+M6)</f>
        <v>-897.44282203534181</v>
      </c>
      <c r="N4" s="318">
        <f t="shared" si="1"/>
        <v>-28480.314627719807</v>
      </c>
      <c r="O4" s="31"/>
    </row>
    <row r="5" spans="1:15" ht="16" hidden="1" outlineLevel="1">
      <c r="A5" s="11" t="s">
        <v>227</v>
      </c>
      <c r="B5" s="318">
        <v>-100</v>
      </c>
      <c r="C5" s="318">
        <v>-100</v>
      </c>
      <c r="D5" s="318">
        <v>-100</v>
      </c>
      <c r="E5" s="318">
        <v>-100</v>
      </c>
      <c r="F5" s="318">
        <v>-100</v>
      </c>
      <c r="G5" s="318">
        <v>-100</v>
      </c>
      <c r="H5" s="318">
        <v>-100</v>
      </c>
      <c r="I5" s="318">
        <v>-100</v>
      </c>
      <c r="J5" s="318">
        <v>-100</v>
      </c>
      <c r="K5" s="318">
        <v>-100</v>
      </c>
      <c r="L5" s="318">
        <v>-100</v>
      </c>
      <c r="M5" s="318">
        <v>-100</v>
      </c>
      <c r="N5" s="318">
        <f t="shared" si="1"/>
        <v>-1200</v>
      </c>
      <c r="O5" s="31"/>
    </row>
    <row r="6" spans="1:15" ht="16" hidden="1" outlineLevel="1">
      <c r="A6" s="11" t="s">
        <v>228</v>
      </c>
      <c r="B6" s="318">
        <v>-210</v>
      </c>
      <c r="C6" s="318">
        <v>-210</v>
      </c>
      <c r="D6" s="318">
        <v>-210</v>
      </c>
      <c r="E6" s="318">
        <v>-210</v>
      </c>
      <c r="F6" s="318">
        <v>-210</v>
      </c>
      <c r="G6" s="318">
        <v>-210</v>
      </c>
      <c r="H6" s="318">
        <v>-210</v>
      </c>
      <c r="I6" s="318">
        <v>-210</v>
      </c>
      <c r="J6" s="318">
        <v>-210</v>
      </c>
      <c r="K6" s="318">
        <v>-210</v>
      </c>
      <c r="L6" s="318">
        <v>-210</v>
      </c>
      <c r="M6" s="318">
        <v>-210</v>
      </c>
      <c r="N6" s="318">
        <f t="shared" si="1"/>
        <v>-2520</v>
      </c>
      <c r="O6" s="31"/>
    </row>
    <row r="7" spans="1:15" ht="16" hidden="1" outlineLevel="1">
      <c r="A7" s="11" t="s">
        <v>229</v>
      </c>
      <c r="B7" s="318">
        <f>'Worksheet - DO NOT DELETE'!B13</f>
        <v>-14165.28</v>
      </c>
      <c r="C7" s="318">
        <f>'Worksheet - DO NOT DELETE'!C13</f>
        <v>-9443.52</v>
      </c>
      <c r="D7" s="318">
        <f>'Worksheet - DO NOT DELETE'!D13</f>
        <v>-4733.5644000000002</v>
      </c>
      <c r="E7" s="318">
        <f>'Worksheet - DO NOT DELETE'!E13</f>
        <v>-4739.7180337200007</v>
      </c>
      <c r="F7" s="318">
        <f>'Worksheet - DO NOT DELETE'!F13</f>
        <v>-4745.8796671638374</v>
      </c>
      <c r="G7" s="318">
        <f>'Worksheet - DO NOT DELETE'!G13</f>
        <v>-4752.0493107311504</v>
      </c>
      <c r="H7" s="318">
        <f>'Worksheet - DO NOT DELETE'!H13</f>
        <v>-4760.6029994904666</v>
      </c>
      <c r="I7" s="318">
        <f>'Worksheet - DO NOT DELETE'!I13</f>
        <v>-4769.1720848895493</v>
      </c>
      <c r="J7" s="318">
        <f>'Worksheet - DO NOT DELETE'!J13</f>
        <v>-3583.3174459817633</v>
      </c>
      <c r="K7" s="318">
        <f>'Worksheet - DO NOT DELETE'!K13</f>
        <v>-3585.4674364493521</v>
      </c>
      <c r="L7" s="318">
        <f>'Worksheet - DO NOT DELETE'!L13</f>
        <v>-3587.6187169112209</v>
      </c>
      <c r="M7" s="318">
        <f>'Worksheet - DO NOT DELETE'!M13</f>
        <v>-3589.7712881413672</v>
      </c>
      <c r="N7" s="318">
        <f t="shared" si="1"/>
        <v>-66455.961383478716</v>
      </c>
      <c r="O7" s="31"/>
    </row>
    <row r="8" spans="1:15" ht="16" hidden="1" outlineLevel="1">
      <c r="A8" s="11" t="s">
        <v>230</v>
      </c>
      <c r="B8" s="318">
        <f>'Worksheet - DO NOT DELETE'!B17</f>
        <v>-11804.400000000001</v>
      </c>
      <c r="C8" s="318">
        <f>'Worksheet - DO NOT DELETE'!C17</f>
        <v>-11804.400000000001</v>
      </c>
      <c r="D8" s="318">
        <f>'Worksheet - DO NOT DELETE'!D17</f>
        <v>-15384.0843</v>
      </c>
      <c r="E8" s="318">
        <f>'Worksheet - DO NOT DELETE'!E17</f>
        <v>-1184.9295084300002</v>
      </c>
      <c r="F8" s="318">
        <f>'Worksheet - DO NOT DELETE'!F17</f>
        <v>-1186.4699167909594</v>
      </c>
      <c r="G8" s="318">
        <f>'Worksheet - DO NOT DELETE'!G17</f>
        <v>-1188.0123276827876</v>
      </c>
      <c r="H8" s="318">
        <f>'Worksheet - DO NOT DELETE'!H17</f>
        <v>-1190.1507498726166</v>
      </c>
      <c r="I8" s="318">
        <f>'Worksheet - DO NOT DELETE'!I17</f>
        <v>-1192.2930212223873</v>
      </c>
      <c r="J8" s="318">
        <f>'Worksheet - DO NOT DELETE'!J17</f>
        <v>-1194.4391486605878</v>
      </c>
      <c r="K8" s="318">
        <f>'Worksheet - DO NOT DELETE'!K17</f>
        <v>-1195.155812149784</v>
      </c>
      <c r="L8" s="318">
        <f>'Worksheet - DO NOT DELETE'!L17</f>
        <v>-1195.8729056370737</v>
      </c>
      <c r="M8" s="318">
        <f>'Worksheet - DO NOT DELETE'!M17</f>
        <v>0</v>
      </c>
      <c r="N8" s="318">
        <f t="shared" si="1"/>
        <v>-48520.207690446201</v>
      </c>
      <c r="O8" s="31"/>
    </row>
    <row r="9" spans="1:15" ht="16" collapsed="1">
      <c r="A9" s="9" t="s">
        <v>187</v>
      </c>
      <c r="B9" s="327">
        <f>SUM(B2:B8)</f>
        <v>123636.20000000001</v>
      </c>
      <c r="C9" s="327">
        <f t="shared" ref="C9:M9" si="2">SUM(C2:C8)</f>
        <v>124816.64000000001</v>
      </c>
      <c r="D9" s="327">
        <f t="shared" si="2"/>
        <v>120100.04442500001</v>
      </c>
      <c r="E9" s="327">
        <f t="shared" si="2"/>
        <v>142474.00576581503</v>
      </c>
      <c r="F9" s="327">
        <f t="shared" si="2"/>
        <v>141769.77253571741</v>
      </c>
      <c r="G9" s="327">
        <f t="shared" si="2"/>
        <v>141954.47624001384</v>
      </c>
      <c r="H9" s="327">
        <f t="shared" si="2"/>
        <v>143103.16535965033</v>
      </c>
      <c r="I9" s="327">
        <f t="shared" si="2"/>
        <v>143361.30905729771</v>
      </c>
      <c r="J9" s="327">
        <f t="shared" si="2"/>
        <v>144814.35656226144</v>
      </c>
      <c r="K9" s="327">
        <f t="shared" si="2"/>
        <v>145797.79803531111</v>
      </c>
      <c r="L9" s="327">
        <f t="shared" si="2"/>
        <v>145885.46271413227</v>
      </c>
      <c r="M9" s="327">
        <f t="shared" si="2"/>
        <v>147169.77042114118</v>
      </c>
      <c r="N9" s="327">
        <f t="shared" si="1"/>
        <v>1664883.0011163405</v>
      </c>
      <c r="O9" s="30"/>
    </row>
    <row r="10" spans="1:15" ht="16" hidden="1" outlineLevel="2">
      <c r="A10" s="9" t="s">
        <v>301</v>
      </c>
      <c r="B10" s="3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</row>
    <row r="11" spans="1:15" ht="16" hidden="1" outlineLevel="2">
      <c r="A11" s="403" t="s">
        <v>302</v>
      </c>
      <c r="B11" s="404"/>
      <c r="C11" s="404"/>
      <c r="D11" s="404"/>
      <c r="E11" s="404"/>
      <c r="F11" s="404"/>
      <c r="G11" s="404"/>
      <c r="H11" s="404"/>
      <c r="I11" s="404"/>
      <c r="J11" s="404"/>
      <c r="K11" s="405"/>
      <c r="L11" s="404"/>
      <c r="M11" s="404"/>
      <c r="N11" s="413"/>
      <c r="O11" s="97"/>
    </row>
    <row r="12" spans="1:15" ht="16" hidden="1" outlineLevel="2">
      <c r="A12" s="11" t="s">
        <v>303</v>
      </c>
      <c r="B12" s="329">
        <v>50</v>
      </c>
      <c r="C12" s="329">
        <v>50</v>
      </c>
      <c r="D12" s="329">
        <v>50</v>
      </c>
      <c r="E12" s="329">
        <v>50</v>
      </c>
      <c r="F12" s="329">
        <v>50</v>
      </c>
      <c r="G12" s="329">
        <v>50</v>
      </c>
      <c r="H12" s="329">
        <v>50</v>
      </c>
      <c r="I12" s="329">
        <v>50</v>
      </c>
      <c r="J12" s="329">
        <v>50</v>
      </c>
      <c r="K12" s="329">
        <v>50</v>
      </c>
      <c r="L12" s="329">
        <v>50</v>
      </c>
      <c r="M12" s="329">
        <v>50</v>
      </c>
      <c r="N12" s="329">
        <f>SUM(B12:M12)</f>
        <v>600</v>
      </c>
      <c r="O12" s="97"/>
    </row>
    <row r="13" spans="1:15" ht="16" hidden="1" outlineLevel="2">
      <c r="A13" s="11" t="s">
        <v>304</v>
      </c>
      <c r="B13" s="329">
        <v>2100</v>
      </c>
      <c r="C13" s="329">
        <v>2100</v>
      </c>
      <c r="D13" s="329">
        <v>2100</v>
      </c>
      <c r="E13" s="329">
        <v>2100</v>
      </c>
      <c r="F13" s="329">
        <v>2100</v>
      </c>
      <c r="G13" s="329">
        <v>2100</v>
      </c>
      <c r="H13" s="329">
        <v>2100</v>
      </c>
      <c r="I13" s="329">
        <v>2100</v>
      </c>
      <c r="J13" s="329">
        <v>2100</v>
      </c>
      <c r="K13" s="329">
        <v>2100</v>
      </c>
      <c r="L13" s="329">
        <v>2100</v>
      </c>
      <c r="M13" s="329">
        <v>2100</v>
      </c>
      <c r="N13" s="329">
        <f t="shared" ref="N13:N43" si="3">SUM(B13:M13)</f>
        <v>25200</v>
      </c>
      <c r="O13" s="97"/>
    </row>
    <row r="14" spans="1:15" ht="16" hidden="1" outlineLevel="2">
      <c r="A14" s="403" t="s">
        <v>305</v>
      </c>
      <c r="B14" s="404"/>
      <c r="C14" s="404"/>
      <c r="D14" s="404"/>
      <c r="E14" s="404"/>
      <c r="F14" s="404"/>
      <c r="G14" s="404"/>
      <c r="H14" s="404"/>
      <c r="I14" s="404"/>
      <c r="J14" s="404"/>
      <c r="K14" s="405"/>
      <c r="L14" s="404"/>
      <c r="M14" s="404"/>
      <c r="N14" s="329">
        <f t="shared" si="3"/>
        <v>0</v>
      </c>
      <c r="O14" s="97"/>
    </row>
    <row r="15" spans="1:15" ht="16" hidden="1" outlineLevel="2">
      <c r="A15" s="403" t="s">
        <v>306</v>
      </c>
      <c r="B15" s="404"/>
      <c r="C15" s="404"/>
      <c r="D15" s="404"/>
      <c r="E15" s="404"/>
      <c r="F15" s="404"/>
      <c r="G15" s="404"/>
      <c r="H15" s="404"/>
      <c r="I15" s="404"/>
      <c r="J15" s="404"/>
      <c r="K15" s="404"/>
      <c r="L15" s="404"/>
      <c r="M15" s="404"/>
      <c r="N15" s="329">
        <f t="shared" si="3"/>
        <v>0</v>
      </c>
      <c r="O15" s="97"/>
    </row>
    <row r="16" spans="1:15" ht="16" hidden="1" outlineLevel="2">
      <c r="A16" s="11" t="s">
        <v>236</v>
      </c>
      <c r="B16" s="329">
        <v>7360</v>
      </c>
      <c r="C16" s="329">
        <v>7360</v>
      </c>
      <c r="D16" s="329">
        <v>7360</v>
      </c>
      <c r="E16" s="329">
        <v>7360</v>
      </c>
      <c r="F16" s="329">
        <v>7360</v>
      </c>
      <c r="G16" s="329">
        <v>7360</v>
      </c>
      <c r="H16" s="329">
        <v>7360</v>
      </c>
      <c r="I16" s="329">
        <v>7360</v>
      </c>
      <c r="J16" s="329">
        <v>7360</v>
      </c>
      <c r="K16" s="329">
        <v>7360</v>
      </c>
      <c r="L16" s="329">
        <v>7360</v>
      </c>
      <c r="M16" s="329">
        <v>7360</v>
      </c>
      <c r="N16" s="329">
        <f t="shared" si="3"/>
        <v>88320</v>
      </c>
      <c r="O16" s="97"/>
    </row>
    <row r="17" spans="1:15" ht="16" hidden="1" outlineLevel="2">
      <c r="A17" s="11" t="s">
        <v>307</v>
      </c>
      <c r="B17" s="329">
        <v>725</v>
      </c>
      <c r="C17" s="329">
        <v>725</v>
      </c>
      <c r="D17" s="329">
        <v>725</v>
      </c>
      <c r="E17" s="329">
        <v>725</v>
      </c>
      <c r="F17" s="329">
        <v>725</v>
      </c>
      <c r="G17" s="329">
        <v>725</v>
      </c>
      <c r="H17" s="329">
        <v>725</v>
      </c>
      <c r="I17" s="329">
        <v>725</v>
      </c>
      <c r="J17" s="329">
        <v>725</v>
      </c>
      <c r="K17" s="329">
        <v>725</v>
      </c>
      <c r="L17" s="329">
        <v>725</v>
      </c>
      <c r="M17" s="329">
        <v>725</v>
      </c>
      <c r="N17" s="329">
        <f t="shared" si="3"/>
        <v>8700</v>
      </c>
      <c r="O17" s="97"/>
    </row>
    <row r="18" spans="1:15" ht="16" hidden="1" outlineLevel="2">
      <c r="A18" s="403" t="s">
        <v>308</v>
      </c>
      <c r="B18" s="404"/>
      <c r="C18" s="404"/>
      <c r="D18" s="404"/>
      <c r="E18" s="404"/>
      <c r="F18" s="404"/>
      <c r="G18" s="404"/>
      <c r="H18" s="404"/>
      <c r="I18" s="405"/>
      <c r="J18" s="405"/>
      <c r="K18" s="405"/>
      <c r="L18" s="404"/>
      <c r="M18" s="404"/>
      <c r="N18" s="329">
        <f>SUM(B18:M18)</f>
        <v>0</v>
      </c>
      <c r="O18" s="97"/>
    </row>
    <row r="19" spans="1:15" ht="16" hidden="1" outlineLevel="2">
      <c r="A19" s="11" t="s">
        <v>309</v>
      </c>
      <c r="B19" s="329">
        <v>185</v>
      </c>
      <c r="C19" s="329">
        <v>185</v>
      </c>
      <c r="D19" s="329">
        <v>185</v>
      </c>
      <c r="E19" s="329">
        <v>185</v>
      </c>
      <c r="F19" s="329">
        <v>185</v>
      </c>
      <c r="G19" s="329">
        <v>185</v>
      </c>
      <c r="H19" s="329">
        <v>185</v>
      </c>
      <c r="I19" s="329">
        <v>185</v>
      </c>
      <c r="J19" s="329">
        <v>185</v>
      </c>
      <c r="K19" s="329">
        <v>185</v>
      </c>
      <c r="L19" s="329">
        <v>185</v>
      </c>
      <c r="M19" s="329">
        <v>185</v>
      </c>
      <c r="N19" s="329">
        <f t="shared" si="3"/>
        <v>2220</v>
      </c>
      <c r="O19" s="97"/>
    </row>
    <row r="20" spans="1:15" ht="16" hidden="1" outlineLevel="2">
      <c r="A20" s="403" t="s">
        <v>310</v>
      </c>
      <c r="B20" s="404"/>
      <c r="C20" s="404"/>
      <c r="D20" s="404"/>
      <c r="E20" s="404"/>
      <c r="F20" s="404"/>
      <c r="G20" s="404"/>
      <c r="H20" s="404"/>
      <c r="I20" s="404"/>
      <c r="J20" s="404"/>
      <c r="K20" s="404"/>
      <c r="L20" s="404"/>
      <c r="M20" s="404"/>
      <c r="N20" s="329">
        <f>SUM(B20:M20)</f>
        <v>0</v>
      </c>
      <c r="O20" s="97"/>
    </row>
    <row r="21" spans="1:15" ht="16" hidden="1" outlineLevel="2">
      <c r="A21" s="403" t="s">
        <v>311</v>
      </c>
      <c r="B21" s="404"/>
      <c r="C21" s="404"/>
      <c r="D21" s="404"/>
      <c r="E21" s="404"/>
      <c r="F21" s="404"/>
      <c r="G21" s="404"/>
      <c r="H21" s="404"/>
      <c r="I21" s="404"/>
      <c r="J21" s="404"/>
      <c r="K21" s="404"/>
      <c r="L21" s="404"/>
      <c r="M21" s="404"/>
      <c r="N21" s="329">
        <f t="shared" si="3"/>
        <v>0</v>
      </c>
      <c r="O21" s="97"/>
    </row>
    <row r="22" spans="1:15" ht="16" hidden="1" outlineLevel="2">
      <c r="A22" s="403" t="s">
        <v>312</v>
      </c>
      <c r="B22" s="404"/>
      <c r="C22" s="404"/>
      <c r="D22" s="404"/>
      <c r="E22" s="404"/>
      <c r="F22" s="404"/>
      <c r="G22" s="404"/>
      <c r="H22" s="404"/>
      <c r="I22" s="404"/>
      <c r="J22" s="404"/>
      <c r="K22" s="404"/>
      <c r="L22" s="404"/>
      <c r="M22" s="404"/>
      <c r="N22" s="329">
        <f t="shared" si="3"/>
        <v>0</v>
      </c>
      <c r="O22" s="97"/>
    </row>
    <row r="23" spans="1:15" ht="16" hidden="1" outlineLevel="2">
      <c r="A23" s="11" t="s">
        <v>313</v>
      </c>
      <c r="B23" s="329">
        <v>480</v>
      </c>
      <c r="C23" s="329">
        <v>480</v>
      </c>
      <c r="D23" s="329">
        <v>480</v>
      </c>
      <c r="E23" s="329">
        <v>480</v>
      </c>
      <c r="F23" s="329">
        <v>480</v>
      </c>
      <c r="G23" s="329">
        <v>480</v>
      </c>
      <c r="H23" s="329">
        <v>480</v>
      </c>
      <c r="I23" s="329">
        <v>480</v>
      </c>
      <c r="J23" s="329">
        <v>480</v>
      </c>
      <c r="K23" s="329">
        <v>480</v>
      </c>
      <c r="L23" s="329">
        <v>480</v>
      </c>
      <c r="M23" s="329">
        <v>480</v>
      </c>
      <c r="N23" s="329">
        <f t="shared" si="3"/>
        <v>5760</v>
      </c>
      <c r="O23" s="97"/>
    </row>
    <row r="24" spans="1:15" ht="16" hidden="1" outlineLevel="2">
      <c r="A24" s="11" t="s">
        <v>314</v>
      </c>
      <c r="B24" s="329">
        <v>150</v>
      </c>
      <c r="C24" s="329">
        <v>150</v>
      </c>
      <c r="D24" s="329">
        <v>150</v>
      </c>
      <c r="E24" s="329">
        <v>150</v>
      </c>
      <c r="F24" s="329">
        <v>150</v>
      </c>
      <c r="G24" s="329">
        <v>150</v>
      </c>
      <c r="H24" s="329">
        <v>150</v>
      </c>
      <c r="I24" s="329">
        <v>150</v>
      </c>
      <c r="J24" s="329">
        <v>150</v>
      </c>
      <c r="K24" s="329">
        <v>150</v>
      </c>
      <c r="L24" s="329">
        <v>150</v>
      </c>
      <c r="M24" s="329">
        <v>150</v>
      </c>
      <c r="N24" s="329">
        <f t="shared" si="3"/>
        <v>1800</v>
      </c>
      <c r="O24" s="97"/>
    </row>
    <row r="25" spans="1:15" ht="16" hidden="1" outlineLevel="2">
      <c r="A25" s="403" t="s">
        <v>315</v>
      </c>
      <c r="B25" s="404"/>
      <c r="C25" s="404"/>
      <c r="D25" s="404"/>
      <c r="E25" s="404"/>
      <c r="F25" s="404"/>
      <c r="G25" s="404"/>
      <c r="H25" s="404"/>
      <c r="I25" s="404"/>
      <c r="J25" s="404"/>
      <c r="K25" s="404"/>
      <c r="L25" s="404"/>
      <c r="M25" s="404"/>
      <c r="N25" s="329">
        <f t="shared" si="3"/>
        <v>0</v>
      </c>
      <c r="O25" s="97"/>
    </row>
    <row r="26" spans="1:15" ht="16" hidden="1" outlineLevel="2">
      <c r="A26" s="11" t="s">
        <v>316</v>
      </c>
      <c r="B26" s="329">
        <v>215</v>
      </c>
      <c r="C26" s="329">
        <v>215</v>
      </c>
      <c r="D26" s="329">
        <v>215</v>
      </c>
      <c r="E26" s="329">
        <v>215</v>
      </c>
      <c r="F26" s="329">
        <v>215</v>
      </c>
      <c r="G26" s="329">
        <v>215</v>
      </c>
      <c r="H26" s="329">
        <v>215</v>
      </c>
      <c r="I26" s="329">
        <v>215</v>
      </c>
      <c r="J26" s="329">
        <v>215</v>
      </c>
      <c r="K26" s="329">
        <v>215</v>
      </c>
      <c r="L26" s="329">
        <v>215</v>
      </c>
      <c r="M26" s="329">
        <v>215</v>
      </c>
      <c r="N26" s="329">
        <f t="shared" si="3"/>
        <v>2580</v>
      </c>
      <c r="O26" s="97"/>
    </row>
    <row r="27" spans="1:15" ht="16" hidden="1" outlineLevel="2">
      <c r="A27" s="11" t="s">
        <v>317</v>
      </c>
      <c r="B27" s="329">
        <v>200</v>
      </c>
      <c r="C27" s="329">
        <v>200</v>
      </c>
      <c r="D27" s="329">
        <v>200</v>
      </c>
      <c r="E27" s="329">
        <v>200</v>
      </c>
      <c r="F27" s="329">
        <v>200</v>
      </c>
      <c r="G27" s="329">
        <v>200</v>
      </c>
      <c r="H27" s="329">
        <v>200</v>
      </c>
      <c r="I27" s="329">
        <v>200</v>
      </c>
      <c r="J27" s="329">
        <v>200</v>
      </c>
      <c r="K27" s="329">
        <v>200</v>
      </c>
      <c r="L27" s="329">
        <v>200</v>
      </c>
      <c r="M27" s="329">
        <v>200</v>
      </c>
      <c r="N27" s="329">
        <f t="shared" si="3"/>
        <v>2400</v>
      </c>
      <c r="O27" s="97"/>
    </row>
    <row r="28" spans="1:15" ht="16" hidden="1" outlineLevel="2">
      <c r="A28" s="11" t="s">
        <v>318</v>
      </c>
      <c r="B28" s="329">
        <v>500</v>
      </c>
      <c r="C28" s="329">
        <v>500</v>
      </c>
      <c r="D28" s="329">
        <v>500</v>
      </c>
      <c r="E28" s="329">
        <v>500</v>
      </c>
      <c r="F28" s="329">
        <v>500</v>
      </c>
      <c r="G28" s="329">
        <v>500</v>
      </c>
      <c r="H28" s="329">
        <v>500</v>
      </c>
      <c r="I28" s="329">
        <v>500</v>
      </c>
      <c r="J28" s="329">
        <v>500</v>
      </c>
      <c r="K28" s="329">
        <v>500</v>
      </c>
      <c r="L28" s="329">
        <v>500</v>
      </c>
      <c r="M28" s="329">
        <v>500</v>
      </c>
      <c r="N28" s="329">
        <f t="shared" si="3"/>
        <v>6000</v>
      </c>
      <c r="O28" s="97"/>
    </row>
    <row r="29" spans="1:15" ht="16" hidden="1" outlineLevel="2">
      <c r="A29" s="403" t="s">
        <v>319</v>
      </c>
      <c r="B29" s="404"/>
      <c r="C29" s="405"/>
      <c r="D29" s="405"/>
      <c r="E29" s="404"/>
      <c r="F29" s="405"/>
      <c r="G29" s="405"/>
      <c r="H29" s="404"/>
      <c r="I29" s="404"/>
      <c r="J29" s="404"/>
      <c r="K29" s="404"/>
      <c r="L29" s="404"/>
      <c r="M29" s="404"/>
      <c r="N29" s="329">
        <f t="shared" si="3"/>
        <v>0</v>
      </c>
      <c r="O29" s="97"/>
    </row>
    <row r="30" spans="1:15" ht="16" hidden="1" outlineLevel="2">
      <c r="A30" s="403" t="s">
        <v>320</v>
      </c>
      <c r="B30" s="404"/>
      <c r="C30" s="404"/>
      <c r="D30" s="404"/>
      <c r="E30" s="404"/>
      <c r="F30" s="404"/>
      <c r="G30" s="404"/>
      <c r="H30" s="404"/>
      <c r="I30" s="404"/>
      <c r="J30" s="404"/>
      <c r="K30" s="404"/>
      <c r="L30" s="404"/>
      <c r="M30" s="404"/>
      <c r="N30" s="329">
        <f t="shared" si="3"/>
        <v>0</v>
      </c>
      <c r="O30" s="97"/>
    </row>
    <row r="31" spans="1:15" ht="16" hidden="1" outlineLevel="2">
      <c r="A31" s="11" t="s">
        <v>240</v>
      </c>
      <c r="B31" s="329">
        <v>500</v>
      </c>
      <c r="C31" s="329">
        <v>500</v>
      </c>
      <c r="D31" s="329">
        <v>500</v>
      </c>
      <c r="E31" s="329">
        <v>500</v>
      </c>
      <c r="F31" s="329">
        <v>500</v>
      </c>
      <c r="G31" s="329">
        <v>500</v>
      </c>
      <c r="H31" s="329">
        <v>500</v>
      </c>
      <c r="I31" s="329">
        <v>500</v>
      </c>
      <c r="J31" s="329">
        <v>500</v>
      </c>
      <c r="K31" s="329">
        <v>500</v>
      </c>
      <c r="L31" s="329">
        <v>500</v>
      </c>
      <c r="M31" s="329">
        <v>500</v>
      </c>
      <c r="N31" s="329">
        <f t="shared" si="3"/>
        <v>6000</v>
      </c>
      <c r="O31" s="97"/>
    </row>
    <row r="32" spans="1:15" ht="16" hidden="1" outlineLevel="2">
      <c r="A32" s="403" t="s">
        <v>321</v>
      </c>
      <c r="B32" s="404"/>
      <c r="C32" s="404"/>
      <c r="D32" s="404"/>
      <c r="E32" s="404"/>
      <c r="F32" s="404"/>
      <c r="G32" s="404"/>
      <c r="H32" s="404"/>
      <c r="I32" s="404"/>
      <c r="J32" s="404"/>
      <c r="K32" s="404"/>
      <c r="L32" s="404"/>
      <c r="M32" s="404"/>
      <c r="N32" s="329">
        <f t="shared" si="3"/>
        <v>0</v>
      </c>
      <c r="O32" s="97"/>
    </row>
    <row r="33" spans="1:15" ht="16" hidden="1" outlineLevel="2">
      <c r="A33" s="403" t="s">
        <v>322</v>
      </c>
      <c r="B33" s="404"/>
      <c r="C33" s="404"/>
      <c r="D33" s="404"/>
      <c r="E33" s="404"/>
      <c r="F33" s="404"/>
      <c r="G33" s="404"/>
      <c r="H33" s="404"/>
      <c r="I33" s="404"/>
      <c r="J33" s="404"/>
      <c r="K33" s="404"/>
      <c r="L33" s="404"/>
      <c r="M33" s="404"/>
      <c r="N33" s="329">
        <f t="shared" si="3"/>
        <v>0</v>
      </c>
      <c r="O33" s="97"/>
    </row>
    <row r="34" spans="1:15" ht="16" hidden="1" outlineLevel="2">
      <c r="A34" s="11" t="s">
        <v>323</v>
      </c>
      <c r="B34" s="329">
        <v>406</v>
      </c>
      <c r="C34" s="329">
        <v>406</v>
      </c>
      <c r="D34" s="329">
        <v>406</v>
      </c>
      <c r="E34" s="329">
        <v>406</v>
      </c>
      <c r="F34" s="329">
        <v>406</v>
      </c>
      <c r="G34" s="329">
        <v>406</v>
      </c>
      <c r="H34" s="329">
        <v>406</v>
      </c>
      <c r="I34" s="329">
        <v>406</v>
      </c>
      <c r="J34" s="329">
        <v>406</v>
      </c>
      <c r="K34" s="329">
        <v>406</v>
      </c>
      <c r="L34" s="329">
        <v>406</v>
      </c>
      <c r="M34" s="329">
        <v>406</v>
      </c>
      <c r="N34" s="329">
        <f t="shared" si="3"/>
        <v>4872</v>
      </c>
      <c r="O34" s="97"/>
    </row>
    <row r="35" spans="1:15" ht="16" hidden="1" outlineLevel="2">
      <c r="A35" s="11" t="s">
        <v>324</v>
      </c>
      <c r="B35" s="329">
        <f>'Worksheet - DO NOT DELETE'!B$5*15</f>
        <v>1575</v>
      </c>
      <c r="C35" s="329">
        <f>'Worksheet - DO NOT DELETE'!C$5*15</f>
        <v>1635</v>
      </c>
      <c r="D35" s="329">
        <f>'Worksheet - DO NOT DELETE'!D$5*15</f>
        <v>1650</v>
      </c>
      <c r="E35" s="329">
        <f>'Worksheet - DO NOT DELETE'!E$5*15</f>
        <v>1830</v>
      </c>
      <c r="F35" s="329">
        <f>'Worksheet - DO NOT DELETE'!F$5*15</f>
        <v>1830</v>
      </c>
      <c r="G35" s="329">
        <f>'Worksheet - DO NOT DELETE'!G$5*15</f>
        <v>1830</v>
      </c>
      <c r="H35" s="329">
        <f>'Worksheet - DO NOT DELETE'!H$5*15</f>
        <v>1830</v>
      </c>
      <c r="I35" s="329">
        <f>'Worksheet - DO NOT DELETE'!I$5*15</f>
        <v>1830</v>
      </c>
      <c r="J35" s="329">
        <f>'Worksheet - DO NOT DELETE'!J$5*15</f>
        <v>1845</v>
      </c>
      <c r="K35" s="329">
        <f>'Worksheet - DO NOT DELETE'!K$5*15</f>
        <v>1845</v>
      </c>
      <c r="L35" s="329">
        <f>'Worksheet - DO NOT DELETE'!L$5*15</f>
        <v>1845</v>
      </c>
      <c r="M35" s="329">
        <f>'Worksheet - DO NOT DELETE'!M$5*15</f>
        <v>1860</v>
      </c>
      <c r="N35" s="329">
        <f t="shared" si="3"/>
        <v>21405</v>
      </c>
      <c r="O35" s="97"/>
    </row>
    <row r="36" spans="1:15" ht="16" hidden="1" outlineLevel="2">
      <c r="A36" s="11" t="s">
        <v>237</v>
      </c>
      <c r="B36" s="329">
        <f>'Worksheet - DO NOT DELETE'!B$5*10</f>
        <v>1050</v>
      </c>
      <c r="C36" s="329">
        <f>'Worksheet - DO NOT DELETE'!C$5*10</f>
        <v>1090</v>
      </c>
      <c r="D36" s="329">
        <f>'Worksheet - DO NOT DELETE'!D$5*10</f>
        <v>1100</v>
      </c>
      <c r="E36" s="329">
        <f>'Worksheet - DO NOT DELETE'!E$5*10</f>
        <v>1220</v>
      </c>
      <c r="F36" s="329">
        <f>'Worksheet - DO NOT DELETE'!F$5*10</f>
        <v>1220</v>
      </c>
      <c r="G36" s="329">
        <f>'Worksheet - DO NOT DELETE'!G$5*10</f>
        <v>1220</v>
      </c>
      <c r="H36" s="329">
        <f>'Worksheet - DO NOT DELETE'!H$5*10</f>
        <v>1220</v>
      </c>
      <c r="I36" s="329">
        <f>'Worksheet - DO NOT DELETE'!I$5*10</f>
        <v>1220</v>
      </c>
      <c r="J36" s="329">
        <f>'Worksheet - DO NOT DELETE'!J$5*10</f>
        <v>1230</v>
      </c>
      <c r="K36" s="329">
        <f>'Worksheet - DO NOT DELETE'!K$5*10</f>
        <v>1230</v>
      </c>
      <c r="L36" s="329">
        <f>'Worksheet - DO NOT DELETE'!L$5*10</f>
        <v>1230</v>
      </c>
      <c r="M36" s="329">
        <f>'Worksheet - DO NOT DELETE'!M$5*10</f>
        <v>1240</v>
      </c>
      <c r="N36" s="329">
        <f t="shared" si="3"/>
        <v>14270</v>
      </c>
      <c r="O36" s="97"/>
    </row>
    <row r="37" spans="1:15" ht="16" hidden="1" outlineLevel="2">
      <c r="A37" s="11" t="s">
        <v>239</v>
      </c>
      <c r="B37" s="329">
        <f>'Worksheet - DO NOT DELETE'!B$5*5</f>
        <v>525</v>
      </c>
      <c r="C37" s="329">
        <f>'Worksheet - DO NOT DELETE'!C$5*5</f>
        <v>545</v>
      </c>
      <c r="D37" s="329">
        <f>'Worksheet - DO NOT DELETE'!D$5*5</f>
        <v>550</v>
      </c>
      <c r="E37" s="329">
        <f>'Worksheet - DO NOT DELETE'!E$5*5</f>
        <v>610</v>
      </c>
      <c r="F37" s="329">
        <f>'Worksheet - DO NOT DELETE'!F$5*5</f>
        <v>610</v>
      </c>
      <c r="G37" s="329">
        <f>'Worksheet - DO NOT DELETE'!G$5*5</f>
        <v>610</v>
      </c>
      <c r="H37" s="329">
        <f>'Worksheet - DO NOT DELETE'!H$5*5</f>
        <v>610</v>
      </c>
      <c r="I37" s="329">
        <f>'Worksheet - DO NOT DELETE'!I$5*5</f>
        <v>610</v>
      </c>
      <c r="J37" s="329">
        <f>'Worksheet - DO NOT DELETE'!J$5*5</f>
        <v>615</v>
      </c>
      <c r="K37" s="329">
        <f>'Worksheet - DO NOT DELETE'!K$5*5</f>
        <v>615</v>
      </c>
      <c r="L37" s="329">
        <f>'Worksheet - DO NOT DELETE'!L$5*5</f>
        <v>615</v>
      </c>
      <c r="M37" s="329">
        <f>'Worksheet - DO NOT DELETE'!M$5*5</f>
        <v>620</v>
      </c>
      <c r="N37" s="329">
        <f t="shared" si="3"/>
        <v>7135</v>
      </c>
      <c r="O37" s="97"/>
    </row>
    <row r="38" spans="1:15" ht="16" hidden="1" outlineLevel="2">
      <c r="A38" s="403" t="s">
        <v>325</v>
      </c>
      <c r="B38" s="404"/>
      <c r="C38" s="404"/>
      <c r="D38" s="404"/>
      <c r="E38" s="404"/>
      <c r="F38" s="404"/>
      <c r="G38" s="404"/>
      <c r="H38" s="404"/>
      <c r="I38" s="404"/>
      <c r="J38" s="404"/>
      <c r="K38" s="404"/>
      <c r="L38" s="404"/>
      <c r="M38" s="404"/>
      <c r="N38" s="329">
        <f t="shared" si="3"/>
        <v>0</v>
      </c>
      <c r="O38" s="97"/>
    </row>
    <row r="39" spans="1:15" ht="16" hidden="1" outlineLevel="2">
      <c r="A39" s="11" t="s">
        <v>326</v>
      </c>
      <c r="B39" s="329">
        <f>'Worksheet - DO NOT DELETE'!B$5*28*0.35</f>
        <v>1029</v>
      </c>
      <c r="C39" s="329">
        <f>'Worksheet - DO NOT DELETE'!C$5*28*0.35</f>
        <v>1068.2</v>
      </c>
      <c r="D39" s="329">
        <f>'Worksheet - DO NOT DELETE'!D$5*28*0.35</f>
        <v>1078</v>
      </c>
      <c r="E39" s="329">
        <f>'Worksheet - DO NOT DELETE'!E$5*28*0.35</f>
        <v>1195.5999999999999</v>
      </c>
      <c r="F39" s="329">
        <f>'Worksheet - DO NOT DELETE'!F$5*28*0.35</f>
        <v>1195.5999999999999</v>
      </c>
      <c r="G39" s="329">
        <f>'Worksheet - DO NOT DELETE'!G$5*28*0.35</f>
        <v>1195.5999999999999</v>
      </c>
      <c r="H39" s="329">
        <f>'Worksheet - DO NOT DELETE'!H$5*28*0.35</f>
        <v>1195.5999999999999</v>
      </c>
      <c r="I39" s="329">
        <f>'Worksheet - DO NOT DELETE'!I$5*28*0.35</f>
        <v>1195.5999999999999</v>
      </c>
      <c r="J39" s="329">
        <f>'Worksheet - DO NOT DELETE'!J$5*28*0.35</f>
        <v>1205.3999999999999</v>
      </c>
      <c r="K39" s="329">
        <f>'Worksheet - DO NOT DELETE'!K$5*28*0.35</f>
        <v>1205.3999999999999</v>
      </c>
      <c r="L39" s="329">
        <f>'Worksheet - DO NOT DELETE'!L$5*28*0.35</f>
        <v>1205.3999999999999</v>
      </c>
      <c r="M39" s="329">
        <f>'Worksheet - DO NOT DELETE'!M$5*28*0.35</f>
        <v>1215.1999999999998</v>
      </c>
      <c r="N39" s="329">
        <f t="shared" si="3"/>
        <v>13984.599999999999</v>
      </c>
      <c r="O39" s="97"/>
    </row>
    <row r="40" spans="1:15" ht="16" hidden="1" outlineLevel="2">
      <c r="A40" s="11" t="s">
        <v>327</v>
      </c>
      <c r="B40" s="329">
        <f>'Worksheet - DO NOT DELETE'!B$5*3</f>
        <v>315</v>
      </c>
      <c r="C40" s="329">
        <f>'Worksheet - DO NOT DELETE'!C$5*3</f>
        <v>327</v>
      </c>
      <c r="D40" s="329">
        <f>'Worksheet - DO NOT DELETE'!D$5*3</f>
        <v>330</v>
      </c>
      <c r="E40" s="329">
        <f>'Worksheet - DO NOT DELETE'!E$5*3</f>
        <v>366</v>
      </c>
      <c r="F40" s="329">
        <f>'Worksheet - DO NOT DELETE'!F$5*3</f>
        <v>366</v>
      </c>
      <c r="G40" s="329">
        <f>'Worksheet - DO NOT DELETE'!G$5*3</f>
        <v>366</v>
      </c>
      <c r="H40" s="329">
        <f>'Worksheet - DO NOT DELETE'!H$5*3</f>
        <v>366</v>
      </c>
      <c r="I40" s="329">
        <f>'Worksheet - DO NOT DELETE'!I$5*3</f>
        <v>366</v>
      </c>
      <c r="J40" s="329">
        <f>'Worksheet - DO NOT DELETE'!J$5*3</f>
        <v>369</v>
      </c>
      <c r="K40" s="329">
        <f>'Worksheet - DO NOT DELETE'!K$5*3</f>
        <v>369</v>
      </c>
      <c r="L40" s="329">
        <f>'Worksheet - DO NOT DELETE'!L$5*3</f>
        <v>369</v>
      </c>
      <c r="M40" s="329">
        <f>'Worksheet - DO NOT DELETE'!M$5*3</f>
        <v>372</v>
      </c>
      <c r="N40" s="329">
        <f t="shared" si="3"/>
        <v>4281</v>
      </c>
      <c r="O40" s="97"/>
    </row>
    <row r="41" spans="1:15" ht="16" hidden="1" outlineLevel="2">
      <c r="A41" s="11" t="s">
        <v>328</v>
      </c>
      <c r="B41" s="329">
        <f>'Worksheet - DO NOT DELETE'!B$5*3</f>
        <v>315</v>
      </c>
      <c r="C41" s="329">
        <f>'Worksheet - DO NOT DELETE'!C$5*3</f>
        <v>327</v>
      </c>
      <c r="D41" s="329">
        <f>'Worksheet - DO NOT DELETE'!D$5*3</f>
        <v>330</v>
      </c>
      <c r="E41" s="329">
        <f>'Worksheet - DO NOT DELETE'!E$5*3</f>
        <v>366</v>
      </c>
      <c r="F41" s="329">
        <f>'Worksheet - DO NOT DELETE'!F$5*3</f>
        <v>366</v>
      </c>
      <c r="G41" s="329">
        <f>'Worksheet - DO NOT DELETE'!G$5*3</f>
        <v>366</v>
      </c>
      <c r="H41" s="329">
        <f>'Worksheet - DO NOT DELETE'!H$5*3</f>
        <v>366</v>
      </c>
      <c r="I41" s="329">
        <f>'Worksheet - DO NOT DELETE'!I$5*3</f>
        <v>366</v>
      </c>
      <c r="J41" s="329">
        <f>'Worksheet - DO NOT DELETE'!J$5*3</f>
        <v>369</v>
      </c>
      <c r="K41" s="329">
        <f>'Worksheet - DO NOT DELETE'!K$5*3</f>
        <v>369</v>
      </c>
      <c r="L41" s="329">
        <f>'Worksheet - DO NOT DELETE'!L$5*3</f>
        <v>369</v>
      </c>
      <c r="M41" s="329">
        <f>'Worksheet - DO NOT DELETE'!M$5*3</f>
        <v>372</v>
      </c>
      <c r="N41" s="329">
        <f t="shared" si="3"/>
        <v>4281</v>
      </c>
      <c r="O41" s="97"/>
    </row>
    <row r="42" spans="1:15" ht="16" hidden="1" outlineLevel="2">
      <c r="A42" s="403" t="s">
        <v>329</v>
      </c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404"/>
      <c r="N42" s="329">
        <f t="shared" si="3"/>
        <v>0</v>
      </c>
      <c r="O42" s="97"/>
    </row>
    <row r="43" spans="1:15" ht="16" hidden="1" outlineLevel="2">
      <c r="A43" s="11" t="s">
        <v>330</v>
      </c>
      <c r="B43" s="329">
        <f>'Worksheet - DO NOT DELETE'!B6*-122</f>
        <v>-1220</v>
      </c>
      <c r="C43" s="329">
        <f>'Worksheet - DO NOT DELETE'!C6*-122</f>
        <v>-1220</v>
      </c>
      <c r="D43" s="329">
        <f>'Worksheet - DO NOT DELETE'!D6*-122</f>
        <v>-1586</v>
      </c>
      <c r="E43" s="329">
        <f>'Worksheet - DO NOT DELETE'!E6*-122</f>
        <v>-122</v>
      </c>
      <c r="F43" s="329">
        <f>'Worksheet - DO NOT DELETE'!F6*-122</f>
        <v>-122</v>
      </c>
      <c r="G43" s="329">
        <f>'Worksheet - DO NOT DELETE'!G6*-122</f>
        <v>-122</v>
      </c>
      <c r="H43" s="329">
        <f>'Worksheet - DO NOT DELETE'!H6*-122</f>
        <v>-122</v>
      </c>
      <c r="I43" s="329">
        <f>'Worksheet - DO NOT DELETE'!I6*-122</f>
        <v>-122</v>
      </c>
      <c r="J43" s="329">
        <f>'Worksheet - DO NOT DELETE'!J6*-122</f>
        <v>-122</v>
      </c>
      <c r="K43" s="329">
        <f>'Worksheet - DO NOT DELETE'!K6*-122</f>
        <v>-122</v>
      </c>
      <c r="L43" s="329">
        <f>'Worksheet - DO NOT DELETE'!L6*-122</f>
        <v>-122</v>
      </c>
      <c r="M43" s="329">
        <f>'Worksheet - DO NOT DELETE'!M6*-122</f>
        <v>0</v>
      </c>
      <c r="N43" s="329">
        <f t="shared" si="3"/>
        <v>-5002</v>
      </c>
      <c r="O43" s="97"/>
    </row>
    <row r="44" spans="1:15" ht="16">
      <c r="A44" s="9" t="s">
        <v>188</v>
      </c>
      <c r="B44" s="327">
        <f>SUM(B13:B43)</f>
        <v>16410</v>
      </c>
      <c r="C44" s="327">
        <f t="shared" ref="C44:M44" si="4">SUM(C13:C43)</f>
        <v>16593.2</v>
      </c>
      <c r="D44" s="327">
        <f t="shared" si="4"/>
        <v>16273</v>
      </c>
      <c r="E44" s="327">
        <f t="shared" si="4"/>
        <v>18286.599999999999</v>
      </c>
      <c r="F44" s="327">
        <f t="shared" si="4"/>
        <v>18286.599999999999</v>
      </c>
      <c r="G44" s="327">
        <f t="shared" si="4"/>
        <v>18286.599999999999</v>
      </c>
      <c r="H44" s="327">
        <f t="shared" si="4"/>
        <v>18286.599999999999</v>
      </c>
      <c r="I44" s="327">
        <f t="shared" si="4"/>
        <v>18286.599999999999</v>
      </c>
      <c r="J44" s="327">
        <f t="shared" si="4"/>
        <v>18332.400000000001</v>
      </c>
      <c r="K44" s="327">
        <f t="shared" si="4"/>
        <v>18332.400000000001</v>
      </c>
      <c r="L44" s="327">
        <f t="shared" si="4"/>
        <v>18332.400000000001</v>
      </c>
      <c r="M44" s="327">
        <f t="shared" si="4"/>
        <v>18500.2</v>
      </c>
      <c r="N44" s="327">
        <f>SUM(B44:M44)</f>
        <v>214206.6</v>
      </c>
      <c r="O44" s="97"/>
    </row>
    <row r="45" spans="1:15" ht="16">
      <c r="A45" s="9" t="s">
        <v>189</v>
      </c>
      <c r="B45" s="327">
        <f>B9+B44</f>
        <v>140046.20000000001</v>
      </c>
      <c r="C45" s="327">
        <f t="shared" ref="C45:M45" si="5">C9+C44</f>
        <v>141409.84000000003</v>
      </c>
      <c r="D45" s="327">
        <f t="shared" si="5"/>
        <v>136373.04442500003</v>
      </c>
      <c r="E45" s="327">
        <f t="shared" si="5"/>
        <v>160760.60576581504</v>
      </c>
      <c r="F45" s="327">
        <f t="shared" si="5"/>
        <v>160056.37253571741</v>
      </c>
      <c r="G45" s="327">
        <f t="shared" si="5"/>
        <v>160241.07624001385</v>
      </c>
      <c r="H45" s="327">
        <f t="shared" si="5"/>
        <v>161389.76535965034</v>
      </c>
      <c r="I45" s="327">
        <f t="shared" si="5"/>
        <v>161647.90905729771</v>
      </c>
      <c r="J45" s="327">
        <f t="shared" si="5"/>
        <v>163146.75656226143</v>
      </c>
      <c r="K45" s="327">
        <f t="shared" si="5"/>
        <v>164130.1980353111</v>
      </c>
      <c r="L45" s="327">
        <f t="shared" si="5"/>
        <v>164217.86271413226</v>
      </c>
      <c r="M45" s="327">
        <f t="shared" si="5"/>
        <v>165669.97042114119</v>
      </c>
      <c r="N45" s="327">
        <f>SUM(B45:M45)</f>
        <v>1879089.6011163406</v>
      </c>
      <c r="O45" s="98"/>
    </row>
    <row r="46" spans="1:15" ht="16" collapsed="1">
      <c r="A46" s="350" t="s">
        <v>190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</row>
    <row r="47" spans="1:15" ht="16" hidden="1" outlineLevel="1">
      <c r="A47" s="483" t="s">
        <v>331</v>
      </c>
      <c r="B47" s="484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5" ht="16" hidden="1" outlineLevel="1">
      <c r="A48" s="11" t="s">
        <v>191</v>
      </c>
      <c r="N48" s="77"/>
      <c r="O48" s="97"/>
    </row>
    <row r="49" spans="1:15" ht="16" hidden="1" outlineLevel="1">
      <c r="A49" s="11" t="s">
        <v>332</v>
      </c>
      <c r="B49" s="76"/>
      <c r="C49" s="76"/>
      <c r="D49" s="77"/>
      <c r="E49" s="76"/>
      <c r="F49" s="76"/>
      <c r="G49" s="77"/>
      <c r="H49" s="76"/>
      <c r="I49" s="76"/>
      <c r="J49" s="76"/>
      <c r="K49" s="76"/>
      <c r="L49" s="76"/>
      <c r="M49" s="76"/>
      <c r="N49" s="77"/>
      <c r="O49" s="97"/>
    </row>
    <row r="50" spans="1:15" ht="18" hidden="1" customHeight="1" outlineLevel="1">
      <c r="A50" s="330" t="s">
        <v>333</v>
      </c>
      <c r="B50" s="80">
        <f>MAX(B45*3%, 4500)</f>
        <v>4500</v>
      </c>
      <c r="C50" s="80">
        <f t="shared" ref="C50:M50" si="6">MAX(C45*3%, 4500)</f>
        <v>4500</v>
      </c>
      <c r="D50" s="80">
        <f t="shared" si="6"/>
        <v>4500</v>
      </c>
      <c r="E50" s="80">
        <f t="shared" si="6"/>
        <v>4822.818172974451</v>
      </c>
      <c r="F50" s="80">
        <f t="shared" si="6"/>
        <v>4801.691176071522</v>
      </c>
      <c r="G50" s="80">
        <f t="shared" si="6"/>
        <v>4807.2322872004152</v>
      </c>
      <c r="H50" s="80">
        <f t="shared" si="6"/>
        <v>4841.6929607895099</v>
      </c>
      <c r="I50" s="80">
        <f t="shared" si="6"/>
        <v>4849.4372717189317</v>
      </c>
      <c r="J50" s="80">
        <f t="shared" si="6"/>
        <v>4894.4026968678427</v>
      </c>
      <c r="K50" s="80">
        <f t="shared" si="6"/>
        <v>4923.9059410593327</v>
      </c>
      <c r="L50" s="80">
        <f t="shared" si="6"/>
        <v>4926.535881423968</v>
      </c>
      <c r="M50" s="80">
        <f t="shared" si="6"/>
        <v>4970.0991126342351</v>
      </c>
      <c r="N50" s="80">
        <f>SUM(B50:M50)</f>
        <v>57337.815500740209</v>
      </c>
      <c r="O50" s="97"/>
    </row>
    <row r="51" spans="1:15" ht="16" collapsed="1">
      <c r="A51" s="328" t="s">
        <v>334</v>
      </c>
      <c r="B51" s="327">
        <f>SUM(B48:B50)</f>
        <v>4500</v>
      </c>
      <c r="C51" s="327">
        <f t="shared" ref="C51:M51" si="7">SUM(C48:C50)</f>
        <v>4500</v>
      </c>
      <c r="D51" s="327">
        <f t="shared" si="7"/>
        <v>4500</v>
      </c>
      <c r="E51" s="327">
        <f t="shared" si="7"/>
        <v>4822.818172974451</v>
      </c>
      <c r="F51" s="327">
        <f t="shared" si="7"/>
        <v>4801.691176071522</v>
      </c>
      <c r="G51" s="327">
        <f t="shared" si="7"/>
        <v>4807.2322872004152</v>
      </c>
      <c r="H51" s="327">
        <f t="shared" si="7"/>
        <v>4841.6929607895099</v>
      </c>
      <c r="I51" s="327">
        <f t="shared" si="7"/>
        <v>4849.4372717189317</v>
      </c>
      <c r="J51" s="327">
        <f t="shared" si="7"/>
        <v>4894.4026968678427</v>
      </c>
      <c r="K51" s="327">
        <f t="shared" si="7"/>
        <v>4923.9059410593327</v>
      </c>
      <c r="L51" s="327">
        <f t="shared" si="7"/>
        <v>4926.535881423968</v>
      </c>
      <c r="M51" s="327">
        <f t="shared" si="7"/>
        <v>4970.0991126342351</v>
      </c>
      <c r="N51" s="331">
        <f>SUM(B51:M51)</f>
        <v>57337.815500740209</v>
      </c>
      <c r="O51" s="97"/>
    </row>
    <row r="52" spans="1:15" ht="16" hidden="1" outlineLevel="2">
      <c r="A52" s="9" t="s">
        <v>335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ht="16" hidden="1" outlineLevel="2">
      <c r="A53" s="11" t="s">
        <v>336</v>
      </c>
      <c r="B53" s="320">
        <v>45</v>
      </c>
      <c r="C53" s="320" t="s">
        <v>582</v>
      </c>
      <c r="D53" s="320" t="s">
        <v>582</v>
      </c>
      <c r="E53" s="320" t="s">
        <v>582</v>
      </c>
      <c r="F53" s="320" t="s">
        <v>582</v>
      </c>
      <c r="G53" s="320" t="s">
        <v>582</v>
      </c>
      <c r="H53" s="320" t="s">
        <v>582</v>
      </c>
      <c r="I53" s="320" t="s">
        <v>582</v>
      </c>
      <c r="J53" s="320" t="s">
        <v>582</v>
      </c>
      <c r="K53" s="320" t="s">
        <v>582</v>
      </c>
      <c r="L53" s="320" t="s">
        <v>582</v>
      </c>
      <c r="M53" s="320" t="s">
        <v>582</v>
      </c>
      <c r="N53" s="321">
        <f>SUM(B53:M53)</f>
        <v>45</v>
      </c>
      <c r="O53" s="97"/>
    </row>
    <row r="54" spans="1:15" ht="16" hidden="1" outlineLevel="2">
      <c r="A54" s="11" t="s">
        <v>337</v>
      </c>
      <c r="B54" s="244">
        <v>0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4">
        <v>0</v>
      </c>
      <c r="J54" s="244">
        <v>0</v>
      </c>
      <c r="K54" s="244">
        <v>0</v>
      </c>
      <c r="L54" s="244">
        <v>0</v>
      </c>
      <c r="M54" s="244">
        <v>0</v>
      </c>
      <c r="N54" s="321">
        <f t="shared" ref="N54:N76" si="8">SUM(B54:M54)</f>
        <v>0</v>
      </c>
      <c r="O54" s="97"/>
    </row>
    <row r="55" spans="1:15" ht="16" hidden="1" outlineLevel="2">
      <c r="A55" s="11" t="s">
        <v>338</v>
      </c>
      <c r="B55" s="320">
        <v>138.36000000000001</v>
      </c>
      <c r="C55" s="320">
        <v>138.36000000000001</v>
      </c>
      <c r="D55" s="320">
        <v>138.36000000000001</v>
      </c>
      <c r="E55" s="320">
        <v>138.36000000000001</v>
      </c>
      <c r="F55" s="320">
        <v>138.36000000000001</v>
      </c>
      <c r="G55" s="320">
        <v>138.36000000000001</v>
      </c>
      <c r="H55" s="320">
        <v>138.36000000000001</v>
      </c>
      <c r="I55" s="320">
        <v>138.36000000000001</v>
      </c>
      <c r="J55" s="320">
        <v>138.36000000000001</v>
      </c>
      <c r="K55" s="320">
        <v>138.36000000000001</v>
      </c>
      <c r="L55" s="320">
        <v>138.36000000000001</v>
      </c>
      <c r="M55" s="320">
        <v>138.36000000000001</v>
      </c>
      <c r="N55" s="321">
        <f t="shared" si="8"/>
        <v>1660.3200000000006</v>
      </c>
      <c r="O55" s="97"/>
    </row>
    <row r="56" spans="1:15" ht="16" hidden="1" outlineLevel="2">
      <c r="A56" s="11" t="s">
        <v>339</v>
      </c>
      <c r="B56" s="320">
        <v>439</v>
      </c>
      <c r="C56" s="320" t="s">
        <v>582</v>
      </c>
      <c r="D56" s="320" t="s">
        <v>582</v>
      </c>
      <c r="E56" s="320" t="s">
        <v>582</v>
      </c>
      <c r="F56" s="320" t="s">
        <v>582</v>
      </c>
      <c r="G56" s="320" t="s">
        <v>582</v>
      </c>
      <c r="H56" s="320"/>
      <c r="I56" s="320" t="s">
        <v>582</v>
      </c>
      <c r="J56" s="320" t="s">
        <v>582</v>
      </c>
      <c r="K56" s="320" t="s">
        <v>582</v>
      </c>
      <c r="L56" s="320" t="s">
        <v>582</v>
      </c>
      <c r="M56" s="320" t="s">
        <v>582</v>
      </c>
      <c r="N56" s="321">
        <f t="shared" si="8"/>
        <v>439</v>
      </c>
      <c r="O56" s="97"/>
    </row>
    <row r="57" spans="1:15" ht="16" hidden="1" outlineLevel="2">
      <c r="A57" s="11" t="s">
        <v>340</v>
      </c>
      <c r="B57" s="320" t="s">
        <v>582</v>
      </c>
      <c r="C57" s="320" t="s">
        <v>582</v>
      </c>
      <c r="D57" s="320" t="s">
        <v>582</v>
      </c>
      <c r="E57" s="320" t="s">
        <v>582</v>
      </c>
      <c r="F57" s="320" t="s">
        <v>582</v>
      </c>
      <c r="G57" s="320" t="s">
        <v>582</v>
      </c>
      <c r="H57" s="320" t="s">
        <v>582</v>
      </c>
      <c r="I57" s="320" t="s">
        <v>582</v>
      </c>
      <c r="J57" s="320" t="s">
        <v>582</v>
      </c>
      <c r="K57" s="320" t="s">
        <v>582</v>
      </c>
      <c r="L57" s="320" t="s">
        <v>582</v>
      </c>
      <c r="M57" s="320" t="s">
        <v>582</v>
      </c>
      <c r="N57" s="321">
        <f t="shared" si="8"/>
        <v>0</v>
      </c>
      <c r="O57" s="97"/>
    </row>
    <row r="58" spans="1:15" ht="16" hidden="1" outlineLevel="2">
      <c r="A58" s="11" t="s">
        <v>341</v>
      </c>
      <c r="B58" s="320" t="s">
        <v>582</v>
      </c>
      <c r="C58" s="320" t="s">
        <v>582</v>
      </c>
      <c r="D58" s="320" t="s">
        <v>582</v>
      </c>
      <c r="E58" s="320" t="s">
        <v>582</v>
      </c>
      <c r="F58" s="320" t="s">
        <v>582</v>
      </c>
      <c r="G58" s="320" t="s">
        <v>582</v>
      </c>
      <c r="H58" s="320" t="s">
        <v>582</v>
      </c>
      <c r="I58" s="320" t="s">
        <v>582</v>
      </c>
      <c r="J58" s="320" t="s">
        <v>582</v>
      </c>
      <c r="K58" s="320" t="s">
        <v>582</v>
      </c>
      <c r="L58" s="320" t="s">
        <v>582</v>
      </c>
      <c r="M58" s="320" t="s">
        <v>582</v>
      </c>
      <c r="N58" s="321">
        <f t="shared" si="8"/>
        <v>0</v>
      </c>
      <c r="O58" s="97"/>
    </row>
    <row r="59" spans="1:15" ht="16" hidden="1" outlineLevel="2">
      <c r="A59" s="11" t="s">
        <v>342</v>
      </c>
      <c r="B59" s="320" t="s">
        <v>582</v>
      </c>
      <c r="C59" s="320" t="s">
        <v>582</v>
      </c>
      <c r="D59" s="320" t="s">
        <v>582</v>
      </c>
      <c r="E59" s="320" t="s">
        <v>582</v>
      </c>
      <c r="F59" s="320" t="s">
        <v>582</v>
      </c>
      <c r="G59" s="320" t="s">
        <v>582</v>
      </c>
      <c r="H59" s="320" t="s">
        <v>582</v>
      </c>
      <c r="I59" s="320" t="s">
        <v>582</v>
      </c>
      <c r="J59" s="320" t="s">
        <v>582</v>
      </c>
      <c r="K59" s="320" t="s">
        <v>582</v>
      </c>
      <c r="L59" s="320" t="s">
        <v>582</v>
      </c>
      <c r="M59" s="320" t="s">
        <v>582</v>
      </c>
      <c r="N59" s="321">
        <f t="shared" si="8"/>
        <v>0</v>
      </c>
      <c r="O59" s="97"/>
    </row>
    <row r="60" spans="1:15" ht="16" hidden="1" outlineLevel="2">
      <c r="A60" s="11" t="s">
        <v>343</v>
      </c>
      <c r="B60" s="320">
        <v>61.39</v>
      </c>
      <c r="C60" s="320">
        <v>61.39</v>
      </c>
      <c r="D60" s="320">
        <v>61.39</v>
      </c>
      <c r="E60" s="320">
        <v>61.39</v>
      </c>
      <c r="F60" s="320">
        <v>61.39</v>
      </c>
      <c r="G60" s="320">
        <v>61.39</v>
      </c>
      <c r="H60" s="320">
        <v>61.39</v>
      </c>
      <c r="I60" s="320">
        <v>61.39</v>
      </c>
      <c r="J60" s="320">
        <v>61.39</v>
      </c>
      <c r="K60" s="320">
        <v>61.39</v>
      </c>
      <c r="L60" s="320">
        <v>61.39</v>
      </c>
      <c r="M60" s="320">
        <v>61.39</v>
      </c>
      <c r="N60" s="321">
        <f t="shared" si="8"/>
        <v>736.68</v>
      </c>
      <c r="O60" s="97"/>
    </row>
    <row r="61" spans="1:15" ht="16" hidden="1" outlineLevel="2">
      <c r="A61" s="11" t="s">
        <v>344</v>
      </c>
      <c r="B61" s="320" t="s">
        <v>582</v>
      </c>
      <c r="C61" s="320" t="s">
        <v>582</v>
      </c>
      <c r="D61" s="320" t="s">
        <v>582</v>
      </c>
      <c r="E61" s="320" t="s">
        <v>582</v>
      </c>
      <c r="F61" s="320" t="s">
        <v>582</v>
      </c>
      <c r="G61" s="320" t="s">
        <v>582</v>
      </c>
      <c r="H61" s="320" t="s">
        <v>582</v>
      </c>
      <c r="I61" s="320" t="s">
        <v>582</v>
      </c>
      <c r="J61" s="320" t="s">
        <v>582</v>
      </c>
      <c r="K61" s="320" t="s">
        <v>582</v>
      </c>
      <c r="L61" s="320">
        <v>277.36</v>
      </c>
      <c r="M61" s="320" t="s">
        <v>582</v>
      </c>
      <c r="N61" s="321">
        <f t="shared" si="8"/>
        <v>277.36</v>
      </c>
      <c r="O61" s="97"/>
    </row>
    <row r="62" spans="1:15" ht="16" hidden="1" outlineLevel="2">
      <c r="A62" s="11" t="s">
        <v>345</v>
      </c>
      <c r="B62" s="320">
        <v>16.25</v>
      </c>
      <c r="C62" s="320">
        <v>16.25</v>
      </c>
      <c r="D62" s="320">
        <v>16.25</v>
      </c>
      <c r="E62" s="320">
        <v>16.25</v>
      </c>
      <c r="F62" s="320">
        <v>16.25</v>
      </c>
      <c r="G62" s="320">
        <v>16.25</v>
      </c>
      <c r="H62" s="320">
        <v>16.25</v>
      </c>
      <c r="I62" s="320">
        <v>16.25</v>
      </c>
      <c r="J62" s="320">
        <v>16.25</v>
      </c>
      <c r="K62" s="320">
        <v>16.25</v>
      </c>
      <c r="L62" s="320">
        <v>16.25</v>
      </c>
      <c r="M62" s="320">
        <v>16.25</v>
      </c>
      <c r="N62" s="321">
        <f t="shared" si="8"/>
        <v>195</v>
      </c>
      <c r="O62" s="97"/>
    </row>
    <row r="63" spans="1:15" ht="16" hidden="1" outlineLevel="2">
      <c r="A63" s="11" t="s">
        <v>346</v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1">
        <f t="shared" si="8"/>
        <v>0</v>
      </c>
      <c r="O63" s="97"/>
    </row>
    <row r="64" spans="1:15" ht="16" hidden="1" outlineLevel="2">
      <c r="A64" s="11" t="s">
        <v>347</v>
      </c>
      <c r="B64" s="320">
        <v>500</v>
      </c>
      <c r="C64" s="320">
        <v>500</v>
      </c>
      <c r="D64" s="320">
        <v>500</v>
      </c>
      <c r="E64" s="320">
        <v>500</v>
      </c>
      <c r="F64" s="320">
        <v>500</v>
      </c>
      <c r="G64" s="320">
        <v>500</v>
      </c>
      <c r="H64" s="320">
        <v>500</v>
      </c>
      <c r="I64" s="320">
        <v>500</v>
      </c>
      <c r="J64" s="320">
        <v>500</v>
      </c>
      <c r="K64" s="320">
        <v>500</v>
      </c>
      <c r="L64" s="320">
        <v>500</v>
      </c>
      <c r="M64" s="320">
        <v>500</v>
      </c>
      <c r="N64" s="321">
        <f t="shared" si="8"/>
        <v>6000</v>
      </c>
      <c r="O64" s="97"/>
    </row>
    <row r="65" spans="1:15" ht="16" hidden="1" outlineLevel="2">
      <c r="A65" s="11" t="s">
        <v>348</v>
      </c>
      <c r="B65" s="320">
        <v>350</v>
      </c>
      <c r="C65" s="320">
        <v>350</v>
      </c>
      <c r="D65" s="320">
        <v>350</v>
      </c>
      <c r="E65" s="320">
        <v>350</v>
      </c>
      <c r="F65" s="320">
        <v>350</v>
      </c>
      <c r="G65" s="320">
        <v>350</v>
      </c>
      <c r="H65" s="320">
        <v>350</v>
      </c>
      <c r="I65" s="320">
        <v>350</v>
      </c>
      <c r="J65" s="320">
        <v>350</v>
      </c>
      <c r="K65" s="320">
        <v>350</v>
      </c>
      <c r="L65" s="320">
        <v>350</v>
      </c>
      <c r="M65" s="320">
        <v>350</v>
      </c>
      <c r="N65" s="321">
        <f t="shared" si="8"/>
        <v>4200</v>
      </c>
      <c r="O65" s="97"/>
    </row>
    <row r="66" spans="1:15" ht="16" hidden="1" outlineLevel="2">
      <c r="A66" s="11" t="s">
        <v>349</v>
      </c>
      <c r="B66" s="320" t="s">
        <v>582</v>
      </c>
      <c r="C66" s="320" t="s">
        <v>582</v>
      </c>
      <c r="D66" s="320" t="s">
        <v>582</v>
      </c>
      <c r="E66" s="320">
        <v>5300</v>
      </c>
      <c r="F66" s="320" t="s">
        <v>582</v>
      </c>
      <c r="G66" s="320" t="s">
        <v>582</v>
      </c>
      <c r="H66" s="320" t="s">
        <v>582</v>
      </c>
      <c r="I66" s="320" t="s">
        <v>582</v>
      </c>
      <c r="J66" s="320" t="s">
        <v>582</v>
      </c>
      <c r="K66" s="320" t="s">
        <v>582</v>
      </c>
      <c r="L66" s="320" t="s">
        <v>582</v>
      </c>
      <c r="M66" s="320" t="s">
        <v>582</v>
      </c>
      <c r="N66" s="321">
        <f t="shared" si="8"/>
        <v>5300</v>
      </c>
      <c r="O66" s="97"/>
    </row>
    <row r="67" spans="1:15" ht="16" hidden="1" outlineLevel="2">
      <c r="A67" s="11" t="s">
        <v>350</v>
      </c>
      <c r="B67" s="320">
        <v>17.329999999999998</v>
      </c>
      <c r="C67" s="320">
        <v>17.329999999999998</v>
      </c>
      <c r="D67" s="320">
        <v>17.329999999999998</v>
      </c>
      <c r="E67" s="320">
        <v>17.329999999999998</v>
      </c>
      <c r="F67" s="320">
        <v>17.329999999999998</v>
      </c>
      <c r="G67" s="320">
        <v>17.329999999999998</v>
      </c>
      <c r="H67" s="320">
        <v>17.329999999999998</v>
      </c>
      <c r="I67" s="320">
        <v>17.329999999999998</v>
      </c>
      <c r="J67" s="320">
        <v>17.329999999999998</v>
      </c>
      <c r="K67" s="320">
        <v>17.329999999999998</v>
      </c>
      <c r="L67" s="320">
        <v>17.329999999999998</v>
      </c>
      <c r="M67" s="320">
        <v>17.329999999999998</v>
      </c>
      <c r="N67" s="321">
        <f t="shared" si="8"/>
        <v>207.95999999999992</v>
      </c>
      <c r="O67" s="97"/>
    </row>
    <row r="68" spans="1:15" ht="16" hidden="1" outlineLevel="2">
      <c r="A68" s="11" t="s">
        <v>351</v>
      </c>
      <c r="B68" s="320" t="s">
        <v>582</v>
      </c>
      <c r="C68" s="320">
        <v>796.72</v>
      </c>
      <c r="D68" s="320" t="s">
        <v>582</v>
      </c>
      <c r="E68" s="320" t="s">
        <v>582</v>
      </c>
      <c r="F68" s="320">
        <v>700.35</v>
      </c>
      <c r="G68" s="320" t="s">
        <v>582</v>
      </c>
      <c r="H68" s="320" t="s">
        <v>582</v>
      </c>
      <c r="I68" s="320" t="s">
        <v>582</v>
      </c>
      <c r="J68" s="320" t="s">
        <v>582</v>
      </c>
      <c r="K68" s="320" t="s">
        <v>582</v>
      </c>
      <c r="L68" s="320" t="s">
        <v>582</v>
      </c>
      <c r="M68" s="320" t="s">
        <v>582</v>
      </c>
      <c r="N68" s="321">
        <f t="shared" si="8"/>
        <v>1497.0700000000002</v>
      </c>
      <c r="O68" s="97"/>
    </row>
    <row r="69" spans="1:15" ht="16" hidden="1" outlineLevel="2">
      <c r="A69" s="11" t="s">
        <v>352</v>
      </c>
      <c r="B69" s="320" t="s">
        <v>582</v>
      </c>
      <c r="C69" s="320" t="s">
        <v>582</v>
      </c>
      <c r="D69" s="320" t="s">
        <v>582</v>
      </c>
      <c r="E69" s="320" t="s">
        <v>582</v>
      </c>
      <c r="F69" s="320" t="s">
        <v>582</v>
      </c>
      <c r="G69" s="320" t="s">
        <v>582</v>
      </c>
      <c r="H69" s="320" t="s">
        <v>582</v>
      </c>
      <c r="I69" s="320" t="s">
        <v>582</v>
      </c>
      <c r="J69" s="320" t="s">
        <v>582</v>
      </c>
      <c r="K69" s="320" t="s">
        <v>582</v>
      </c>
      <c r="L69" s="320" t="s">
        <v>582</v>
      </c>
      <c r="M69" s="320" t="s">
        <v>582</v>
      </c>
      <c r="N69" s="321">
        <f t="shared" si="8"/>
        <v>0</v>
      </c>
      <c r="O69" s="97"/>
    </row>
    <row r="70" spans="1:15" ht="16" hidden="1" outlineLevel="2">
      <c r="A70" s="11" t="s">
        <v>353</v>
      </c>
      <c r="B70" s="320">
        <v>1107.22</v>
      </c>
      <c r="C70" s="320">
        <v>1107.22</v>
      </c>
      <c r="D70" s="320">
        <v>1107.22</v>
      </c>
      <c r="E70" s="320">
        <v>1107.22</v>
      </c>
      <c r="F70" s="320">
        <v>1107.22</v>
      </c>
      <c r="G70" s="320">
        <v>1107.22</v>
      </c>
      <c r="H70" s="320">
        <v>1107.22</v>
      </c>
      <c r="I70" s="320">
        <v>3307.22</v>
      </c>
      <c r="J70" s="320">
        <v>1407.22</v>
      </c>
      <c r="K70" s="320">
        <v>1107.22</v>
      </c>
      <c r="L70" s="320">
        <v>1107.22</v>
      </c>
      <c r="M70" s="320">
        <v>1107.22</v>
      </c>
      <c r="N70" s="321">
        <f t="shared" si="8"/>
        <v>15786.639999999998</v>
      </c>
      <c r="O70" s="97"/>
    </row>
    <row r="71" spans="1:15" ht="16" hidden="1" outlineLevel="2">
      <c r="A71" s="11" t="s">
        <v>354</v>
      </c>
      <c r="B71" s="320" t="s">
        <v>582</v>
      </c>
      <c r="C71" s="320" t="s">
        <v>582</v>
      </c>
      <c r="D71" s="320" t="s">
        <v>582</v>
      </c>
      <c r="E71" s="320" t="s">
        <v>582</v>
      </c>
      <c r="F71" s="320" t="s">
        <v>582</v>
      </c>
      <c r="G71" s="320" t="s">
        <v>582</v>
      </c>
      <c r="H71" s="320" t="s">
        <v>582</v>
      </c>
      <c r="I71" s="320" t="s">
        <v>582</v>
      </c>
      <c r="J71" s="320" t="s">
        <v>582</v>
      </c>
      <c r="K71" s="320" t="s">
        <v>582</v>
      </c>
      <c r="L71" s="320" t="s">
        <v>582</v>
      </c>
      <c r="M71" s="320" t="s">
        <v>582</v>
      </c>
      <c r="N71" s="321">
        <f t="shared" si="8"/>
        <v>0</v>
      </c>
      <c r="O71" s="97"/>
    </row>
    <row r="72" spans="1:15" ht="16" hidden="1" outlineLevel="2">
      <c r="A72" s="11" t="s">
        <v>355</v>
      </c>
      <c r="B72" s="320" t="s">
        <v>582</v>
      </c>
      <c r="C72" s="320" t="s">
        <v>582</v>
      </c>
      <c r="D72" s="320" t="s">
        <v>582</v>
      </c>
      <c r="E72" s="320" t="s">
        <v>582</v>
      </c>
      <c r="F72" s="320" t="s">
        <v>582</v>
      </c>
      <c r="G72" s="320" t="s">
        <v>582</v>
      </c>
      <c r="H72" s="320" t="s">
        <v>582</v>
      </c>
      <c r="I72" s="320" t="s">
        <v>582</v>
      </c>
      <c r="J72" s="320" t="s">
        <v>582</v>
      </c>
      <c r="K72" s="320" t="s">
        <v>582</v>
      </c>
      <c r="L72" s="320" t="s">
        <v>582</v>
      </c>
      <c r="M72" s="320" t="s">
        <v>582</v>
      </c>
      <c r="N72" s="321">
        <f t="shared" si="8"/>
        <v>0</v>
      </c>
      <c r="O72" s="97"/>
    </row>
    <row r="73" spans="1:15" ht="16" hidden="1" outlineLevel="2">
      <c r="A73" s="11" t="s">
        <v>356</v>
      </c>
      <c r="B73" s="320" t="s">
        <v>582</v>
      </c>
      <c r="C73" s="320" t="s">
        <v>582</v>
      </c>
      <c r="D73" s="320" t="s">
        <v>582</v>
      </c>
      <c r="E73" s="320" t="s">
        <v>582</v>
      </c>
      <c r="F73" s="320" t="s">
        <v>582</v>
      </c>
      <c r="G73" s="320" t="s">
        <v>582</v>
      </c>
      <c r="H73" s="320" t="s">
        <v>582</v>
      </c>
      <c r="I73" s="320" t="s">
        <v>582</v>
      </c>
      <c r="J73" s="320" t="s">
        <v>582</v>
      </c>
      <c r="K73" s="320" t="s">
        <v>582</v>
      </c>
      <c r="L73" s="320" t="s">
        <v>582</v>
      </c>
      <c r="M73" s="320" t="s">
        <v>582</v>
      </c>
      <c r="N73" s="321">
        <f t="shared" si="8"/>
        <v>0</v>
      </c>
      <c r="O73" s="97"/>
    </row>
    <row r="74" spans="1:15" ht="16" hidden="1" outlineLevel="2">
      <c r="A74" s="11" t="s">
        <v>357</v>
      </c>
      <c r="B74" s="320" t="s">
        <v>582</v>
      </c>
      <c r="C74" s="320" t="s">
        <v>582</v>
      </c>
      <c r="D74" s="320" t="s">
        <v>582</v>
      </c>
      <c r="E74" s="320" t="s">
        <v>582</v>
      </c>
      <c r="F74" s="320" t="s">
        <v>582</v>
      </c>
      <c r="G74" s="320" t="s">
        <v>582</v>
      </c>
      <c r="H74" s="320" t="s">
        <v>582</v>
      </c>
      <c r="I74" s="320" t="s">
        <v>582</v>
      </c>
      <c r="J74" s="320" t="s">
        <v>582</v>
      </c>
      <c r="K74" s="320" t="s">
        <v>582</v>
      </c>
      <c r="L74" s="320">
        <v>148.74</v>
      </c>
      <c r="M74" s="320" t="s">
        <v>582</v>
      </c>
      <c r="N74" s="321">
        <f t="shared" si="8"/>
        <v>148.74</v>
      </c>
      <c r="O74" s="97"/>
    </row>
    <row r="75" spans="1:15" ht="16" hidden="1" outlineLevel="2">
      <c r="A75" s="11" t="s">
        <v>358</v>
      </c>
      <c r="B75" s="320">
        <v>100</v>
      </c>
      <c r="C75" s="320">
        <v>100</v>
      </c>
      <c r="D75" s="320">
        <v>100</v>
      </c>
      <c r="E75" s="320">
        <v>100</v>
      </c>
      <c r="F75" s="320">
        <v>100</v>
      </c>
      <c r="G75" s="320">
        <v>100</v>
      </c>
      <c r="H75" s="320">
        <v>100</v>
      </c>
      <c r="I75" s="320">
        <v>100</v>
      </c>
      <c r="J75" s="320">
        <v>100</v>
      </c>
      <c r="K75" s="320">
        <v>100</v>
      </c>
      <c r="L75" s="320">
        <v>100</v>
      </c>
      <c r="M75" s="320">
        <v>100</v>
      </c>
      <c r="N75" s="321">
        <f t="shared" si="8"/>
        <v>1200</v>
      </c>
      <c r="O75" s="97"/>
    </row>
    <row r="76" spans="1:15" ht="16" hidden="1" outlineLevel="2">
      <c r="A76" s="11" t="s">
        <v>359</v>
      </c>
      <c r="B76" s="320">
        <v>6.5</v>
      </c>
      <c r="C76" s="320">
        <v>6.5</v>
      </c>
      <c r="D76" s="320">
        <v>6.5</v>
      </c>
      <c r="E76" s="320">
        <v>6.5</v>
      </c>
      <c r="F76" s="320">
        <v>6.5</v>
      </c>
      <c r="G76" s="320">
        <v>6.5</v>
      </c>
      <c r="H76" s="320">
        <v>6.5</v>
      </c>
      <c r="I76" s="320">
        <v>6.5</v>
      </c>
      <c r="J76" s="320">
        <v>6.5</v>
      </c>
      <c r="K76" s="320">
        <v>6.5</v>
      </c>
      <c r="L76" s="320">
        <v>6.5</v>
      </c>
      <c r="M76" s="320">
        <v>6.5</v>
      </c>
      <c r="N76" s="321">
        <f t="shared" si="8"/>
        <v>78</v>
      </c>
      <c r="O76" s="97"/>
    </row>
    <row r="77" spans="1:15" ht="16" collapsed="1">
      <c r="A77" s="328" t="s">
        <v>192</v>
      </c>
      <c r="B77" s="327">
        <f>SUM(B53:B76)</f>
        <v>2781.05</v>
      </c>
      <c r="C77" s="327">
        <f t="shared" ref="C77:M77" si="9">SUM(C53:C76)</f>
        <v>3093.77</v>
      </c>
      <c r="D77" s="327">
        <f t="shared" si="9"/>
        <v>2297.0500000000002</v>
      </c>
      <c r="E77" s="327">
        <f t="shared" si="9"/>
        <v>7597.05</v>
      </c>
      <c r="F77" s="327">
        <f t="shared" si="9"/>
        <v>2997.3999999999996</v>
      </c>
      <c r="G77" s="327">
        <f t="shared" si="9"/>
        <v>2297.0500000000002</v>
      </c>
      <c r="H77" s="327">
        <f t="shared" si="9"/>
        <v>2297.0500000000002</v>
      </c>
      <c r="I77" s="327">
        <f t="shared" si="9"/>
        <v>4497.0499999999993</v>
      </c>
      <c r="J77" s="327">
        <f t="shared" si="9"/>
        <v>2597.0500000000002</v>
      </c>
      <c r="K77" s="327">
        <f t="shared" si="9"/>
        <v>2297.0500000000002</v>
      </c>
      <c r="L77" s="327">
        <f t="shared" si="9"/>
        <v>2723.1499999999996</v>
      </c>
      <c r="M77" s="327">
        <f t="shared" si="9"/>
        <v>2297.0500000000002</v>
      </c>
      <c r="N77" s="331">
        <f>SUM(B77:M77)</f>
        <v>37771.769999999997</v>
      </c>
      <c r="O77" s="97"/>
    </row>
    <row r="78" spans="1:15" ht="16" hidden="1" outlineLevel="1">
      <c r="A78" s="9" t="s">
        <v>360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5" ht="16" hidden="1" outlineLevel="1">
      <c r="A79" s="11" t="s">
        <v>361</v>
      </c>
      <c r="B79" s="11" t="s">
        <v>582</v>
      </c>
      <c r="C79" s="11" t="s">
        <v>582</v>
      </c>
      <c r="D79" s="11" t="s">
        <v>582</v>
      </c>
      <c r="E79" s="11" t="s">
        <v>582</v>
      </c>
      <c r="F79" s="11" t="s">
        <v>582</v>
      </c>
      <c r="G79" s="11" t="s">
        <v>582</v>
      </c>
      <c r="H79" s="11" t="s">
        <v>582</v>
      </c>
      <c r="I79" s="11" t="s">
        <v>582</v>
      </c>
      <c r="J79" s="11" t="s">
        <v>582</v>
      </c>
      <c r="K79" s="11" t="s">
        <v>582</v>
      </c>
      <c r="L79" s="11" t="s">
        <v>582</v>
      </c>
      <c r="M79" s="11" t="s">
        <v>582</v>
      </c>
      <c r="N79" s="77"/>
      <c r="O79" s="9"/>
    </row>
    <row r="80" spans="1:15" ht="16" hidden="1" outlineLevel="1">
      <c r="A80" s="11" t="s">
        <v>362</v>
      </c>
      <c r="B80" s="323">
        <v>400</v>
      </c>
      <c r="C80" s="323">
        <v>400</v>
      </c>
      <c r="D80" s="323">
        <v>400</v>
      </c>
      <c r="E80" s="323">
        <v>400</v>
      </c>
      <c r="F80" s="323">
        <v>400</v>
      </c>
      <c r="G80" s="323">
        <v>400</v>
      </c>
      <c r="H80" s="323">
        <v>400</v>
      </c>
      <c r="I80" s="323">
        <v>400</v>
      </c>
      <c r="J80" s="323">
        <v>400</v>
      </c>
      <c r="K80" s="323">
        <v>400</v>
      </c>
      <c r="L80" s="323">
        <v>400</v>
      </c>
      <c r="M80" s="323">
        <v>400</v>
      </c>
      <c r="N80" s="77">
        <f t="shared" ref="N80:N86" si="10">SUM(B80:M80)</f>
        <v>4800</v>
      </c>
      <c r="O80" s="9"/>
    </row>
    <row r="81" spans="1:15" ht="16" hidden="1" outlineLevel="1">
      <c r="A81" s="11" t="s">
        <v>363</v>
      </c>
      <c r="B81" s="323">
        <v>400</v>
      </c>
      <c r="C81" s="323">
        <v>400</v>
      </c>
      <c r="D81" s="11" t="s">
        <v>582</v>
      </c>
      <c r="E81" s="323">
        <v>1000</v>
      </c>
      <c r="F81" s="323">
        <v>200</v>
      </c>
      <c r="G81" s="323">
        <v>200</v>
      </c>
      <c r="H81" s="323">
        <v>600</v>
      </c>
      <c r="I81" s="323">
        <v>2400</v>
      </c>
      <c r="J81" s="323">
        <v>800</v>
      </c>
      <c r="K81" s="323">
        <v>767</v>
      </c>
      <c r="L81" s="323">
        <v>600</v>
      </c>
      <c r="M81" s="323">
        <v>1000</v>
      </c>
      <c r="N81" s="77">
        <f t="shared" si="10"/>
        <v>8367</v>
      </c>
      <c r="O81" s="9"/>
    </row>
    <row r="82" spans="1:15" ht="16" hidden="1" outlineLevel="1">
      <c r="A82" s="11" t="s">
        <v>364</v>
      </c>
      <c r="B82" s="323">
        <v>50</v>
      </c>
      <c r="C82" s="323">
        <v>50</v>
      </c>
      <c r="D82" s="323">
        <v>50</v>
      </c>
      <c r="E82" s="323">
        <v>50</v>
      </c>
      <c r="F82" s="323">
        <v>50</v>
      </c>
      <c r="G82" s="323">
        <v>50</v>
      </c>
      <c r="H82" s="323">
        <v>50</v>
      </c>
      <c r="I82" s="323">
        <v>50</v>
      </c>
      <c r="J82" s="323">
        <v>50</v>
      </c>
      <c r="K82" s="323">
        <v>50</v>
      </c>
      <c r="L82" s="323">
        <v>50</v>
      </c>
      <c r="M82" s="323">
        <v>50</v>
      </c>
      <c r="N82" s="77">
        <f t="shared" si="10"/>
        <v>600</v>
      </c>
      <c r="O82" s="9"/>
    </row>
    <row r="83" spans="1:15" ht="16" hidden="1" outlineLevel="1">
      <c r="A83" s="11" t="s">
        <v>365</v>
      </c>
      <c r="B83" s="323">
        <v>300</v>
      </c>
      <c r="C83" s="323">
        <v>300</v>
      </c>
      <c r="D83" s="323">
        <v>300</v>
      </c>
      <c r="E83" s="323">
        <v>300</v>
      </c>
      <c r="F83" s="323">
        <v>300</v>
      </c>
      <c r="G83" s="323">
        <v>300</v>
      </c>
      <c r="H83" s="323">
        <v>300</v>
      </c>
      <c r="I83" s="323">
        <v>300</v>
      </c>
      <c r="J83" s="323">
        <v>300</v>
      </c>
      <c r="K83" s="323">
        <v>300</v>
      </c>
      <c r="L83" s="323">
        <v>300</v>
      </c>
      <c r="M83" s="323">
        <v>300</v>
      </c>
      <c r="N83" s="77">
        <f t="shared" si="10"/>
        <v>3600</v>
      </c>
      <c r="O83" s="9"/>
    </row>
    <row r="84" spans="1:15" ht="16" hidden="1" outlineLevel="1">
      <c r="A84" s="11" t="s">
        <v>366</v>
      </c>
      <c r="B84" s="323">
        <v>200</v>
      </c>
      <c r="C84" s="323">
        <v>200</v>
      </c>
      <c r="D84" s="11" t="s">
        <v>582</v>
      </c>
      <c r="E84" s="323">
        <v>500</v>
      </c>
      <c r="F84" s="323">
        <v>100</v>
      </c>
      <c r="G84" s="323">
        <v>100</v>
      </c>
      <c r="H84" s="323">
        <v>300</v>
      </c>
      <c r="I84" s="323">
        <v>1200</v>
      </c>
      <c r="J84" s="323">
        <v>400</v>
      </c>
      <c r="K84" s="323">
        <v>383</v>
      </c>
      <c r="L84" s="323">
        <v>300</v>
      </c>
      <c r="M84" s="323">
        <v>500</v>
      </c>
      <c r="N84" s="77">
        <f t="shared" si="10"/>
        <v>4183</v>
      </c>
      <c r="O84" s="97"/>
    </row>
    <row r="85" spans="1:15" ht="16" hidden="1" outlineLevel="1">
      <c r="A85" s="11" t="s">
        <v>367</v>
      </c>
      <c r="B85" s="323">
        <v>860</v>
      </c>
      <c r="C85" s="323">
        <v>860</v>
      </c>
      <c r="D85" s="323">
        <v>860</v>
      </c>
      <c r="E85" s="323">
        <v>860</v>
      </c>
      <c r="F85" s="323">
        <v>860</v>
      </c>
      <c r="G85" s="323">
        <v>860</v>
      </c>
      <c r="H85" s="323">
        <v>860</v>
      </c>
      <c r="I85" s="323">
        <v>860</v>
      </c>
      <c r="J85" s="323">
        <v>860</v>
      </c>
      <c r="K85" s="323">
        <v>860</v>
      </c>
      <c r="L85" s="323">
        <v>860</v>
      </c>
      <c r="M85" s="323">
        <v>860</v>
      </c>
      <c r="N85" s="77">
        <f t="shared" si="10"/>
        <v>10320</v>
      </c>
      <c r="O85" s="97"/>
    </row>
    <row r="86" spans="1:15" ht="16" collapsed="1">
      <c r="A86" s="328" t="s">
        <v>193</v>
      </c>
      <c r="B86" s="327">
        <f t="shared" ref="B86:M86" si="11">SUM(B79:B85)</f>
        <v>2210</v>
      </c>
      <c r="C86" s="327">
        <f t="shared" si="11"/>
        <v>2210</v>
      </c>
      <c r="D86" s="327">
        <f t="shared" si="11"/>
        <v>1610</v>
      </c>
      <c r="E86" s="327">
        <f t="shared" si="11"/>
        <v>3110</v>
      </c>
      <c r="F86" s="327">
        <f t="shared" si="11"/>
        <v>1910</v>
      </c>
      <c r="G86" s="327">
        <f t="shared" si="11"/>
        <v>1910</v>
      </c>
      <c r="H86" s="327">
        <f t="shared" si="11"/>
        <v>2510</v>
      </c>
      <c r="I86" s="327">
        <f t="shared" si="11"/>
        <v>5210</v>
      </c>
      <c r="J86" s="327">
        <f t="shared" si="11"/>
        <v>2810</v>
      </c>
      <c r="K86" s="327">
        <f t="shared" si="11"/>
        <v>2760</v>
      </c>
      <c r="L86" s="327">
        <f t="shared" si="11"/>
        <v>2510</v>
      </c>
      <c r="M86" s="327">
        <f t="shared" si="11"/>
        <v>3110</v>
      </c>
      <c r="N86" s="331">
        <f t="shared" si="10"/>
        <v>31870</v>
      </c>
      <c r="O86" s="97"/>
    </row>
    <row r="87" spans="1:15" ht="16" hidden="1" outlineLevel="1">
      <c r="A87" s="9" t="s">
        <v>194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5" ht="16" hidden="1" outlineLevel="1">
      <c r="A88" s="11" t="s">
        <v>368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7">
        <f t="shared" ref="N88:N96" si="12">SUM(B88:M88)</f>
        <v>0</v>
      </c>
      <c r="O88" s="97"/>
    </row>
    <row r="89" spans="1:15" ht="16" hidden="1" outlineLevel="1">
      <c r="A89" s="11" t="s">
        <v>369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7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7">
        <f t="shared" si="12"/>
        <v>0</v>
      </c>
      <c r="O89" s="97"/>
    </row>
    <row r="90" spans="1:15" ht="16" hidden="1" outlineLevel="1">
      <c r="A90" s="11" t="s">
        <v>370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7">
        <f t="shared" si="12"/>
        <v>0</v>
      </c>
      <c r="O90" s="97"/>
    </row>
    <row r="91" spans="1:15" ht="16" hidden="1" outlineLevel="1">
      <c r="A91" s="11" t="s">
        <v>371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9">
        <v>0</v>
      </c>
      <c r="L91" s="76">
        <v>0</v>
      </c>
      <c r="M91" s="76">
        <v>0</v>
      </c>
      <c r="N91" s="77">
        <f t="shared" si="12"/>
        <v>0</v>
      </c>
      <c r="O91" s="97"/>
    </row>
    <row r="92" spans="1:15" ht="16" hidden="1" outlineLevel="1">
      <c r="A92" s="11" t="s">
        <v>372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7">
        <f t="shared" si="12"/>
        <v>0</v>
      </c>
      <c r="O92" s="97"/>
    </row>
    <row r="93" spans="1:15" ht="16" hidden="1" outlineLevel="1">
      <c r="A93" s="11" t="s">
        <v>373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163.95</v>
      </c>
      <c r="L93" s="76">
        <v>0</v>
      </c>
      <c r="M93" s="76">
        <v>0</v>
      </c>
      <c r="N93" s="77">
        <f t="shared" si="12"/>
        <v>163.95</v>
      </c>
      <c r="O93" s="97"/>
    </row>
    <row r="94" spans="1:15" ht="16" hidden="1" outlineLevel="1">
      <c r="A94" s="100" t="s">
        <v>374</v>
      </c>
      <c r="B94" s="77">
        <v>2832</v>
      </c>
      <c r="C94" s="77">
        <v>2832</v>
      </c>
      <c r="D94" s="77">
        <v>2832</v>
      </c>
      <c r="E94" s="77">
        <v>2832</v>
      </c>
      <c r="F94" s="77">
        <v>2832</v>
      </c>
      <c r="G94" s="77">
        <v>2832</v>
      </c>
      <c r="H94" s="77">
        <v>2832</v>
      </c>
      <c r="I94" s="77">
        <v>2832</v>
      </c>
      <c r="J94" s="77">
        <v>2832</v>
      </c>
      <c r="K94" s="77">
        <v>1300</v>
      </c>
      <c r="L94" s="77">
        <v>1300</v>
      </c>
      <c r="M94" s="77">
        <v>1300</v>
      </c>
      <c r="N94" s="77">
        <f t="shared" si="12"/>
        <v>29388</v>
      </c>
      <c r="O94" s="97" t="s">
        <v>680</v>
      </c>
    </row>
    <row r="95" spans="1:15" ht="16" hidden="1" outlineLevel="1">
      <c r="A95" s="11" t="s">
        <v>375</v>
      </c>
      <c r="B95" s="76">
        <v>730</v>
      </c>
      <c r="C95" s="76">
        <v>730</v>
      </c>
      <c r="D95" s="76">
        <v>730</v>
      </c>
      <c r="E95" s="76">
        <v>730</v>
      </c>
      <c r="F95" s="76">
        <v>730</v>
      </c>
      <c r="G95" s="76">
        <v>730</v>
      </c>
      <c r="H95" s="76">
        <v>730</v>
      </c>
      <c r="I95" s="76">
        <v>730</v>
      </c>
      <c r="J95" s="76">
        <v>730</v>
      </c>
      <c r="K95" s="76">
        <v>730</v>
      </c>
      <c r="L95" s="76">
        <v>730</v>
      </c>
      <c r="M95" s="76">
        <v>730</v>
      </c>
      <c r="N95" s="77">
        <f t="shared" si="12"/>
        <v>8760</v>
      </c>
      <c r="O95" s="97"/>
    </row>
    <row r="96" spans="1:15" ht="16" collapsed="1">
      <c r="A96" s="328" t="s">
        <v>195</v>
      </c>
      <c r="B96" s="327">
        <f>SUM(B88:B95)</f>
        <v>3562</v>
      </c>
      <c r="C96" s="327">
        <f t="shared" ref="C96:M96" si="13">SUM(C88:C95)</f>
        <v>3562</v>
      </c>
      <c r="D96" s="327">
        <f t="shared" si="13"/>
        <v>3562</v>
      </c>
      <c r="E96" s="327">
        <f t="shared" si="13"/>
        <v>3562</v>
      </c>
      <c r="F96" s="327">
        <f t="shared" si="13"/>
        <v>3562</v>
      </c>
      <c r="G96" s="327">
        <f t="shared" si="13"/>
        <v>3562</v>
      </c>
      <c r="H96" s="327">
        <f t="shared" si="13"/>
        <v>3562</v>
      </c>
      <c r="I96" s="327">
        <f t="shared" si="13"/>
        <v>3562</v>
      </c>
      <c r="J96" s="327">
        <f t="shared" si="13"/>
        <v>3562</v>
      </c>
      <c r="K96" s="327">
        <f t="shared" si="13"/>
        <v>2193.9499999999998</v>
      </c>
      <c r="L96" s="327">
        <f t="shared" si="13"/>
        <v>2030</v>
      </c>
      <c r="M96" s="327">
        <f t="shared" si="13"/>
        <v>2030</v>
      </c>
      <c r="N96" s="331">
        <f t="shared" si="12"/>
        <v>38311.949999999997</v>
      </c>
      <c r="O96" s="97"/>
    </row>
    <row r="97" spans="1:15" ht="16" hidden="1" outlineLevel="1">
      <c r="A97" s="483" t="s">
        <v>376</v>
      </c>
      <c r="B97" s="484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5" ht="16" hidden="1" outlineLevel="1">
      <c r="A98" s="11" t="s">
        <v>377</v>
      </c>
      <c r="B98" s="323">
        <v>900</v>
      </c>
      <c r="C98" s="323">
        <v>900</v>
      </c>
      <c r="D98" s="323">
        <v>900</v>
      </c>
      <c r="E98" s="323">
        <v>900</v>
      </c>
      <c r="F98" s="323">
        <v>900</v>
      </c>
      <c r="G98" s="323">
        <v>900</v>
      </c>
      <c r="H98" s="323">
        <v>900</v>
      </c>
      <c r="I98" s="323">
        <v>900</v>
      </c>
      <c r="J98" s="323">
        <v>900</v>
      </c>
      <c r="K98" s="323">
        <v>900</v>
      </c>
      <c r="L98" s="323">
        <v>900</v>
      </c>
      <c r="M98" s="323">
        <v>900</v>
      </c>
      <c r="N98" s="324">
        <f>SUM(B98:M98)</f>
        <v>10800</v>
      </c>
      <c r="O98" s="256" t="s">
        <v>629</v>
      </c>
    </row>
    <row r="99" spans="1:15" ht="16" hidden="1" outlineLevel="1">
      <c r="A99" s="11" t="s">
        <v>378</v>
      </c>
      <c r="B99" s="323">
        <v>900</v>
      </c>
      <c r="C99" s="323">
        <v>900</v>
      </c>
      <c r="D99" s="323">
        <v>900</v>
      </c>
      <c r="E99" s="323">
        <v>900</v>
      </c>
      <c r="F99" s="323">
        <v>900</v>
      </c>
      <c r="G99" s="323">
        <v>900</v>
      </c>
      <c r="H99" s="323">
        <v>900</v>
      </c>
      <c r="I99" s="323">
        <v>900</v>
      </c>
      <c r="J99" s="323">
        <v>900</v>
      </c>
      <c r="K99" s="323">
        <v>900</v>
      </c>
      <c r="L99" s="323">
        <v>900</v>
      </c>
      <c r="M99" s="323">
        <v>900</v>
      </c>
      <c r="N99" s="324">
        <f t="shared" ref="N99:N106" si="14">SUM(B99:M99)</f>
        <v>10800</v>
      </c>
      <c r="O99" s="256" t="s">
        <v>629</v>
      </c>
    </row>
    <row r="100" spans="1:15" ht="16" hidden="1" outlineLevel="1">
      <c r="A100" s="11" t="s">
        <v>379</v>
      </c>
      <c r="B100" s="323">
        <v>212</v>
      </c>
      <c r="C100" s="323">
        <v>212</v>
      </c>
      <c r="D100" s="323">
        <v>212</v>
      </c>
      <c r="E100" s="323">
        <v>212</v>
      </c>
      <c r="F100" s="323">
        <v>212</v>
      </c>
      <c r="G100" s="323">
        <v>212</v>
      </c>
      <c r="H100" s="323">
        <v>212</v>
      </c>
      <c r="I100" s="323">
        <v>212</v>
      </c>
      <c r="J100" s="323">
        <v>212</v>
      </c>
      <c r="K100" s="323">
        <v>212</v>
      </c>
      <c r="L100" s="323">
        <v>212</v>
      </c>
      <c r="M100" s="323">
        <v>212</v>
      </c>
      <c r="N100" s="324">
        <f t="shared" si="14"/>
        <v>2544</v>
      </c>
      <c r="O100" s="326" t="s">
        <v>633</v>
      </c>
    </row>
    <row r="101" spans="1:15" ht="16" hidden="1" outlineLevel="1">
      <c r="A101" s="11" t="s">
        <v>380</v>
      </c>
      <c r="B101" s="323">
        <v>250</v>
      </c>
      <c r="C101" s="323">
        <v>250</v>
      </c>
      <c r="D101" s="323">
        <v>250</v>
      </c>
      <c r="E101" s="323">
        <v>250</v>
      </c>
      <c r="F101" s="323">
        <v>250</v>
      </c>
      <c r="G101" s="323">
        <v>250</v>
      </c>
      <c r="H101" s="323">
        <v>250</v>
      </c>
      <c r="I101" s="323">
        <v>250</v>
      </c>
      <c r="J101" s="323">
        <v>250</v>
      </c>
      <c r="K101" s="323">
        <v>250</v>
      </c>
      <c r="L101" s="323">
        <v>250</v>
      </c>
      <c r="M101" s="323">
        <v>250</v>
      </c>
      <c r="N101" s="324">
        <f t="shared" si="14"/>
        <v>3000</v>
      </c>
      <c r="O101" s="326" t="s">
        <v>630</v>
      </c>
    </row>
    <row r="102" spans="1:15" ht="16" hidden="1" outlineLevel="1">
      <c r="A102" s="11" t="s">
        <v>381</v>
      </c>
      <c r="B102" s="323">
        <v>500</v>
      </c>
      <c r="C102" s="323">
        <v>500</v>
      </c>
      <c r="D102" s="323">
        <v>500</v>
      </c>
      <c r="E102" s="323">
        <v>500</v>
      </c>
      <c r="F102" s="323">
        <v>500</v>
      </c>
      <c r="G102" s="323">
        <v>500</v>
      </c>
      <c r="H102" s="323">
        <v>500</v>
      </c>
      <c r="I102" s="323">
        <v>500</v>
      </c>
      <c r="J102" s="323">
        <v>500</v>
      </c>
      <c r="K102" s="323">
        <v>500</v>
      </c>
      <c r="L102" s="323">
        <v>500</v>
      </c>
      <c r="M102" s="323">
        <v>500</v>
      </c>
      <c r="N102" s="324">
        <f t="shared" si="14"/>
        <v>6000</v>
      </c>
      <c r="O102" s="326" t="s">
        <v>631</v>
      </c>
    </row>
    <row r="103" spans="1:15" ht="16" hidden="1" outlineLevel="1">
      <c r="A103" s="11" t="s">
        <v>382</v>
      </c>
      <c r="B103" s="323">
        <v>80</v>
      </c>
      <c r="C103" s="323">
        <v>80</v>
      </c>
      <c r="D103" s="323">
        <v>80</v>
      </c>
      <c r="E103" s="323">
        <v>80</v>
      </c>
      <c r="F103" s="323">
        <v>80</v>
      </c>
      <c r="G103" s="323">
        <v>80</v>
      </c>
      <c r="H103" s="323">
        <v>80</v>
      </c>
      <c r="I103" s="323">
        <v>80</v>
      </c>
      <c r="J103" s="323">
        <v>80</v>
      </c>
      <c r="K103" s="323">
        <v>80</v>
      </c>
      <c r="L103" s="323">
        <v>80</v>
      </c>
      <c r="M103" s="323">
        <v>80</v>
      </c>
      <c r="N103" s="324">
        <f t="shared" si="14"/>
        <v>960</v>
      </c>
      <c r="O103" s="256" t="s">
        <v>629</v>
      </c>
    </row>
    <row r="104" spans="1:15" ht="16" hidden="1" outlineLevel="1">
      <c r="A104" s="11" t="s">
        <v>383</v>
      </c>
      <c r="B104" s="323">
        <v>205</v>
      </c>
      <c r="C104" s="323">
        <v>205</v>
      </c>
      <c r="D104" s="323">
        <v>205</v>
      </c>
      <c r="E104" s="323">
        <v>205</v>
      </c>
      <c r="F104" s="323">
        <v>205</v>
      </c>
      <c r="G104" s="323">
        <v>205</v>
      </c>
      <c r="H104" s="323">
        <v>205</v>
      </c>
      <c r="I104" s="323">
        <v>205</v>
      </c>
      <c r="J104" s="323">
        <v>205</v>
      </c>
      <c r="K104" s="323">
        <v>205</v>
      </c>
      <c r="L104" s="323">
        <v>205</v>
      </c>
      <c r="M104" s="323">
        <v>205</v>
      </c>
      <c r="N104" s="324">
        <f t="shared" si="14"/>
        <v>2460</v>
      </c>
      <c r="O104" s="256" t="s">
        <v>629</v>
      </c>
    </row>
    <row r="105" spans="1:15" ht="16" hidden="1" outlineLevel="1">
      <c r="A105" s="11" t="s">
        <v>384</v>
      </c>
      <c r="B105" s="323">
        <v>150</v>
      </c>
      <c r="C105" s="323">
        <v>150</v>
      </c>
      <c r="D105" s="323">
        <v>150</v>
      </c>
      <c r="E105" s="323">
        <v>150</v>
      </c>
      <c r="F105" s="323">
        <v>150</v>
      </c>
      <c r="G105" s="323">
        <v>150</v>
      </c>
      <c r="H105" s="323">
        <v>150</v>
      </c>
      <c r="I105" s="323">
        <v>150</v>
      </c>
      <c r="J105" s="323">
        <v>150</v>
      </c>
      <c r="K105" s="323">
        <v>150</v>
      </c>
      <c r="L105" s="323">
        <v>150</v>
      </c>
      <c r="M105" s="323">
        <v>150</v>
      </c>
      <c r="N105" s="324">
        <f t="shared" si="14"/>
        <v>1800</v>
      </c>
      <c r="O105" s="326" t="s">
        <v>631</v>
      </c>
    </row>
    <row r="106" spans="1:15" ht="16" hidden="1" outlineLevel="1">
      <c r="A106" s="11" t="s">
        <v>385</v>
      </c>
      <c r="B106" s="11" t="s">
        <v>582</v>
      </c>
      <c r="C106" s="11" t="s">
        <v>582</v>
      </c>
      <c r="D106" s="11" t="s">
        <v>582</v>
      </c>
      <c r="E106" s="11" t="s">
        <v>582</v>
      </c>
      <c r="F106" s="11" t="s">
        <v>582</v>
      </c>
      <c r="G106" s="11" t="s">
        <v>582</v>
      </c>
      <c r="H106" s="11" t="s">
        <v>582</v>
      </c>
      <c r="I106" s="11" t="s">
        <v>582</v>
      </c>
      <c r="J106" s="11" t="s">
        <v>582</v>
      </c>
      <c r="K106" s="11" t="s">
        <v>582</v>
      </c>
      <c r="L106" s="11" t="s">
        <v>582</v>
      </c>
      <c r="M106" s="11" t="s">
        <v>582</v>
      </c>
      <c r="N106" s="324">
        <f t="shared" si="14"/>
        <v>0</v>
      </c>
      <c r="O106" s="256" t="s">
        <v>634</v>
      </c>
    </row>
    <row r="107" spans="1:15" ht="16" hidden="1" outlineLevel="1">
      <c r="A107" s="101" t="s">
        <v>386</v>
      </c>
      <c r="B107" s="323">
        <v>0</v>
      </c>
      <c r="C107" s="323">
        <v>0</v>
      </c>
      <c r="D107" s="323">
        <v>0</v>
      </c>
      <c r="E107" s="323">
        <v>0</v>
      </c>
      <c r="F107" s="323">
        <v>0</v>
      </c>
      <c r="G107" s="323">
        <v>0</v>
      </c>
      <c r="H107" s="323">
        <v>0</v>
      </c>
      <c r="I107" s="323">
        <v>0</v>
      </c>
      <c r="J107" s="323">
        <v>0</v>
      </c>
      <c r="K107" s="323">
        <v>0</v>
      </c>
      <c r="L107" s="323">
        <v>0</v>
      </c>
      <c r="M107" s="323">
        <v>0</v>
      </c>
      <c r="N107" s="324">
        <f>SUM(B107:M107)</f>
        <v>0</v>
      </c>
      <c r="O107" s="256" t="s">
        <v>635</v>
      </c>
    </row>
    <row r="108" spans="1:15" ht="16" hidden="1" outlineLevel="1">
      <c r="A108" s="101" t="s">
        <v>388</v>
      </c>
      <c r="B108" s="323">
        <v>130</v>
      </c>
      <c r="C108" s="323">
        <v>130</v>
      </c>
      <c r="D108" s="323">
        <v>130</v>
      </c>
      <c r="E108" s="323">
        <v>130</v>
      </c>
      <c r="F108" s="323">
        <v>130</v>
      </c>
      <c r="G108" s="323">
        <v>130</v>
      </c>
      <c r="H108" s="323">
        <v>130</v>
      </c>
      <c r="I108" s="323">
        <v>130</v>
      </c>
      <c r="J108" s="323">
        <v>130</v>
      </c>
      <c r="K108" s="323">
        <v>130</v>
      </c>
      <c r="L108" s="323">
        <v>130</v>
      </c>
      <c r="M108" s="323">
        <v>130</v>
      </c>
      <c r="N108" s="324">
        <f>SUM(B108:M108)</f>
        <v>1560</v>
      </c>
      <c r="O108" s="326" t="s">
        <v>630</v>
      </c>
    </row>
    <row r="109" spans="1:15" ht="16" hidden="1" outlineLevel="1">
      <c r="A109" s="11" t="s">
        <v>389</v>
      </c>
      <c r="B109" s="11" t="s">
        <v>582</v>
      </c>
      <c r="C109" s="11" t="s">
        <v>582</v>
      </c>
      <c r="D109" s="11" t="s">
        <v>582</v>
      </c>
      <c r="E109" s="11" t="s">
        <v>582</v>
      </c>
      <c r="F109" s="11" t="s">
        <v>582</v>
      </c>
      <c r="G109" s="11" t="s">
        <v>582</v>
      </c>
      <c r="H109" s="11" t="s">
        <v>582</v>
      </c>
      <c r="I109" s="11" t="s">
        <v>582</v>
      </c>
      <c r="J109" s="11" t="s">
        <v>582</v>
      </c>
      <c r="K109" s="11" t="s">
        <v>582</v>
      </c>
      <c r="L109" s="11" t="s">
        <v>582</v>
      </c>
      <c r="M109" s="11" t="s">
        <v>582</v>
      </c>
      <c r="N109" s="324">
        <f>SUM(B109:M109)</f>
        <v>0</v>
      </c>
      <c r="O109" s="256" t="s">
        <v>632</v>
      </c>
    </row>
    <row r="110" spans="1:15" ht="16" collapsed="1">
      <c r="A110" s="328" t="s">
        <v>196</v>
      </c>
      <c r="B110" s="327">
        <f>SUM(B98:B109)</f>
        <v>3327</v>
      </c>
      <c r="C110" s="327">
        <f t="shared" ref="C110:M110" si="15">SUM(C98:C109)</f>
        <v>3327</v>
      </c>
      <c r="D110" s="327">
        <f t="shared" si="15"/>
        <v>3327</v>
      </c>
      <c r="E110" s="327">
        <f t="shared" si="15"/>
        <v>3327</v>
      </c>
      <c r="F110" s="327">
        <f t="shared" si="15"/>
        <v>3327</v>
      </c>
      <c r="G110" s="327">
        <f t="shared" si="15"/>
        <v>3327</v>
      </c>
      <c r="H110" s="327">
        <f t="shared" si="15"/>
        <v>3327</v>
      </c>
      <c r="I110" s="327">
        <f t="shared" si="15"/>
        <v>3327</v>
      </c>
      <c r="J110" s="327">
        <f t="shared" si="15"/>
        <v>3327</v>
      </c>
      <c r="K110" s="327">
        <f t="shared" si="15"/>
        <v>3327</v>
      </c>
      <c r="L110" s="327">
        <f t="shared" si="15"/>
        <v>3327</v>
      </c>
      <c r="M110" s="327">
        <f t="shared" si="15"/>
        <v>3327</v>
      </c>
      <c r="N110" s="331">
        <f>SUM(B110:M110)</f>
        <v>39924</v>
      </c>
      <c r="O110" s="97"/>
    </row>
    <row r="111" spans="1:15" ht="16" hidden="1" outlineLevel="1">
      <c r="A111" s="9" t="s">
        <v>197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5" ht="16" hidden="1" outlineLevel="1">
      <c r="A112" s="11" t="s">
        <v>390</v>
      </c>
      <c r="B112" s="323">
        <v>15.76</v>
      </c>
      <c r="C112" s="323">
        <v>15.76</v>
      </c>
      <c r="D112" s="323">
        <v>15.76</v>
      </c>
      <c r="E112" s="323">
        <v>15.76</v>
      </c>
      <c r="F112" s="323">
        <v>15.76</v>
      </c>
      <c r="G112" s="323">
        <v>15.76</v>
      </c>
      <c r="H112" s="323">
        <v>15.76</v>
      </c>
      <c r="I112" s="323">
        <v>15.76</v>
      </c>
      <c r="J112" s="323">
        <v>15.76</v>
      </c>
      <c r="K112" s="323">
        <v>15.76</v>
      </c>
      <c r="L112" s="323">
        <v>15.76</v>
      </c>
      <c r="M112" s="323">
        <v>15.76</v>
      </c>
      <c r="N112" s="324">
        <f>SUM(B112:M112)</f>
        <v>189.11999999999998</v>
      </c>
      <c r="O112" s="97"/>
    </row>
    <row r="113" spans="1:15" ht="16" hidden="1" outlineLevel="1">
      <c r="A113" s="11" t="s">
        <v>391</v>
      </c>
      <c r="B113" s="11" t="s">
        <v>582</v>
      </c>
      <c r="C113" s="11" t="s">
        <v>582</v>
      </c>
      <c r="D113" s="11" t="s">
        <v>582</v>
      </c>
      <c r="E113" s="11" t="s">
        <v>582</v>
      </c>
      <c r="F113" s="11" t="s">
        <v>582</v>
      </c>
      <c r="G113" s="11" t="s">
        <v>582</v>
      </c>
      <c r="H113" s="11" t="s">
        <v>582</v>
      </c>
      <c r="I113" s="11" t="s">
        <v>582</v>
      </c>
      <c r="J113" s="11" t="s">
        <v>582</v>
      </c>
      <c r="K113" s="11" t="s">
        <v>582</v>
      </c>
      <c r="L113" s="323">
        <v>2075.13</v>
      </c>
      <c r="M113" s="11" t="s">
        <v>582</v>
      </c>
      <c r="N113" s="324">
        <f t="shared" ref="N113:N121" si="16">SUM(B113:M113)</f>
        <v>2075.13</v>
      </c>
      <c r="O113" s="97"/>
    </row>
    <row r="114" spans="1:15" ht="16" hidden="1" outlineLevel="1">
      <c r="A114" s="11" t="s">
        <v>392</v>
      </c>
      <c r="B114" s="323">
        <v>675.62</v>
      </c>
      <c r="C114" s="11" t="s">
        <v>582</v>
      </c>
      <c r="D114" s="11" t="s">
        <v>582</v>
      </c>
      <c r="E114" s="323">
        <v>675.62</v>
      </c>
      <c r="F114" s="11" t="s">
        <v>582</v>
      </c>
      <c r="G114" s="11" t="s">
        <v>582</v>
      </c>
      <c r="H114" s="323">
        <v>675.62</v>
      </c>
      <c r="I114" s="11" t="s">
        <v>582</v>
      </c>
      <c r="J114" s="11" t="s">
        <v>582</v>
      </c>
      <c r="K114" s="323">
        <v>675.62</v>
      </c>
      <c r="L114" s="11" t="s">
        <v>582</v>
      </c>
      <c r="M114" s="11" t="s">
        <v>582</v>
      </c>
      <c r="N114" s="324">
        <f t="shared" si="16"/>
        <v>2702.48</v>
      </c>
      <c r="O114" s="97"/>
    </row>
    <row r="115" spans="1:15" ht="16" hidden="1" outlineLevel="1">
      <c r="A115" s="11" t="s">
        <v>393</v>
      </c>
      <c r="B115" s="11" t="s">
        <v>582</v>
      </c>
      <c r="C115" s="11" t="s">
        <v>582</v>
      </c>
      <c r="D115" s="11" t="s">
        <v>582</v>
      </c>
      <c r="E115" s="11" t="s">
        <v>582</v>
      </c>
      <c r="F115" s="11" t="s">
        <v>582</v>
      </c>
      <c r="G115" s="11" t="s">
        <v>582</v>
      </c>
      <c r="H115" s="11" t="s">
        <v>582</v>
      </c>
      <c r="I115" s="11" t="s">
        <v>582</v>
      </c>
      <c r="J115" s="11" t="s">
        <v>582</v>
      </c>
      <c r="K115" s="11" t="s">
        <v>582</v>
      </c>
      <c r="L115" s="11" t="s">
        <v>582</v>
      </c>
      <c r="M115" s="11" t="s">
        <v>582</v>
      </c>
      <c r="N115" s="324">
        <f t="shared" si="16"/>
        <v>0</v>
      </c>
      <c r="O115" s="97"/>
    </row>
    <row r="116" spans="1:15" ht="16" hidden="1" outlineLevel="1">
      <c r="A116" s="11" t="s">
        <v>394</v>
      </c>
      <c r="B116" s="323">
        <v>113.92</v>
      </c>
      <c r="C116" s="323">
        <v>113.92</v>
      </c>
      <c r="D116" s="323">
        <v>113.92</v>
      </c>
      <c r="E116" s="323">
        <v>113.92</v>
      </c>
      <c r="F116" s="323">
        <v>113.92</v>
      </c>
      <c r="G116" s="323">
        <v>113.92</v>
      </c>
      <c r="H116" s="323">
        <v>113.92</v>
      </c>
      <c r="I116" s="323">
        <v>113.92</v>
      </c>
      <c r="J116" s="323">
        <v>113.92</v>
      </c>
      <c r="K116" s="323">
        <v>113.92</v>
      </c>
      <c r="L116" s="323">
        <v>113.92</v>
      </c>
      <c r="M116" s="323">
        <v>113.92</v>
      </c>
      <c r="N116" s="324">
        <f t="shared" si="16"/>
        <v>1367.0400000000002</v>
      </c>
      <c r="O116" s="97"/>
    </row>
    <row r="117" spans="1:15" ht="16" hidden="1" outlineLevel="1">
      <c r="A117" s="11" t="s">
        <v>395</v>
      </c>
      <c r="B117" s="323">
        <v>1600</v>
      </c>
      <c r="C117" s="323">
        <v>1600</v>
      </c>
      <c r="D117" s="323">
        <v>1600</v>
      </c>
      <c r="E117" s="323">
        <v>1600</v>
      </c>
      <c r="F117" s="323">
        <v>1600</v>
      </c>
      <c r="G117" s="323">
        <v>1600</v>
      </c>
      <c r="H117" s="323">
        <v>1600</v>
      </c>
      <c r="I117" s="323">
        <v>1600</v>
      </c>
      <c r="J117" s="323">
        <v>1600</v>
      </c>
      <c r="K117" s="323">
        <v>1600</v>
      </c>
      <c r="L117" s="323">
        <v>1600</v>
      </c>
      <c r="M117" s="323">
        <v>1600</v>
      </c>
      <c r="N117" s="324">
        <f t="shared" si="16"/>
        <v>19200</v>
      </c>
      <c r="O117" s="97"/>
    </row>
    <row r="118" spans="1:15" ht="16" hidden="1" outlineLevel="1">
      <c r="A118" s="11" t="s">
        <v>396</v>
      </c>
      <c r="B118" s="323">
        <v>1950</v>
      </c>
      <c r="C118" s="323">
        <v>1950</v>
      </c>
      <c r="D118" s="323">
        <v>1950</v>
      </c>
      <c r="E118" s="323">
        <v>1950</v>
      </c>
      <c r="F118" s="323">
        <v>1950</v>
      </c>
      <c r="G118" s="323">
        <v>1950</v>
      </c>
      <c r="H118" s="323">
        <v>1950</v>
      </c>
      <c r="I118" s="323">
        <v>1950</v>
      </c>
      <c r="J118" s="323">
        <v>1950</v>
      </c>
      <c r="K118" s="323">
        <v>1950</v>
      </c>
      <c r="L118" s="323">
        <v>1950</v>
      </c>
      <c r="M118" s="323">
        <v>1950</v>
      </c>
      <c r="N118" s="324">
        <f t="shared" si="16"/>
        <v>23400</v>
      </c>
      <c r="O118" s="97"/>
    </row>
    <row r="119" spans="1:15" ht="16" hidden="1" outlineLevel="1">
      <c r="A119" s="11" t="s">
        <v>397</v>
      </c>
      <c r="B119" s="323">
        <v>138.36000000000001</v>
      </c>
      <c r="C119" s="323">
        <v>138.36000000000001</v>
      </c>
      <c r="D119" s="323">
        <v>138.36000000000001</v>
      </c>
      <c r="E119" s="323">
        <v>138.36000000000001</v>
      </c>
      <c r="F119" s="323">
        <v>138.36000000000001</v>
      </c>
      <c r="G119" s="323">
        <v>138.36000000000001</v>
      </c>
      <c r="H119" s="323">
        <v>138.36000000000001</v>
      </c>
      <c r="I119" s="323">
        <v>138.36000000000001</v>
      </c>
      <c r="J119" s="323">
        <v>138.36000000000001</v>
      </c>
      <c r="K119" s="323">
        <v>138.36000000000001</v>
      </c>
      <c r="L119" s="323">
        <v>138.36000000000001</v>
      </c>
      <c r="M119" s="323">
        <v>138.36000000000001</v>
      </c>
      <c r="N119" s="324">
        <f t="shared" si="16"/>
        <v>1660.3200000000006</v>
      </c>
      <c r="O119" s="97"/>
    </row>
    <row r="120" spans="1:15" ht="16" hidden="1" outlineLevel="1">
      <c r="A120" s="11" t="s">
        <v>398</v>
      </c>
      <c r="B120" s="323">
        <v>180</v>
      </c>
      <c r="C120" s="323">
        <v>180</v>
      </c>
      <c r="D120" s="323">
        <v>180</v>
      </c>
      <c r="E120" s="323">
        <v>180</v>
      </c>
      <c r="F120" s="323">
        <v>180</v>
      </c>
      <c r="G120" s="323">
        <v>180</v>
      </c>
      <c r="H120" s="323">
        <v>180</v>
      </c>
      <c r="I120" s="323">
        <v>180</v>
      </c>
      <c r="J120" s="323">
        <v>180</v>
      </c>
      <c r="K120" s="323">
        <v>180</v>
      </c>
      <c r="L120" s="323">
        <v>180</v>
      </c>
      <c r="M120" s="323">
        <v>180</v>
      </c>
      <c r="N120" s="324">
        <f t="shared" si="16"/>
        <v>2160</v>
      </c>
      <c r="O120" s="97"/>
    </row>
    <row r="121" spans="1:15" ht="16" hidden="1" outlineLevel="1">
      <c r="A121" s="11" t="s">
        <v>399</v>
      </c>
      <c r="B121" s="323">
        <v>900</v>
      </c>
      <c r="C121" s="323">
        <v>900</v>
      </c>
      <c r="D121" s="323">
        <v>900</v>
      </c>
      <c r="E121" s="323">
        <v>900</v>
      </c>
      <c r="F121" s="323">
        <v>900</v>
      </c>
      <c r="G121" s="323">
        <v>900</v>
      </c>
      <c r="H121" s="323">
        <v>900</v>
      </c>
      <c r="I121" s="323">
        <v>900</v>
      </c>
      <c r="J121" s="323">
        <v>900</v>
      </c>
      <c r="K121" s="323">
        <v>900</v>
      </c>
      <c r="L121" s="323">
        <v>900</v>
      </c>
      <c r="M121" s="323">
        <v>900</v>
      </c>
      <c r="N121" s="324">
        <f t="shared" si="16"/>
        <v>10800</v>
      </c>
      <c r="O121" s="97"/>
    </row>
    <row r="122" spans="1:15" ht="16" collapsed="1">
      <c r="A122" s="328" t="s">
        <v>198</v>
      </c>
      <c r="B122" s="327">
        <f>SUM(B112:B121)</f>
        <v>5573.66</v>
      </c>
      <c r="C122" s="327">
        <f t="shared" ref="C122:M122" si="17">SUM(C112:C121)</f>
        <v>4898.0400000000009</v>
      </c>
      <c r="D122" s="327">
        <f t="shared" si="17"/>
        <v>4898.0400000000009</v>
      </c>
      <c r="E122" s="327">
        <f t="shared" si="17"/>
        <v>5573.66</v>
      </c>
      <c r="F122" s="327">
        <f t="shared" si="17"/>
        <v>4898.0400000000009</v>
      </c>
      <c r="G122" s="327">
        <f t="shared" si="17"/>
        <v>4898.0400000000009</v>
      </c>
      <c r="H122" s="327">
        <f t="shared" si="17"/>
        <v>5573.66</v>
      </c>
      <c r="I122" s="327">
        <f t="shared" si="17"/>
        <v>4898.0400000000009</v>
      </c>
      <c r="J122" s="327">
        <f t="shared" si="17"/>
        <v>4898.0400000000009</v>
      </c>
      <c r="K122" s="327">
        <f t="shared" si="17"/>
        <v>5573.66</v>
      </c>
      <c r="L122" s="327">
        <f t="shared" si="17"/>
        <v>6973.17</v>
      </c>
      <c r="M122" s="327">
        <f t="shared" si="17"/>
        <v>4898.0400000000009</v>
      </c>
      <c r="N122" s="331">
        <f>SUM(B122:M122)</f>
        <v>63554.090000000004</v>
      </c>
      <c r="O122" s="97"/>
    </row>
    <row r="123" spans="1:15" ht="16" hidden="1" customHeight="1" outlineLevel="1">
      <c r="A123" s="9" t="s">
        <v>49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229"/>
    </row>
    <row r="124" spans="1:15" ht="16" hidden="1" outlineLevel="1">
      <c r="A124" s="391" t="s">
        <v>400</v>
      </c>
      <c r="B124" s="392" t="s">
        <v>582</v>
      </c>
      <c r="C124" s="392" t="s">
        <v>582</v>
      </c>
      <c r="D124" s="392" t="s">
        <v>582</v>
      </c>
      <c r="E124" s="392" t="s">
        <v>582</v>
      </c>
      <c r="F124" s="392" t="s">
        <v>582</v>
      </c>
      <c r="G124" s="392" t="s">
        <v>582</v>
      </c>
      <c r="H124" s="392" t="s">
        <v>582</v>
      </c>
      <c r="I124" s="392" t="s">
        <v>582</v>
      </c>
      <c r="J124" s="392" t="s">
        <v>582</v>
      </c>
      <c r="K124" s="392" t="s">
        <v>582</v>
      </c>
      <c r="L124" s="392" t="s">
        <v>582</v>
      </c>
      <c r="M124" s="392" t="s">
        <v>582</v>
      </c>
      <c r="N124" s="393">
        <f t="shared" ref="N124:N129" si="18">SUM(B124:M124)</f>
        <v>0</v>
      </c>
      <c r="O124" s="256" t="s">
        <v>641</v>
      </c>
    </row>
    <row r="125" spans="1:15" ht="16" hidden="1" outlineLevel="1">
      <c r="A125" s="11" t="s">
        <v>402</v>
      </c>
      <c r="B125" s="323">
        <v>255</v>
      </c>
      <c r="C125" s="323">
        <v>255</v>
      </c>
      <c r="D125" s="323">
        <v>255</v>
      </c>
      <c r="E125" s="323">
        <v>255</v>
      </c>
      <c r="F125" s="323">
        <v>255</v>
      </c>
      <c r="G125" s="323">
        <v>255</v>
      </c>
      <c r="H125" s="323">
        <v>255</v>
      </c>
      <c r="I125" s="323">
        <v>255</v>
      </c>
      <c r="J125" s="323">
        <v>255</v>
      </c>
      <c r="K125" s="323">
        <v>255</v>
      </c>
      <c r="L125" s="323">
        <v>255</v>
      </c>
      <c r="M125" s="323">
        <v>255</v>
      </c>
      <c r="N125" s="321">
        <f t="shared" si="18"/>
        <v>3060</v>
      </c>
      <c r="O125" s="256" t="s">
        <v>629</v>
      </c>
    </row>
    <row r="126" spans="1:15" ht="16" hidden="1" outlineLevel="1">
      <c r="A126" s="391" t="s">
        <v>403</v>
      </c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2"/>
      <c r="M126" s="392"/>
      <c r="N126" s="393" t="s">
        <v>675</v>
      </c>
      <c r="O126" s="233" t="s">
        <v>676</v>
      </c>
    </row>
    <row r="127" spans="1:15" ht="16" hidden="1" outlineLevel="1">
      <c r="A127" s="11" t="s">
        <v>404</v>
      </c>
      <c r="B127" s="323">
        <v>2185</v>
      </c>
      <c r="C127" s="323">
        <v>2185</v>
      </c>
      <c r="D127" s="323">
        <v>2185</v>
      </c>
      <c r="E127" s="323">
        <v>2185</v>
      </c>
      <c r="F127" s="323">
        <v>2185</v>
      </c>
      <c r="G127" s="323">
        <v>2185</v>
      </c>
      <c r="H127" s="323">
        <v>2185</v>
      </c>
      <c r="I127" s="323">
        <v>2185</v>
      </c>
      <c r="J127" s="323">
        <v>2185</v>
      </c>
      <c r="K127" s="323">
        <v>2185</v>
      </c>
      <c r="L127" s="323">
        <v>2185</v>
      </c>
      <c r="M127" s="323">
        <v>2185</v>
      </c>
      <c r="N127" s="321">
        <f t="shared" si="18"/>
        <v>26220</v>
      </c>
      <c r="O127" s="256" t="s">
        <v>629</v>
      </c>
    </row>
    <row r="128" spans="1:15" ht="16" hidden="1" outlineLevel="1">
      <c r="A128" s="11" t="s">
        <v>405</v>
      </c>
      <c r="B128" s="323">
        <v>465</v>
      </c>
      <c r="C128" s="323">
        <v>465</v>
      </c>
      <c r="D128" s="323">
        <v>465</v>
      </c>
      <c r="E128" s="323">
        <v>465</v>
      </c>
      <c r="F128" s="323">
        <v>465</v>
      </c>
      <c r="G128" s="323">
        <v>465</v>
      </c>
      <c r="H128" s="323">
        <v>465</v>
      </c>
      <c r="I128" s="323">
        <v>465</v>
      </c>
      <c r="J128" s="323">
        <v>465</v>
      </c>
      <c r="K128" s="323">
        <v>465</v>
      </c>
      <c r="L128" s="323">
        <v>465</v>
      </c>
      <c r="M128" s="323">
        <v>465</v>
      </c>
      <c r="N128" s="321">
        <f t="shared" si="18"/>
        <v>5580</v>
      </c>
      <c r="O128" s="256" t="s">
        <v>629</v>
      </c>
    </row>
    <row r="129" spans="1:18" ht="16" hidden="1" outlineLevel="1">
      <c r="A129" s="11" t="s">
        <v>406</v>
      </c>
      <c r="B129" s="323">
        <v>645</v>
      </c>
      <c r="C129" s="323">
        <v>645</v>
      </c>
      <c r="D129" s="323">
        <v>645</v>
      </c>
      <c r="E129" s="323">
        <v>645</v>
      </c>
      <c r="F129" s="323">
        <v>645</v>
      </c>
      <c r="G129" s="323">
        <v>645</v>
      </c>
      <c r="H129" s="323">
        <v>645</v>
      </c>
      <c r="I129" s="323">
        <v>645</v>
      </c>
      <c r="J129" s="323">
        <v>645</v>
      </c>
      <c r="K129" s="323">
        <v>645</v>
      </c>
      <c r="L129" s="323">
        <v>645</v>
      </c>
      <c r="M129" s="323">
        <v>645</v>
      </c>
      <c r="N129" s="321">
        <f t="shared" si="18"/>
        <v>7740</v>
      </c>
      <c r="O129" s="256" t="s">
        <v>629</v>
      </c>
    </row>
    <row r="130" spans="1:18" ht="16" hidden="1" outlineLevel="1">
      <c r="A130" s="11" t="s">
        <v>407</v>
      </c>
      <c r="B130" s="323">
        <v>1478.88</v>
      </c>
      <c r="C130" s="323">
        <v>1478.88</v>
      </c>
      <c r="D130" s="323">
        <v>1478.88</v>
      </c>
      <c r="E130" s="323">
        <v>1478.88</v>
      </c>
      <c r="F130" s="323">
        <v>1478.88</v>
      </c>
      <c r="G130" s="323">
        <v>1478.88</v>
      </c>
      <c r="H130" s="323">
        <v>1478.88</v>
      </c>
      <c r="I130" s="323">
        <v>1478.88</v>
      </c>
      <c r="J130" s="323">
        <v>1478.88</v>
      </c>
      <c r="K130" s="323">
        <v>1478.88</v>
      </c>
      <c r="L130" s="323">
        <v>1478.88</v>
      </c>
      <c r="M130" s="323">
        <v>1478.88</v>
      </c>
      <c r="N130" s="324">
        <f>SUM(B130:M130)</f>
        <v>17746.560000000005</v>
      </c>
      <c r="O130" s="256" t="s">
        <v>642</v>
      </c>
    </row>
    <row r="131" spans="1:18" ht="16" collapsed="1">
      <c r="A131" s="9" t="s">
        <v>199</v>
      </c>
      <c r="B131" s="327">
        <f t="shared" ref="B131:M131" si="19">SUM(B124:B130)</f>
        <v>5028.88</v>
      </c>
      <c r="C131" s="327">
        <f t="shared" si="19"/>
        <v>5028.88</v>
      </c>
      <c r="D131" s="327">
        <f t="shared" si="19"/>
        <v>5028.88</v>
      </c>
      <c r="E131" s="327">
        <f t="shared" si="19"/>
        <v>5028.88</v>
      </c>
      <c r="F131" s="327">
        <f t="shared" si="19"/>
        <v>5028.88</v>
      </c>
      <c r="G131" s="327">
        <f t="shared" si="19"/>
        <v>5028.88</v>
      </c>
      <c r="H131" s="327">
        <f t="shared" si="19"/>
        <v>5028.88</v>
      </c>
      <c r="I131" s="327">
        <f t="shared" si="19"/>
        <v>5028.88</v>
      </c>
      <c r="J131" s="327">
        <f t="shared" si="19"/>
        <v>5028.88</v>
      </c>
      <c r="K131" s="327">
        <f t="shared" si="19"/>
        <v>5028.88</v>
      </c>
      <c r="L131" s="327">
        <f t="shared" si="19"/>
        <v>5028.88</v>
      </c>
      <c r="M131" s="327">
        <f t="shared" si="19"/>
        <v>5028.88</v>
      </c>
      <c r="N131" s="331">
        <f>SUM(B131:M131)</f>
        <v>60346.55999999999</v>
      </c>
      <c r="O131" s="97"/>
    </row>
    <row r="132" spans="1:18" ht="16" hidden="1" outlineLevel="1">
      <c r="A132" s="9" t="s">
        <v>408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8" ht="16" hidden="1" outlineLevel="1">
      <c r="A133" s="11" t="s">
        <v>409</v>
      </c>
      <c r="B133" s="97">
        <f t="shared" ref="B133:M133" si="20">102000/12</f>
        <v>8500</v>
      </c>
      <c r="C133" s="97">
        <f t="shared" si="20"/>
        <v>8500</v>
      </c>
      <c r="D133" s="97">
        <f t="shared" si="20"/>
        <v>8500</v>
      </c>
      <c r="E133" s="97">
        <f t="shared" si="20"/>
        <v>8500</v>
      </c>
      <c r="F133" s="97">
        <f t="shared" si="20"/>
        <v>8500</v>
      </c>
      <c r="G133" s="97">
        <f t="shared" si="20"/>
        <v>8500</v>
      </c>
      <c r="H133" s="97">
        <f t="shared" si="20"/>
        <v>8500</v>
      </c>
      <c r="I133" s="97">
        <f t="shared" si="20"/>
        <v>8500</v>
      </c>
      <c r="J133" s="97">
        <f t="shared" si="20"/>
        <v>8500</v>
      </c>
      <c r="K133" s="97">
        <f t="shared" si="20"/>
        <v>8500</v>
      </c>
      <c r="L133" s="97">
        <f t="shared" si="20"/>
        <v>8500</v>
      </c>
      <c r="M133" s="97">
        <f t="shared" si="20"/>
        <v>8500</v>
      </c>
      <c r="N133" s="96">
        <f>SUM(B133:M133)</f>
        <v>102000</v>
      </c>
      <c r="O133" s="97"/>
    </row>
    <row r="134" spans="1:18" ht="16" hidden="1" outlineLevel="1">
      <c r="A134" s="11" t="s">
        <v>410</v>
      </c>
      <c r="B134" s="97">
        <v>12640</v>
      </c>
      <c r="C134" s="97">
        <v>12640</v>
      </c>
      <c r="D134" s="97">
        <v>12640</v>
      </c>
      <c r="E134" s="97">
        <v>12640</v>
      </c>
      <c r="F134" s="97">
        <v>12640</v>
      </c>
      <c r="G134" s="97">
        <v>12640</v>
      </c>
      <c r="H134" s="97">
        <v>12640</v>
      </c>
      <c r="I134" s="97">
        <v>12640</v>
      </c>
      <c r="J134" s="97">
        <v>12640</v>
      </c>
      <c r="K134" s="97">
        <v>12640</v>
      </c>
      <c r="L134" s="97">
        <v>12640</v>
      </c>
      <c r="M134" s="97">
        <v>12640</v>
      </c>
      <c r="N134" s="96">
        <f>SUM(B134:M134)</f>
        <v>151680</v>
      </c>
      <c r="O134" s="97"/>
    </row>
    <row r="135" spans="1:18" ht="16" collapsed="1">
      <c r="A135" s="9" t="s">
        <v>200</v>
      </c>
      <c r="B135" s="327">
        <f>SUM(B133:B134)</f>
        <v>21140</v>
      </c>
      <c r="C135" s="327">
        <f t="shared" ref="C135:M135" si="21">SUM(C133:C134)</f>
        <v>21140</v>
      </c>
      <c r="D135" s="327">
        <f t="shared" si="21"/>
        <v>21140</v>
      </c>
      <c r="E135" s="327">
        <f t="shared" si="21"/>
        <v>21140</v>
      </c>
      <c r="F135" s="327">
        <f t="shared" si="21"/>
        <v>21140</v>
      </c>
      <c r="G135" s="327">
        <f t="shared" si="21"/>
        <v>21140</v>
      </c>
      <c r="H135" s="327">
        <f t="shared" si="21"/>
        <v>21140</v>
      </c>
      <c r="I135" s="327">
        <f t="shared" si="21"/>
        <v>21140</v>
      </c>
      <c r="J135" s="327">
        <f t="shared" si="21"/>
        <v>21140</v>
      </c>
      <c r="K135" s="327">
        <f t="shared" si="21"/>
        <v>21140</v>
      </c>
      <c r="L135" s="327">
        <f t="shared" si="21"/>
        <v>21140</v>
      </c>
      <c r="M135" s="327">
        <f t="shared" si="21"/>
        <v>21140</v>
      </c>
      <c r="N135" s="331">
        <f>SUM(B135:M135)</f>
        <v>253680</v>
      </c>
      <c r="O135" s="97"/>
    </row>
    <row r="136" spans="1:18" ht="16" hidden="1" outlineLevel="1">
      <c r="A136" s="9" t="s">
        <v>412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8" ht="16" hidden="1" outlineLevel="1">
      <c r="A137" s="340" t="s">
        <v>413</v>
      </c>
      <c r="B137" s="341">
        <v>0</v>
      </c>
      <c r="C137" s="341">
        <v>0</v>
      </c>
      <c r="D137" s="341">
        <v>0</v>
      </c>
      <c r="E137" s="341">
        <v>0</v>
      </c>
      <c r="F137" s="341">
        <v>0</v>
      </c>
      <c r="G137" s="341">
        <v>0</v>
      </c>
      <c r="H137" s="341">
        <v>0</v>
      </c>
      <c r="I137" s="341">
        <v>0</v>
      </c>
      <c r="J137" s="341">
        <v>0</v>
      </c>
      <c r="K137" s="341">
        <v>0</v>
      </c>
      <c r="L137" s="341">
        <v>0</v>
      </c>
      <c r="M137" s="341">
        <v>0</v>
      </c>
      <c r="N137" s="342">
        <f t="shared" ref="N137" si="22">SUM(B137:M137)</f>
        <v>0</v>
      </c>
      <c r="O137" s="97"/>
    </row>
    <row r="138" spans="1:18" ht="16" hidden="1" outlineLevel="1">
      <c r="A138" s="11" t="s">
        <v>414</v>
      </c>
      <c r="B138" s="316">
        <v>9750</v>
      </c>
      <c r="C138" s="316">
        <v>9750</v>
      </c>
      <c r="D138" s="316">
        <v>9750</v>
      </c>
      <c r="E138" s="316">
        <v>9750</v>
      </c>
      <c r="F138" s="316">
        <v>9750</v>
      </c>
      <c r="G138" s="316">
        <v>9750</v>
      </c>
      <c r="H138" s="316">
        <v>9750</v>
      </c>
      <c r="I138" s="316">
        <v>9750</v>
      </c>
      <c r="J138" s="316">
        <v>9750</v>
      </c>
      <c r="K138" s="316">
        <v>9750</v>
      </c>
      <c r="L138" s="316">
        <v>9750</v>
      </c>
      <c r="M138" s="316">
        <v>9750</v>
      </c>
      <c r="N138" s="77">
        <f>SUM(B138:M138)</f>
        <v>117000</v>
      </c>
      <c r="O138" s="97"/>
      <c r="P138" s="316"/>
      <c r="R138" s="230"/>
    </row>
    <row r="139" spans="1:18" ht="16" hidden="1" outlineLevel="1">
      <c r="A139" s="11" t="s">
        <v>415</v>
      </c>
      <c r="B139" s="319">
        <f>B138*6.2%</f>
        <v>604.5</v>
      </c>
      <c r="C139" s="319">
        <f t="shared" ref="C139:M139" si="23">C138*6.2%</f>
        <v>604.5</v>
      </c>
      <c r="D139" s="319">
        <f t="shared" si="23"/>
        <v>604.5</v>
      </c>
      <c r="E139" s="319">
        <f t="shared" si="23"/>
        <v>604.5</v>
      </c>
      <c r="F139" s="319">
        <f t="shared" si="23"/>
        <v>604.5</v>
      </c>
      <c r="G139" s="319">
        <f t="shared" si="23"/>
        <v>604.5</v>
      </c>
      <c r="H139" s="319">
        <f t="shared" si="23"/>
        <v>604.5</v>
      </c>
      <c r="I139" s="319">
        <f t="shared" si="23"/>
        <v>604.5</v>
      </c>
      <c r="J139" s="319">
        <f t="shared" si="23"/>
        <v>604.5</v>
      </c>
      <c r="K139" s="319">
        <f t="shared" si="23"/>
        <v>604.5</v>
      </c>
      <c r="L139" s="319">
        <f t="shared" si="23"/>
        <v>604.5</v>
      </c>
      <c r="M139" s="319">
        <f t="shared" si="23"/>
        <v>604.5</v>
      </c>
      <c r="N139" s="77">
        <f t="shared" ref="N139:N150" si="24">SUM(B139:M139)</f>
        <v>7254</v>
      </c>
      <c r="O139" s="97"/>
    </row>
    <row r="140" spans="1:18" ht="16" hidden="1" outlineLevel="1">
      <c r="A140" s="11" t="s">
        <v>416</v>
      </c>
      <c r="B140" s="316">
        <f>B138*1.45%</f>
        <v>141.375</v>
      </c>
      <c r="C140" s="316">
        <f t="shared" ref="C140:M140" si="25">C138*1.45%</f>
        <v>141.375</v>
      </c>
      <c r="D140" s="316">
        <f t="shared" si="25"/>
        <v>141.375</v>
      </c>
      <c r="E140" s="316">
        <f t="shared" si="25"/>
        <v>141.375</v>
      </c>
      <c r="F140" s="316">
        <f t="shared" si="25"/>
        <v>141.375</v>
      </c>
      <c r="G140" s="316">
        <f t="shared" si="25"/>
        <v>141.375</v>
      </c>
      <c r="H140" s="316">
        <f t="shared" si="25"/>
        <v>141.375</v>
      </c>
      <c r="I140" s="316">
        <f t="shared" si="25"/>
        <v>141.375</v>
      </c>
      <c r="J140" s="316">
        <f t="shared" si="25"/>
        <v>141.375</v>
      </c>
      <c r="K140" s="316">
        <f t="shared" si="25"/>
        <v>141.375</v>
      </c>
      <c r="L140" s="316">
        <f t="shared" si="25"/>
        <v>141.375</v>
      </c>
      <c r="M140" s="316">
        <f t="shared" si="25"/>
        <v>141.375</v>
      </c>
      <c r="N140" s="77">
        <f t="shared" si="24"/>
        <v>1696.5</v>
      </c>
      <c r="O140" s="97"/>
    </row>
    <row r="141" spans="1:18" ht="16" hidden="1" outlineLevel="1">
      <c r="A141" s="11" t="s">
        <v>417</v>
      </c>
      <c r="B141" s="316">
        <f>(14000*6%)/12</f>
        <v>70</v>
      </c>
      <c r="C141" s="316">
        <f t="shared" ref="C141:M141" si="26">(14000*6%)/12</f>
        <v>70</v>
      </c>
      <c r="D141" s="316">
        <f t="shared" si="26"/>
        <v>70</v>
      </c>
      <c r="E141" s="316">
        <f t="shared" si="26"/>
        <v>70</v>
      </c>
      <c r="F141" s="316">
        <f t="shared" si="26"/>
        <v>70</v>
      </c>
      <c r="G141" s="316">
        <f t="shared" si="26"/>
        <v>70</v>
      </c>
      <c r="H141" s="316">
        <f t="shared" si="26"/>
        <v>70</v>
      </c>
      <c r="I141" s="316">
        <f t="shared" si="26"/>
        <v>70</v>
      </c>
      <c r="J141" s="316">
        <f t="shared" si="26"/>
        <v>70</v>
      </c>
      <c r="K141" s="316">
        <f t="shared" si="26"/>
        <v>70</v>
      </c>
      <c r="L141" s="316">
        <f t="shared" si="26"/>
        <v>70</v>
      </c>
      <c r="M141" s="316">
        <f t="shared" si="26"/>
        <v>70</v>
      </c>
      <c r="N141" s="77">
        <f t="shared" si="24"/>
        <v>840</v>
      </c>
      <c r="O141" s="256"/>
    </row>
    <row r="142" spans="1:18" ht="16" hidden="1" outlineLevel="1">
      <c r="A142" s="11" t="s">
        <v>418</v>
      </c>
      <c r="B142" s="316">
        <f>B138*0.27%</f>
        <v>26.325000000000003</v>
      </c>
      <c r="C142" s="316">
        <f>C138*0.27%</f>
        <v>26.325000000000003</v>
      </c>
      <c r="D142" s="316">
        <f t="shared" ref="D142:M142" si="27">D138*0.27%</f>
        <v>26.325000000000003</v>
      </c>
      <c r="E142" s="316">
        <f t="shared" si="27"/>
        <v>26.325000000000003</v>
      </c>
      <c r="F142" s="316">
        <f t="shared" si="27"/>
        <v>26.325000000000003</v>
      </c>
      <c r="G142" s="316">
        <f t="shared" si="27"/>
        <v>26.325000000000003</v>
      </c>
      <c r="H142" s="316">
        <f t="shared" si="27"/>
        <v>26.325000000000003</v>
      </c>
      <c r="I142" s="316">
        <f t="shared" si="27"/>
        <v>26.325000000000003</v>
      </c>
      <c r="J142" s="316">
        <f t="shared" si="27"/>
        <v>26.325000000000003</v>
      </c>
      <c r="K142" s="316">
        <f t="shared" si="27"/>
        <v>26.325000000000003</v>
      </c>
      <c r="L142" s="316">
        <f t="shared" si="27"/>
        <v>26.325000000000003</v>
      </c>
      <c r="M142" s="316">
        <f t="shared" si="27"/>
        <v>26.325000000000003</v>
      </c>
      <c r="N142" s="77">
        <f t="shared" si="24"/>
        <v>315.89999999999992</v>
      </c>
      <c r="O142" s="256"/>
    </row>
    <row r="143" spans="1:18" ht="16" hidden="1" outlineLevel="1">
      <c r="A143" s="332" t="s">
        <v>419</v>
      </c>
      <c r="B143" s="325">
        <f>383</f>
        <v>383</v>
      </c>
      <c r="C143" s="325">
        <f>383</f>
        <v>383</v>
      </c>
      <c r="D143" s="325">
        <f>383</f>
        <v>383</v>
      </c>
      <c r="E143" s="325">
        <f>383</f>
        <v>383</v>
      </c>
      <c r="F143" s="325">
        <f>383</f>
        <v>383</v>
      </c>
      <c r="G143" s="325">
        <f>383</f>
        <v>383</v>
      </c>
      <c r="H143" s="325">
        <f>383</f>
        <v>383</v>
      </c>
      <c r="I143" s="325">
        <f>383</f>
        <v>383</v>
      </c>
      <c r="J143" s="325">
        <f>383</f>
        <v>383</v>
      </c>
      <c r="K143" s="325">
        <f>383</f>
        <v>383</v>
      </c>
      <c r="L143" s="325">
        <f>383</f>
        <v>383</v>
      </c>
      <c r="M143" s="325">
        <f>383</f>
        <v>383</v>
      </c>
      <c r="N143" s="263">
        <f t="shared" si="24"/>
        <v>4596</v>
      </c>
      <c r="O143" s="394" t="s">
        <v>678</v>
      </c>
    </row>
    <row r="144" spans="1:18" ht="16" hidden="1" outlineLevel="1">
      <c r="A144" s="332" t="s">
        <v>420</v>
      </c>
      <c r="B144" s="325">
        <v>45.5</v>
      </c>
      <c r="C144" s="325">
        <v>45.5</v>
      </c>
      <c r="D144" s="325">
        <v>45.5</v>
      </c>
      <c r="E144" s="325">
        <v>45.5</v>
      </c>
      <c r="F144" s="325">
        <v>45.5</v>
      </c>
      <c r="G144" s="325">
        <v>45.5</v>
      </c>
      <c r="H144" s="325">
        <v>45.5</v>
      </c>
      <c r="I144" s="325">
        <v>45.5</v>
      </c>
      <c r="J144" s="325">
        <v>45.5</v>
      </c>
      <c r="K144" s="325">
        <v>45.5</v>
      </c>
      <c r="L144" s="325">
        <v>45.5</v>
      </c>
      <c r="M144" s="325">
        <v>45.5</v>
      </c>
      <c r="N144" s="263">
        <f t="shared" si="24"/>
        <v>546</v>
      </c>
      <c r="O144" s="394" t="s">
        <v>644</v>
      </c>
    </row>
    <row r="145" spans="1:17" ht="16" hidden="1" outlineLevel="1">
      <c r="A145" s="332" t="s">
        <v>421</v>
      </c>
      <c r="B145" s="325">
        <f t="shared" ref="B145:M145" si="28">1380/12</f>
        <v>115</v>
      </c>
      <c r="C145" s="325">
        <f t="shared" si="28"/>
        <v>115</v>
      </c>
      <c r="D145" s="325">
        <f t="shared" si="28"/>
        <v>115</v>
      </c>
      <c r="E145" s="325">
        <f t="shared" si="28"/>
        <v>115</v>
      </c>
      <c r="F145" s="325">
        <f t="shared" si="28"/>
        <v>115</v>
      </c>
      <c r="G145" s="325">
        <f t="shared" si="28"/>
        <v>115</v>
      </c>
      <c r="H145" s="325">
        <f t="shared" si="28"/>
        <v>115</v>
      </c>
      <c r="I145" s="325">
        <f t="shared" si="28"/>
        <v>115</v>
      </c>
      <c r="J145" s="325">
        <f t="shared" si="28"/>
        <v>115</v>
      </c>
      <c r="K145" s="325">
        <f t="shared" si="28"/>
        <v>115</v>
      </c>
      <c r="L145" s="325">
        <f t="shared" si="28"/>
        <v>115</v>
      </c>
      <c r="M145" s="325">
        <f t="shared" si="28"/>
        <v>115</v>
      </c>
      <c r="N145" s="263">
        <f t="shared" si="24"/>
        <v>1380</v>
      </c>
      <c r="O145" s="395" t="s">
        <v>679</v>
      </c>
    </row>
    <row r="146" spans="1:17" ht="16" hidden="1" outlineLevel="1">
      <c r="A146" s="11" t="s">
        <v>422</v>
      </c>
      <c r="B146" s="316"/>
      <c r="C146" s="316"/>
      <c r="D146" s="316">
        <v>750</v>
      </c>
      <c r="E146" s="316"/>
      <c r="F146" s="316"/>
      <c r="G146" s="316">
        <v>750</v>
      </c>
      <c r="H146" s="316"/>
      <c r="I146" s="316"/>
      <c r="J146" s="316">
        <v>750</v>
      </c>
      <c r="K146" s="316"/>
      <c r="L146" s="316"/>
      <c r="M146" s="316">
        <f>750 + 2500</f>
        <v>3250</v>
      </c>
      <c r="N146" s="77">
        <f t="shared" si="24"/>
        <v>5500</v>
      </c>
      <c r="O146" s="97" t="s">
        <v>677</v>
      </c>
      <c r="Q146" s="396">
        <f t="shared" ref="Q146" si="29">SUM(S146:AD146)</f>
        <v>0</v>
      </c>
    </row>
    <row r="147" spans="1:17" ht="16" hidden="1" outlineLevel="1">
      <c r="A147" s="11" t="s">
        <v>423</v>
      </c>
      <c r="B147" s="316">
        <v>29</v>
      </c>
      <c r="C147" s="316">
        <v>29</v>
      </c>
      <c r="D147" s="316">
        <v>29</v>
      </c>
      <c r="E147" s="316">
        <v>29</v>
      </c>
      <c r="F147" s="316">
        <v>29</v>
      </c>
      <c r="G147" s="316">
        <v>29</v>
      </c>
      <c r="H147" s="316">
        <v>29</v>
      </c>
      <c r="I147" s="316">
        <v>29</v>
      </c>
      <c r="J147" s="316">
        <v>29</v>
      </c>
      <c r="K147" s="316">
        <v>29</v>
      </c>
      <c r="L147" s="316">
        <v>29</v>
      </c>
      <c r="M147" s="316">
        <v>29</v>
      </c>
      <c r="N147" s="77">
        <f t="shared" si="24"/>
        <v>348</v>
      </c>
      <c r="O147" s="97"/>
    </row>
    <row r="148" spans="1:17" ht="16" hidden="1" outlineLevel="1">
      <c r="A148" s="11" t="s">
        <v>424</v>
      </c>
      <c r="B148" s="316">
        <v>77</v>
      </c>
      <c r="C148" s="316">
        <v>77</v>
      </c>
      <c r="D148" s="316">
        <v>77</v>
      </c>
      <c r="E148" s="316">
        <v>77</v>
      </c>
      <c r="F148" s="316">
        <v>77</v>
      </c>
      <c r="G148" s="316">
        <v>77</v>
      </c>
      <c r="H148" s="316">
        <v>77</v>
      </c>
      <c r="I148" s="316">
        <v>77</v>
      </c>
      <c r="J148" s="316">
        <v>77</v>
      </c>
      <c r="K148" s="316">
        <v>77</v>
      </c>
      <c r="L148" s="316">
        <v>77</v>
      </c>
      <c r="M148" s="316">
        <v>77</v>
      </c>
      <c r="N148" s="77">
        <f t="shared" si="24"/>
        <v>924</v>
      </c>
      <c r="O148" s="97"/>
    </row>
    <row r="149" spans="1:17" ht="16" hidden="1" outlineLevel="1">
      <c r="A149" s="11" t="s">
        <v>425</v>
      </c>
      <c r="B149" s="316">
        <v>500</v>
      </c>
      <c r="C149" s="316">
        <v>500</v>
      </c>
      <c r="D149" s="316">
        <v>500</v>
      </c>
      <c r="E149" s="316">
        <v>500</v>
      </c>
      <c r="F149" s="316">
        <v>500</v>
      </c>
      <c r="G149" s="316">
        <v>500</v>
      </c>
      <c r="H149" s="316">
        <v>500</v>
      </c>
      <c r="I149" s="316">
        <v>500</v>
      </c>
      <c r="J149" s="316">
        <v>500</v>
      </c>
      <c r="K149" s="316">
        <v>500</v>
      </c>
      <c r="L149" s="316">
        <v>500</v>
      </c>
      <c r="M149" s="316">
        <v>500</v>
      </c>
      <c r="N149" s="77">
        <f t="shared" si="24"/>
        <v>6000</v>
      </c>
      <c r="O149" s="97"/>
    </row>
    <row r="150" spans="1:17" ht="16" hidden="1" outlineLevel="1">
      <c r="A150" s="11" t="s">
        <v>426</v>
      </c>
      <c r="B150" s="316">
        <v>500</v>
      </c>
      <c r="C150" s="316">
        <v>500</v>
      </c>
      <c r="D150" s="316">
        <v>500</v>
      </c>
      <c r="E150" s="316">
        <v>500</v>
      </c>
      <c r="F150" s="316">
        <v>500</v>
      </c>
      <c r="G150" s="316">
        <v>500</v>
      </c>
      <c r="H150" s="316">
        <v>500</v>
      </c>
      <c r="I150" s="316">
        <v>500</v>
      </c>
      <c r="J150" s="316">
        <v>500</v>
      </c>
      <c r="K150" s="316">
        <v>500</v>
      </c>
      <c r="L150" s="316">
        <v>500</v>
      </c>
      <c r="M150" s="316">
        <v>500</v>
      </c>
      <c r="N150" s="77">
        <f t="shared" si="24"/>
        <v>6000</v>
      </c>
      <c r="O150" s="97" t="s">
        <v>643</v>
      </c>
    </row>
    <row r="151" spans="1:17" ht="16">
      <c r="A151" s="9" t="s">
        <v>202</v>
      </c>
      <c r="B151" s="327">
        <f>SUM(B138:B150)</f>
        <v>12241.7</v>
      </c>
      <c r="C151" s="327">
        <f t="shared" ref="C151:M151" si="30">SUM(C138:C150)</f>
        <v>12241.7</v>
      </c>
      <c r="D151" s="327">
        <f t="shared" si="30"/>
        <v>12991.7</v>
      </c>
      <c r="E151" s="327">
        <f t="shared" si="30"/>
        <v>12241.7</v>
      </c>
      <c r="F151" s="327">
        <f t="shared" si="30"/>
        <v>12241.7</v>
      </c>
      <c r="G151" s="327">
        <f t="shared" si="30"/>
        <v>12991.7</v>
      </c>
      <c r="H151" s="327">
        <f t="shared" si="30"/>
        <v>12241.7</v>
      </c>
      <c r="I151" s="327">
        <f t="shared" si="30"/>
        <v>12241.7</v>
      </c>
      <c r="J151" s="327">
        <f t="shared" si="30"/>
        <v>12991.7</v>
      </c>
      <c r="K151" s="327">
        <f t="shared" si="30"/>
        <v>12241.7</v>
      </c>
      <c r="L151" s="327">
        <f t="shared" si="30"/>
        <v>12241.7</v>
      </c>
      <c r="M151" s="327">
        <f t="shared" si="30"/>
        <v>15491.7</v>
      </c>
      <c r="N151" s="343">
        <f t="shared" ref="N151" si="31">SUM(B151:M151)</f>
        <v>152400.4</v>
      </c>
      <c r="O151" s="97"/>
    </row>
    <row r="152" spans="1:17" ht="17" thickBot="1">
      <c r="A152" s="9" t="s">
        <v>203</v>
      </c>
      <c r="B152" s="348">
        <f t="shared" ref="B152:M152" si="32">B51+B77+B86+B96+B110+B122+B131+B135+B151</f>
        <v>60364.289999999994</v>
      </c>
      <c r="C152" s="348">
        <f t="shared" si="32"/>
        <v>60001.39</v>
      </c>
      <c r="D152" s="348">
        <f t="shared" si="32"/>
        <v>59354.67</v>
      </c>
      <c r="E152" s="348">
        <f t="shared" si="32"/>
        <v>66403.108172974447</v>
      </c>
      <c r="F152" s="348">
        <f t="shared" si="32"/>
        <v>59906.71117607152</v>
      </c>
      <c r="G152" s="348">
        <f t="shared" si="32"/>
        <v>59961.902287200413</v>
      </c>
      <c r="H152" s="348">
        <f t="shared" si="32"/>
        <v>60521.982960789508</v>
      </c>
      <c r="I152" s="348">
        <f t="shared" si="32"/>
        <v>64754.107271718938</v>
      </c>
      <c r="J152" s="348">
        <f t="shared" si="32"/>
        <v>61249.07269686785</v>
      </c>
      <c r="K152" s="348">
        <f t="shared" si="32"/>
        <v>59486.145941059338</v>
      </c>
      <c r="L152" s="348">
        <f t="shared" si="32"/>
        <v>60900.435881423968</v>
      </c>
      <c r="M152" s="348">
        <f t="shared" si="32"/>
        <v>62292.76911263424</v>
      </c>
      <c r="N152" s="349">
        <f>SUM(B152:M152)</f>
        <v>735196.58550074033</v>
      </c>
    </row>
    <row r="153" spans="1:17" ht="17" thickTop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7" ht="17" thickBot="1">
      <c r="A154" s="328" t="s">
        <v>427</v>
      </c>
      <c r="B154" s="344">
        <f t="shared" ref="B154:N154" si="33">B45-B152</f>
        <v>79681.910000000018</v>
      </c>
      <c r="C154" s="344">
        <f t="shared" si="33"/>
        <v>81408.450000000026</v>
      </c>
      <c r="D154" s="344">
        <f t="shared" si="33"/>
        <v>77018.374425000031</v>
      </c>
      <c r="E154" s="344">
        <f t="shared" si="33"/>
        <v>94357.497592840591</v>
      </c>
      <c r="F154" s="344">
        <f t="shared" si="33"/>
        <v>100149.66135964589</v>
      </c>
      <c r="G154" s="344">
        <f t="shared" si="33"/>
        <v>100279.17395281343</v>
      </c>
      <c r="H154" s="344">
        <f t="shared" si="33"/>
        <v>100867.78239886083</v>
      </c>
      <c r="I154" s="344">
        <f t="shared" si="33"/>
        <v>96893.801785578777</v>
      </c>
      <c r="J154" s="344">
        <f t="shared" si="33"/>
        <v>101897.68386539358</v>
      </c>
      <c r="K154" s="344">
        <f t="shared" si="33"/>
        <v>104644.05209425176</v>
      </c>
      <c r="L154" s="344">
        <f t="shared" si="33"/>
        <v>103317.4268327083</v>
      </c>
      <c r="M154" s="344">
        <f t="shared" si="33"/>
        <v>103377.20130850695</v>
      </c>
      <c r="N154" s="344">
        <f t="shared" si="33"/>
        <v>1143893.0156156002</v>
      </c>
      <c r="O154" s="97"/>
    </row>
    <row r="155" spans="1:17" ht="16">
      <c r="A155" s="330"/>
      <c r="B155" s="330"/>
      <c r="C155" s="330"/>
      <c r="D155" s="330"/>
      <c r="E155" s="330"/>
      <c r="F155" s="330"/>
      <c r="G155" s="330"/>
      <c r="H155" s="330"/>
      <c r="I155" s="330"/>
      <c r="J155" s="330"/>
      <c r="K155" s="330"/>
      <c r="L155" s="330"/>
      <c r="M155" s="330"/>
      <c r="N155" s="330"/>
    </row>
    <row r="156" spans="1:17" ht="16">
      <c r="A156" s="328" t="s">
        <v>134</v>
      </c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</row>
    <row r="157" spans="1:17" ht="16">
      <c r="A157" s="328" t="s">
        <v>301</v>
      </c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</row>
    <row r="158" spans="1:17" ht="16">
      <c r="A158" s="330" t="s">
        <v>428</v>
      </c>
      <c r="B158" s="80">
        <v>0</v>
      </c>
      <c r="C158" s="80">
        <v>0</v>
      </c>
      <c r="D158" s="80">
        <v>0</v>
      </c>
      <c r="E158" s="80">
        <v>0</v>
      </c>
      <c r="F158" s="80">
        <v>0</v>
      </c>
      <c r="G158" s="80">
        <v>0</v>
      </c>
      <c r="H158" s="80">
        <v>0</v>
      </c>
      <c r="I158" s="80">
        <v>0</v>
      </c>
      <c r="J158" s="80">
        <v>0</v>
      </c>
      <c r="K158" s="80">
        <v>0</v>
      </c>
      <c r="L158" s="80">
        <v>0</v>
      </c>
      <c r="M158" s="80">
        <v>0</v>
      </c>
      <c r="N158" s="80">
        <v>0</v>
      </c>
      <c r="O158" s="97"/>
    </row>
    <row r="159" spans="1:17" ht="16">
      <c r="A159" s="328" t="s">
        <v>188</v>
      </c>
      <c r="B159" s="327">
        <f>B158</f>
        <v>0</v>
      </c>
      <c r="C159" s="327">
        <f>C158</f>
        <v>0</v>
      </c>
      <c r="D159" s="327">
        <f t="shared" ref="D159:M159" si="34">D158</f>
        <v>0</v>
      </c>
      <c r="E159" s="327">
        <f t="shared" si="34"/>
        <v>0</v>
      </c>
      <c r="F159" s="327">
        <f t="shared" si="34"/>
        <v>0</v>
      </c>
      <c r="G159" s="327">
        <f t="shared" si="34"/>
        <v>0</v>
      </c>
      <c r="H159" s="327">
        <f t="shared" si="34"/>
        <v>0</v>
      </c>
      <c r="I159" s="327">
        <f t="shared" si="34"/>
        <v>0</v>
      </c>
      <c r="J159" s="327">
        <f t="shared" si="34"/>
        <v>0</v>
      </c>
      <c r="K159" s="327">
        <f t="shared" si="34"/>
        <v>0</v>
      </c>
      <c r="L159" s="327">
        <f t="shared" si="34"/>
        <v>0</v>
      </c>
      <c r="M159" s="327">
        <f t="shared" si="34"/>
        <v>0</v>
      </c>
      <c r="N159" s="327">
        <v>0</v>
      </c>
      <c r="O159" s="97"/>
    </row>
    <row r="160" spans="1:17" ht="16">
      <c r="A160" s="328" t="s">
        <v>429</v>
      </c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</row>
    <row r="161" spans="1:15" ht="16">
      <c r="A161" s="330" t="s">
        <v>430</v>
      </c>
      <c r="B161" s="81">
        <f>'Budget 2026'!B161</f>
        <v>78964.38</v>
      </c>
      <c r="C161" s="81">
        <f>'Budget 2026'!C161</f>
        <v>78964.38</v>
      </c>
      <c r="D161" s="81">
        <f>'Budget 2026'!D161</f>
        <v>78964.38</v>
      </c>
      <c r="E161" s="81">
        <f>'Budget 2026'!E161</f>
        <v>78964.38</v>
      </c>
      <c r="F161" s="81">
        <f>'Budget 2026'!F161</f>
        <v>78964.38</v>
      </c>
      <c r="G161" s="81">
        <f>'Budget 2026'!G161</f>
        <v>78964.38</v>
      </c>
      <c r="H161" s="81">
        <f>'Budget 2026'!H161</f>
        <v>78964.38</v>
      </c>
      <c r="I161" s="81">
        <f>'Budget 2026'!I161</f>
        <v>61697.738089948361</v>
      </c>
      <c r="J161" s="81">
        <f>'Budget 2026'!J161</f>
        <v>61697.738089948361</v>
      </c>
      <c r="K161" s="81">
        <f>'Budget 2026'!K161</f>
        <v>61697.738089948361</v>
      </c>
      <c r="L161" s="81">
        <f>'Budget 2026'!L161</f>
        <v>61697.738089948361</v>
      </c>
      <c r="M161" s="81">
        <f>'Budget 2026'!M161</f>
        <v>61697.738089948361</v>
      </c>
      <c r="N161" s="81">
        <f>SUM(B161:M161)</f>
        <v>861239.35044974159</v>
      </c>
      <c r="O161" s="97"/>
    </row>
    <row r="162" spans="1:15" ht="16">
      <c r="A162" s="330" t="s">
        <v>431</v>
      </c>
      <c r="B162" s="80"/>
      <c r="C162" s="80"/>
      <c r="D162" s="80"/>
      <c r="E162" s="80"/>
      <c r="F162" s="80"/>
      <c r="G162" s="80"/>
      <c r="H162" s="80"/>
      <c r="I162" s="80"/>
      <c r="J162" s="80">
        <v>0</v>
      </c>
      <c r="K162" s="80">
        <v>0</v>
      </c>
      <c r="L162" s="80">
        <v>0</v>
      </c>
      <c r="M162" s="80">
        <v>0</v>
      </c>
      <c r="N162" s="80"/>
      <c r="O162" s="97"/>
    </row>
    <row r="163" spans="1:15" ht="16">
      <c r="A163" s="485" t="s">
        <v>432</v>
      </c>
      <c r="B163" s="486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</row>
    <row r="164" spans="1:15" ht="16">
      <c r="A164" s="330" t="s">
        <v>433</v>
      </c>
      <c r="B164" s="80">
        <v>0</v>
      </c>
      <c r="C164" s="80">
        <v>0</v>
      </c>
      <c r="D164" s="80">
        <v>0</v>
      </c>
      <c r="E164" s="80">
        <v>0</v>
      </c>
      <c r="F164" s="80">
        <v>0</v>
      </c>
      <c r="G164" s="80">
        <v>0</v>
      </c>
      <c r="H164" s="80">
        <v>0</v>
      </c>
      <c r="I164" s="80">
        <v>0</v>
      </c>
      <c r="J164" s="80">
        <v>0</v>
      </c>
      <c r="K164" s="80">
        <v>0</v>
      </c>
      <c r="L164" s="80">
        <v>0</v>
      </c>
      <c r="M164" s="80">
        <v>0</v>
      </c>
      <c r="N164" s="80">
        <v>0</v>
      </c>
      <c r="O164" s="97"/>
    </row>
    <row r="165" spans="1:15" ht="16">
      <c r="A165" s="330" t="s">
        <v>688</v>
      </c>
      <c r="B165" s="80">
        <f>'Budget 2026'!B165</f>
        <v>2800.9240000000004</v>
      </c>
      <c r="C165" s="80">
        <f t="shared" ref="C165:M165" si="35">C45*0.02</f>
        <v>2828.1968000000006</v>
      </c>
      <c r="D165" s="80">
        <f t="shared" si="35"/>
        <v>2727.4608885000007</v>
      </c>
      <c r="E165" s="80">
        <f t="shared" si="35"/>
        <v>3215.2121153163007</v>
      </c>
      <c r="F165" s="80">
        <f t="shared" si="35"/>
        <v>3201.1274507143485</v>
      </c>
      <c r="G165" s="80">
        <f t="shared" si="35"/>
        <v>3204.8215248002771</v>
      </c>
      <c r="H165" s="80">
        <f t="shared" si="35"/>
        <v>3227.7953071930069</v>
      </c>
      <c r="I165" s="80">
        <f t="shared" si="35"/>
        <v>3232.9581811459543</v>
      </c>
      <c r="J165" s="80">
        <f t="shared" si="35"/>
        <v>3262.9351312452286</v>
      </c>
      <c r="K165" s="80">
        <f t="shared" si="35"/>
        <v>3282.6039607062221</v>
      </c>
      <c r="L165" s="80">
        <f t="shared" si="35"/>
        <v>3284.3572542826455</v>
      </c>
      <c r="M165" s="80">
        <f t="shared" si="35"/>
        <v>3313.3994084228239</v>
      </c>
      <c r="N165" s="80">
        <f>SUM(B165:M165)</f>
        <v>37581.792022326808</v>
      </c>
      <c r="O165" s="97"/>
    </row>
    <row r="166" spans="1:15" ht="16" collapsed="1">
      <c r="A166" s="328" t="s">
        <v>434</v>
      </c>
      <c r="B166" s="327">
        <f>SUM(B164:B165)</f>
        <v>2800.9240000000004</v>
      </c>
      <c r="C166" s="327">
        <f t="shared" ref="C166:M166" si="36">SUM(C164:C165)</f>
        <v>2828.1968000000006</v>
      </c>
      <c r="D166" s="327">
        <f t="shared" si="36"/>
        <v>2727.4608885000007</v>
      </c>
      <c r="E166" s="327">
        <f t="shared" si="36"/>
        <v>3215.2121153163007</v>
      </c>
      <c r="F166" s="327">
        <f t="shared" si="36"/>
        <v>3201.1274507143485</v>
      </c>
      <c r="G166" s="327">
        <f t="shared" si="36"/>
        <v>3204.8215248002771</v>
      </c>
      <c r="H166" s="327">
        <f t="shared" si="36"/>
        <v>3227.7953071930069</v>
      </c>
      <c r="I166" s="327">
        <f t="shared" si="36"/>
        <v>3232.9581811459543</v>
      </c>
      <c r="J166" s="327">
        <f t="shared" si="36"/>
        <v>3262.9351312452286</v>
      </c>
      <c r="K166" s="327">
        <f t="shared" si="36"/>
        <v>3282.6039607062221</v>
      </c>
      <c r="L166" s="327">
        <f t="shared" si="36"/>
        <v>3284.3572542826455</v>
      </c>
      <c r="M166" s="327">
        <f t="shared" si="36"/>
        <v>3313.3994084228239</v>
      </c>
      <c r="N166" s="327">
        <f t="shared" ref="N166" si="37">SUM(N164:N165)</f>
        <v>37581.792022326808</v>
      </c>
      <c r="O166" s="97"/>
    </row>
    <row r="167" spans="1:15" ht="16" hidden="1" outlineLevel="1">
      <c r="A167" s="483" t="s">
        <v>435</v>
      </c>
      <c r="B167" s="484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5" ht="16" hidden="1" outlineLevel="1">
      <c r="A168" s="11" t="s">
        <v>436</v>
      </c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7"/>
      <c r="M168" s="76"/>
      <c r="N168" s="77">
        <f>SUM(B168:M168)</f>
        <v>0</v>
      </c>
      <c r="O168" s="97"/>
    </row>
    <row r="169" spans="1:15" ht="16" hidden="1" outlineLevel="1">
      <c r="A169" s="11" t="s">
        <v>437</v>
      </c>
      <c r="B169" s="77"/>
      <c r="C169" s="77"/>
      <c r="D169" s="77"/>
      <c r="E169" s="77"/>
      <c r="F169" s="77"/>
      <c r="G169" s="76"/>
      <c r="H169" s="76"/>
      <c r="I169" s="76"/>
      <c r="J169" s="76"/>
      <c r="K169" s="76"/>
      <c r="L169" s="76"/>
      <c r="M169" s="76"/>
      <c r="N169" s="77">
        <f t="shared" ref="N169:N189" si="38">SUM(B169:M169)</f>
        <v>0</v>
      </c>
      <c r="O169" s="97"/>
    </row>
    <row r="170" spans="1:15" ht="16" hidden="1" outlineLevel="1">
      <c r="A170" s="11" t="s">
        <v>438</v>
      </c>
      <c r="B170" s="76"/>
      <c r="C170" s="77"/>
      <c r="D170" s="76"/>
      <c r="E170" s="77"/>
      <c r="F170" s="76"/>
      <c r="G170" s="77"/>
      <c r="H170" s="76"/>
      <c r="I170" s="76"/>
      <c r="J170" s="76"/>
      <c r="K170" s="76"/>
      <c r="L170" s="76"/>
      <c r="M170" s="76"/>
      <c r="N170" s="77">
        <f t="shared" si="38"/>
        <v>0</v>
      </c>
      <c r="O170" s="97"/>
    </row>
    <row r="171" spans="1:15" ht="16" hidden="1" outlineLevel="1">
      <c r="A171" s="11" t="s">
        <v>439</v>
      </c>
      <c r="B171" s="77"/>
      <c r="C171" s="76"/>
      <c r="D171" s="76"/>
      <c r="E171" s="77"/>
      <c r="F171" s="76"/>
      <c r="G171" s="77"/>
      <c r="H171" s="76"/>
      <c r="I171" s="76"/>
      <c r="J171" s="76"/>
      <c r="K171" s="76"/>
      <c r="L171" s="76"/>
      <c r="M171" s="76"/>
      <c r="N171" s="77">
        <f t="shared" si="38"/>
        <v>0</v>
      </c>
      <c r="O171" s="97"/>
    </row>
    <row r="172" spans="1:15" ht="16" hidden="1" outlineLevel="1">
      <c r="A172" s="11" t="s">
        <v>440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7"/>
      <c r="M172" s="76"/>
      <c r="N172" s="77">
        <f t="shared" si="38"/>
        <v>0</v>
      </c>
      <c r="O172" s="97"/>
    </row>
    <row r="173" spans="1:15" ht="16" hidden="1" outlineLevel="1">
      <c r="A173" s="11" t="s">
        <v>441</v>
      </c>
      <c r="B173" s="76"/>
      <c r="C173" s="77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7">
        <f t="shared" si="38"/>
        <v>0</v>
      </c>
      <c r="O173" s="97"/>
    </row>
    <row r="174" spans="1:15" ht="16" hidden="1" outlineLevel="1">
      <c r="A174" s="11" t="s">
        <v>442</v>
      </c>
      <c r="B174" s="77"/>
      <c r="C174" s="77"/>
      <c r="D174" s="76"/>
      <c r="E174" s="76"/>
      <c r="F174" s="76"/>
      <c r="G174" s="77"/>
      <c r="H174" s="76"/>
      <c r="I174" s="76"/>
      <c r="J174" s="76"/>
      <c r="K174" s="76"/>
      <c r="L174" s="76"/>
      <c r="M174" s="76"/>
      <c r="N174" s="77">
        <f t="shared" si="38"/>
        <v>0</v>
      </c>
      <c r="O174" s="97"/>
    </row>
    <row r="175" spans="1:15" ht="16" hidden="1" outlineLevel="1">
      <c r="A175" s="11" t="s">
        <v>443</v>
      </c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7">
        <f t="shared" si="38"/>
        <v>0</v>
      </c>
      <c r="O175" s="97"/>
    </row>
    <row r="176" spans="1:15" ht="16" hidden="1" outlineLevel="1">
      <c r="A176" s="11" t="s">
        <v>444</v>
      </c>
      <c r="B176" s="76"/>
      <c r="C176" s="76"/>
      <c r="D176" s="76"/>
      <c r="E176" s="76"/>
      <c r="F176" s="76"/>
      <c r="G176" s="76"/>
      <c r="H176" s="77"/>
      <c r="I176" s="76"/>
      <c r="J176" s="76"/>
      <c r="K176" s="76"/>
      <c r="L176" s="76"/>
      <c r="M176" s="76"/>
      <c r="N176" s="77">
        <f t="shared" si="38"/>
        <v>0</v>
      </c>
      <c r="O176" s="97"/>
    </row>
    <row r="177" spans="1:15" ht="16" hidden="1" outlineLevel="1">
      <c r="A177" s="11" t="s">
        <v>445</v>
      </c>
      <c r="B177" s="76"/>
      <c r="C177" s="76"/>
      <c r="D177" s="76"/>
      <c r="E177" s="76"/>
      <c r="F177" s="76"/>
      <c r="G177" s="76"/>
      <c r="H177" s="76"/>
      <c r="I177" s="77"/>
      <c r="J177" s="76"/>
      <c r="K177" s="76"/>
      <c r="L177" s="76"/>
      <c r="M177" s="76"/>
      <c r="N177" s="77">
        <f t="shared" si="38"/>
        <v>0</v>
      </c>
      <c r="O177" s="97"/>
    </row>
    <row r="178" spans="1:15" ht="16" hidden="1" outlineLevel="1">
      <c r="A178" s="11" t="s">
        <v>446</v>
      </c>
      <c r="B178" s="76"/>
      <c r="C178" s="77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7">
        <f t="shared" si="38"/>
        <v>0</v>
      </c>
      <c r="O178" s="97"/>
    </row>
    <row r="179" spans="1:15" ht="16" hidden="1" outlineLevel="1">
      <c r="A179" s="11" t="s">
        <v>447</v>
      </c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7"/>
      <c r="M179" s="76"/>
      <c r="N179" s="77">
        <f t="shared" si="38"/>
        <v>0</v>
      </c>
      <c r="O179" s="97"/>
    </row>
    <row r="180" spans="1:15" ht="16" hidden="1" outlineLevel="1">
      <c r="A180" s="11" t="s">
        <v>448</v>
      </c>
      <c r="B180" s="76"/>
      <c r="C180" s="76"/>
      <c r="D180" s="76"/>
      <c r="E180" s="76"/>
      <c r="F180" s="76"/>
      <c r="G180" s="76"/>
      <c r="H180" s="76"/>
      <c r="I180" s="76"/>
      <c r="J180" s="76"/>
      <c r="K180" s="77"/>
      <c r="L180" s="76"/>
      <c r="M180" s="77"/>
      <c r="N180" s="77">
        <f t="shared" si="38"/>
        <v>0</v>
      </c>
      <c r="O180" s="97"/>
    </row>
    <row r="181" spans="1:15" ht="16" hidden="1" outlineLevel="1">
      <c r="A181" s="11" t="s">
        <v>449</v>
      </c>
      <c r="B181" s="76"/>
      <c r="C181" s="77"/>
      <c r="D181" s="77"/>
      <c r="E181" s="77"/>
      <c r="F181" s="77"/>
      <c r="G181" s="76"/>
      <c r="H181" s="76"/>
      <c r="I181" s="77"/>
      <c r="J181" s="77"/>
      <c r="K181" s="77"/>
      <c r="L181" s="77"/>
      <c r="M181" s="76"/>
      <c r="N181" s="77">
        <f t="shared" si="38"/>
        <v>0</v>
      </c>
      <c r="O181" s="97"/>
    </row>
    <row r="182" spans="1:15" ht="16" hidden="1" outlineLevel="1">
      <c r="A182" s="11" t="s">
        <v>450</v>
      </c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7"/>
      <c r="M182" s="76"/>
      <c r="N182" s="77">
        <f t="shared" si="38"/>
        <v>0</v>
      </c>
      <c r="O182" s="97"/>
    </row>
    <row r="183" spans="1:15" ht="16" hidden="1" outlineLevel="1">
      <c r="A183" s="11" t="s">
        <v>451</v>
      </c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7">
        <f t="shared" si="38"/>
        <v>0</v>
      </c>
      <c r="O183" s="97"/>
    </row>
    <row r="184" spans="1:15" ht="16" hidden="1" outlineLevel="1">
      <c r="A184" s="11" t="s">
        <v>452</v>
      </c>
      <c r="B184" s="76"/>
      <c r="C184" s="76"/>
      <c r="D184" s="76"/>
      <c r="E184" s="76"/>
      <c r="F184" s="76"/>
      <c r="G184" s="76"/>
      <c r="H184" s="77"/>
      <c r="I184" s="76"/>
      <c r="J184" s="76"/>
      <c r="K184" s="76"/>
      <c r="L184" s="76"/>
      <c r="M184" s="76"/>
      <c r="N184" s="77">
        <f t="shared" si="38"/>
        <v>0</v>
      </c>
      <c r="O184" s="97"/>
    </row>
    <row r="185" spans="1:15" ht="16" hidden="1" outlineLevel="1">
      <c r="A185" s="11" t="s">
        <v>453</v>
      </c>
      <c r="B185" s="76"/>
      <c r="C185" s="76"/>
      <c r="D185" s="76"/>
      <c r="E185" s="76"/>
      <c r="F185" s="76"/>
      <c r="G185" s="76"/>
      <c r="H185" s="76"/>
      <c r="I185" s="76"/>
      <c r="J185" s="76"/>
      <c r="K185" s="77"/>
      <c r="L185" s="77"/>
      <c r="M185" s="76"/>
      <c r="N185" s="77">
        <f t="shared" si="38"/>
        <v>0</v>
      </c>
      <c r="O185" s="97"/>
    </row>
    <row r="186" spans="1:15" ht="16" hidden="1" outlineLevel="1">
      <c r="A186" s="11" t="s">
        <v>454</v>
      </c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7"/>
      <c r="M186" s="76"/>
      <c r="N186" s="77">
        <f t="shared" si="38"/>
        <v>0</v>
      </c>
      <c r="O186" s="97"/>
    </row>
    <row r="187" spans="1:15" ht="16" hidden="1" outlineLevel="1">
      <c r="A187" s="11" t="s">
        <v>455</v>
      </c>
      <c r="B187" s="76"/>
      <c r="C187" s="76"/>
      <c r="D187" s="77"/>
      <c r="E187" s="76"/>
      <c r="F187" s="76"/>
      <c r="G187" s="76"/>
      <c r="H187" s="76"/>
      <c r="I187" s="76"/>
      <c r="J187" s="76"/>
      <c r="K187" s="76"/>
      <c r="L187" s="76"/>
      <c r="M187" s="76"/>
      <c r="N187" s="77">
        <f t="shared" si="38"/>
        <v>0</v>
      </c>
      <c r="O187" s="97"/>
    </row>
    <row r="188" spans="1:15" ht="16" hidden="1" outlineLevel="1">
      <c r="A188" s="11" t="s">
        <v>456</v>
      </c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7">
        <f t="shared" si="38"/>
        <v>0</v>
      </c>
      <c r="O188" s="97"/>
    </row>
    <row r="189" spans="1:15" ht="16">
      <c r="A189" s="328" t="s">
        <v>457</v>
      </c>
      <c r="B189" s="327">
        <f>'Budget 2026'!B189</f>
        <v>10000</v>
      </c>
      <c r="C189" s="327">
        <f>'Budget 2026'!C189</f>
        <v>10000</v>
      </c>
      <c r="D189" s="327">
        <f>'Budget 2026'!D189</f>
        <v>10000</v>
      </c>
      <c r="E189" s="327">
        <f>'Budget 2026'!E189</f>
        <v>10000</v>
      </c>
      <c r="F189" s="327">
        <f>'Budget 2026'!F189</f>
        <v>10000</v>
      </c>
      <c r="G189" s="327">
        <f>'Budget 2026'!G189</f>
        <v>10000</v>
      </c>
      <c r="H189" s="327">
        <f>'Budget 2026'!H189</f>
        <v>10000</v>
      </c>
      <c r="I189" s="327">
        <f>'Budget 2026'!I189</f>
        <v>10000</v>
      </c>
      <c r="J189" s="327">
        <f>'Budget 2026'!J189</f>
        <v>20833</v>
      </c>
      <c r="K189" s="327">
        <f>'Budget 2026'!K189</f>
        <v>20833</v>
      </c>
      <c r="L189" s="327">
        <f>'Budget 2026'!L189</f>
        <v>20833</v>
      </c>
      <c r="M189" s="327">
        <f>'Budget 2026'!M189</f>
        <v>20833</v>
      </c>
      <c r="N189" s="82">
        <f t="shared" si="38"/>
        <v>163332</v>
      </c>
      <c r="O189" s="97"/>
    </row>
    <row r="190" spans="1:15" ht="16">
      <c r="A190" s="328" t="s">
        <v>458</v>
      </c>
      <c r="B190" s="327">
        <f>B161+B166+B189</f>
        <v>91765.304000000004</v>
      </c>
      <c r="C190" s="327">
        <f t="shared" ref="C190:N190" si="39">C161+C166+C189</f>
        <v>91792.57680000001</v>
      </c>
      <c r="D190" s="327">
        <f t="shared" si="39"/>
        <v>91691.84088850001</v>
      </c>
      <c r="E190" s="327">
        <f t="shared" si="39"/>
        <v>92179.592115316307</v>
      </c>
      <c r="F190" s="327">
        <f t="shared" si="39"/>
        <v>92165.507450714358</v>
      </c>
      <c r="G190" s="327">
        <f t="shared" si="39"/>
        <v>92169.201524800286</v>
      </c>
      <c r="H190" s="327">
        <f t="shared" si="39"/>
        <v>92192.175307193014</v>
      </c>
      <c r="I190" s="327">
        <f t="shared" si="39"/>
        <v>74930.696271094319</v>
      </c>
      <c r="J190" s="327">
        <f t="shared" si="39"/>
        <v>85793.673221193589</v>
      </c>
      <c r="K190" s="327">
        <f t="shared" si="39"/>
        <v>85813.342050654581</v>
      </c>
      <c r="L190" s="327">
        <f t="shared" si="39"/>
        <v>85815.095344230998</v>
      </c>
      <c r="M190" s="327">
        <f t="shared" si="39"/>
        <v>85844.137498371187</v>
      </c>
      <c r="N190" s="327">
        <f t="shared" si="39"/>
        <v>1062153.1424720683</v>
      </c>
      <c r="O190" s="97"/>
    </row>
    <row r="191" spans="1:15" ht="1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spans="1:15" ht="16">
      <c r="A192" s="9" t="s">
        <v>459</v>
      </c>
      <c r="B192" s="414">
        <f t="shared" ref="B192:N192" si="40">B154-B190</f>
        <v>-12083.393999999986</v>
      </c>
      <c r="C192" s="414">
        <f t="shared" si="40"/>
        <v>-10384.126799999984</v>
      </c>
      <c r="D192" s="414">
        <f t="shared" si="40"/>
        <v>-14673.466463499979</v>
      </c>
      <c r="E192" s="414">
        <f t="shared" si="40"/>
        <v>2177.9054775242839</v>
      </c>
      <c r="F192" s="414">
        <f t="shared" si="40"/>
        <v>7984.1539089315338</v>
      </c>
      <c r="G192" s="414">
        <f t="shared" si="40"/>
        <v>8109.9724280131486</v>
      </c>
      <c r="H192" s="414">
        <f t="shared" si="40"/>
        <v>8675.6070916678145</v>
      </c>
      <c r="I192" s="414">
        <f t="shared" si="40"/>
        <v>21963.105514484458</v>
      </c>
      <c r="J192" s="414">
        <f t="shared" si="40"/>
        <v>16104.010644199996</v>
      </c>
      <c r="K192" s="414">
        <f t="shared" si="40"/>
        <v>18830.710043597181</v>
      </c>
      <c r="L192" s="414">
        <f t="shared" si="40"/>
        <v>17502.331488477299</v>
      </c>
      <c r="M192" s="414">
        <f t="shared" si="40"/>
        <v>17533.063810135762</v>
      </c>
      <c r="N192" s="414">
        <f t="shared" si="40"/>
        <v>81739.873143531848</v>
      </c>
      <c r="O192" s="97"/>
    </row>
    <row r="193" spans="1:15" ht="16">
      <c r="A193" s="11"/>
      <c r="B193" s="330"/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</row>
    <row r="194" spans="1:15" ht="16">
      <c r="A194" s="11" t="s">
        <v>460</v>
      </c>
      <c r="B194" s="80">
        <f>B45</f>
        <v>140046.20000000001</v>
      </c>
      <c r="C194" s="80">
        <f t="shared" ref="C194:N194" si="41">C45</f>
        <v>141409.84000000003</v>
      </c>
      <c r="D194" s="80">
        <f t="shared" si="41"/>
        <v>136373.04442500003</v>
      </c>
      <c r="E194" s="80">
        <f t="shared" si="41"/>
        <v>160760.60576581504</v>
      </c>
      <c r="F194" s="80">
        <f t="shared" si="41"/>
        <v>160056.37253571741</v>
      </c>
      <c r="G194" s="80">
        <f t="shared" si="41"/>
        <v>160241.07624001385</v>
      </c>
      <c r="H194" s="80">
        <f t="shared" si="41"/>
        <v>161389.76535965034</v>
      </c>
      <c r="I194" s="80">
        <f t="shared" si="41"/>
        <v>161647.90905729771</v>
      </c>
      <c r="J194" s="80">
        <f t="shared" si="41"/>
        <v>163146.75656226143</v>
      </c>
      <c r="K194" s="80">
        <f t="shared" si="41"/>
        <v>164130.1980353111</v>
      </c>
      <c r="L194" s="80">
        <f t="shared" si="41"/>
        <v>164217.86271413226</v>
      </c>
      <c r="M194" s="80">
        <f t="shared" si="41"/>
        <v>165669.97042114119</v>
      </c>
      <c r="N194" s="80">
        <f t="shared" si="41"/>
        <v>1879089.6011163406</v>
      </c>
      <c r="O194" s="97"/>
    </row>
    <row r="195" spans="1:15" ht="16">
      <c r="A195" s="11" t="s">
        <v>461</v>
      </c>
      <c r="B195" s="80">
        <f>B190+B152</f>
        <v>152129.59399999998</v>
      </c>
      <c r="C195" s="80">
        <f t="shared" ref="C195:N195" si="42">C190+C152</f>
        <v>151793.96679999999</v>
      </c>
      <c r="D195" s="80">
        <f t="shared" si="42"/>
        <v>151046.51088850002</v>
      </c>
      <c r="E195" s="80">
        <f t="shared" si="42"/>
        <v>158582.70028829074</v>
      </c>
      <c r="F195" s="80">
        <f t="shared" si="42"/>
        <v>152072.21862678588</v>
      </c>
      <c r="G195" s="80">
        <f t="shared" si="42"/>
        <v>152131.10381200071</v>
      </c>
      <c r="H195" s="80">
        <f t="shared" si="42"/>
        <v>152714.15826798254</v>
      </c>
      <c r="I195" s="80">
        <f t="shared" si="42"/>
        <v>139684.80354281326</v>
      </c>
      <c r="J195" s="80">
        <f t="shared" si="42"/>
        <v>147042.74591806144</v>
      </c>
      <c r="K195" s="80">
        <f t="shared" si="42"/>
        <v>145299.48799171392</v>
      </c>
      <c r="L195" s="80">
        <f t="shared" si="42"/>
        <v>146715.53122565497</v>
      </c>
      <c r="M195" s="80">
        <f t="shared" si="42"/>
        <v>148136.90661100543</v>
      </c>
      <c r="N195" s="80">
        <f t="shared" si="42"/>
        <v>1797349.7279728088</v>
      </c>
      <c r="O195" s="97"/>
    </row>
    <row r="196" spans="1:15" ht="16">
      <c r="A196" s="11"/>
      <c r="B196" s="330"/>
      <c r="C196" s="330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N196" s="330"/>
    </row>
    <row r="197" spans="1:15" ht="16">
      <c r="A197" s="9" t="s">
        <v>462</v>
      </c>
      <c r="B197" s="414">
        <f>B194-B195</f>
        <v>-12083.393999999971</v>
      </c>
      <c r="C197" s="414">
        <f t="shared" ref="C197:N197" si="43">C194-C195</f>
        <v>-10384.126799999969</v>
      </c>
      <c r="D197" s="414">
        <f t="shared" si="43"/>
        <v>-14673.466463499994</v>
      </c>
      <c r="E197" s="414">
        <f t="shared" si="43"/>
        <v>2177.9054775242985</v>
      </c>
      <c r="F197" s="414">
        <f t="shared" si="43"/>
        <v>7984.1539089315338</v>
      </c>
      <c r="G197" s="414">
        <f t="shared" si="43"/>
        <v>8109.972428013134</v>
      </c>
      <c r="H197" s="414">
        <f t="shared" si="43"/>
        <v>8675.6070916678</v>
      </c>
      <c r="I197" s="414">
        <f t="shared" si="43"/>
        <v>21963.105514484458</v>
      </c>
      <c r="J197" s="414">
        <f t="shared" si="43"/>
        <v>16104.010644199996</v>
      </c>
      <c r="K197" s="414">
        <f t="shared" si="43"/>
        <v>18830.710043597181</v>
      </c>
      <c r="L197" s="414">
        <f t="shared" si="43"/>
        <v>17502.331488477299</v>
      </c>
      <c r="M197" s="414">
        <f t="shared" si="43"/>
        <v>17533.063810135762</v>
      </c>
      <c r="N197" s="414">
        <f t="shared" si="43"/>
        <v>81739.873143531848</v>
      </c>
      <c r="O197" s="97"/>
    </row>
  </sheetData>
  <autoFilter ref="A1:M152" xr:uid="{00000000-0001-0000-0700-000000000000}">
    <filterColumn colId="0">
      <customFilters>
        <customFilter val="TOTAL*"/>
      </customFilters>
    </filterColumn>
  </autoFilter>
  <dataConsolidate/>
  <mergeCells count="4">
    <mergeCell ref="A47:B47"/>
    <mergeCell ref="A97:B97"/>
    <mergeCell ref="A163:B163"/>
    <mergeCell ref="A167:B167"/>
  </mergeCells>
  <hyperlinks>
    <hyperlink ref="A94" r:id="rId1" xr:uid="{675D01BD-11A5-5547-A765-2026C2638357}"/>
  </hyperlinks>
  <pageMargins left="0.7" right="0.7" top="0.75" bottom="0.75" header="0.3" footer="0.3"/>
  <pageSetup orientation="portrait" horizontalDpi="0" verticalDpi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BE715-9125-9D43-B675-53F0CCD2FDC5}">
  <sheetPr filterMode="1">
    <outlinePr summaryBelow="0" summaryRight="0"/>
  </sheetPr>
  <dimension ref="A1:R197"/>
  <sheetViews>
    <sheetView workbookViewId="0">
      <selection activeCell="P138" sqref="P138"/>
    </sheetView>
  </sheetViews>
  <sheetFormatPr baseColWidth="10" defaultColWidth="12.6640625" defaultRowHeight="15" customHeight="1" outlineLevelRow="2" outlineLevelCol="1"/>
  <cols>
    <col min="1" max="1" width="55.5" bestFit="1" customWidth="1"/>
    <col min="2" max="2" width="12.6640625" bestFit="1" customWidth="1" outlineLevel="1"/>
    <col min="3" max="4" width="12.83203125" customWidth="1" outlineLevel="1"/>
    <col min="5" max="5" width="12.6640625" bestFit="1" customWidth="1" outlineLevel="1"/>
    <col min="6" max="6" width="13.1640625" bestFit="1" customWidth="1" outlineLevel="1"/>
    <col min="7" max="7" width="12.83203125" customWidth="1" outlineLevel="1"/>
    <col min="8" max="8" width="12.1640625" bestFit="1" customWidth="1" outlineLevel="1"/>
    <col min="9" max="9" width="13.1640625" bestFit="1" customWidth="1" outlineLevel="1"/>
    <col min="10" max="10" width="13" bestFit="1" customWidth="1" outlineLevel="1"/>
    <col min="11" max="11" width="12.5" bestFit="1" customWidth="1"/>
    <col min="12" max="12" width="13" bestFit="1" customWidth="1"/>
    <col min="13" max="13" width="12.83203125" bestFit="1" customWidth="1"/>
    <col min="14" max="14" width="12.83203125" customWidth="1"/>
    <col min="15" max="15" width="55.83203125" bestFit="1" customWidth="1"/>
  </cols>
  <sheetData>
    <row r="1" spans="1:15" ht="17" collapsed="1">
      <c r="A1" s="75" t="s">
        <v>1</v>
      </c>
      <c r="B1" s="90">
        <v>46023</v>
      </c>
      <c r="C1" s="315">
        <f>EDATE(B1, 1)</f>
        <v>46054</v>
      </c>
      <c r="D1" s="315">
        <f t="shared" ref="D1:M1" si="0">EDATE(C1, 1)</f>
        <v>46082</v>
      </c>
      <c r="E1" s="315">
        <f t="shared" si="0"/>
        <v>46113</v>
      </c>
      <c r="F1" s="315">
        <f t="shared" si="0"/>
        <v>46143</v>
      </c>
      <c r="G1" s="315">
        <f t="shared" si="0"/>
        <v>46174</v>
      </c>
      <c r="H1" s="315">
        <f t="shared" si="0"/>
        <v>46204</v>
      </c>
      <c r="I1" s="315">
        <f t="shared" si="0"/>
        <v>46235</v>
      </c>
      <c r="J1" s="315">
        <f t="shared" si="0"/>
        <v>46266</v>
      </c>
      <c r="K1" s="315">
        <f t="shared" si="0"/>
        <v>46296</v>
      </c>
      <c r="L1" s="315">
        <f t="shared" si="0"/>
        <v>46327</v>
      </c>
      <c r="M1" s="315">
        <f t="shared" si="0"/>
        <v>46357</v>
      </c>
      <c r="N1" s="75" t="s">
        <v>5</v>
      </c>
      <c r="O1" s="75"/>
    </row>
    <row r="2" spans="1:15" ht="16" hidden="1" outlineLevel="1">
      <c r="A2" s="11" t="s">
        <v>224</v>
      </c>
      <c r="B2" s="317">
        <f>'Worksheet - DO NOT DELETE'!B12</f>
        <v>159666</v>
      </c>
      <c r="C2" s="317">
        <f>'Worksheet - DO NOT DELETE'!C12</f>
        <v>159666</v>
      </c>
      <c r="D2" s="317">
        <f>'Worksheet - DO NOT DELETE'!D12</f>
        <v>159666</v>
      </c>
      <c r="E2" s="317">
        <f>'Worksheet - DO NOT DELETE'!E12</f>
        <v>159666</v>
      </c>
      <c r="F2" s="317">
        <f>'Worksheet - DO NOT DELETE'!F12</f>
        <v>159666</v>
      </c>
      <c r="G2" s="317">
        <f>'Worksheet - DO NOT DELETE'!G12</f>
        <v>159666</v>
      </c>
      <c r="H2" s="317">
        <f>'Worksheet - DO NOT DELETE'!H12</f>
        <v>159666</v>
      </c>
      <c r="I2" s="317">
        <f>'Worksheet - DO NOT DELETE'!I12</f>
        <v>159666</v>
      </c>
      <c r="J2" s="317">
        <f>'Worksheet - DO NOT DELETE'!J12</f>
        <v>159666</v>
      </c>
      <c r="K2" s="317">
        <f>'Worksheet - DO NOT DELETE'!K12</f>
        <v>159666</v>
      </c>
      <c r="L2" s="317">
        <f>'Worksheet - DO NOT DELETE'!L12</f>
        <v>159666</v>
      </c>
      <c r="M2" s="317">
        <f>'Worksheet - DO NOT DELETE'!M12</f>
        <v>159666</v>
      </c>
      <c r="N2" s="317">
        <f t="shared" ref="N2:N9" si="1">SUM(B2:M2)</f>
        <v>1915992</v>
      </c>
      <c r="O2" s="94"/>
    </row>
    <row r="3" spans="1:15" ht="16" hidden="1" outlineLevel="1">
      <c r="A3" s="11" t="s">
        <v>225</v>
      </c>
      <c r="B3" s="318">
        <f>'Worksheet - DO NOT DELETE'!B16</f>
        <v>-9750.1199999999862</v>
      </c>
      <c r="C3" s="318">
        <f>'Worksheet - DO NOT DELETE'!C16</f>
        <v>-9750.1199999999862</v>
      </c>
      <c r="D3" s="318">
        <f>'Worksheet - DO NOT DELETE'!D16</f>
        <v>-9375.3302999999869</v>
      </c>
      <c r="E3" s="318">
        <f>'Worksheet - DO NOT DELETE'!E16</f>
        <v>-9179.9524293899722</v>
      </c>
      <c r="F3" s="318">
        <f>'Worksheet - DO NOT DELETE'!F16</f>
        <v>-8984.3205675481549</v>
      </c>
      <c r="G3" s="318">
        <f>'Worksheet - DO NOT DELETE'!G16</f>
        <v>-8788.4343842859689</v>
      </c>
      <c r="H3" s="318">
        <f>'Worksheet - DO NOT DELETE'!H16</f>
        <v>-8516.8547661776793</v>
      </c>
      <c r="I3" s="318">
        <f>'Worksheet - DO NOT DELETE'!I16</f>
        <v>-8244.7863047568044</v>
      </c>
      <c r="J3" s="318">
        <f>'Worksheet - DO NOT DELETE'!J16</f>
        <v>-7972.2281201053484</v>
      </c>
      <c r="K3" s="318">
        <f>'Worksheet - DO NOT DELETE'!K16</f>
        <v>-7881.2118569774302</v>
      </c>
      <c r="L3" s="318">
        <f>'Worksheet - DO NOT DELETE'!L16</f>
        <v>-7790.140984091634</v>
      </c>
      <c r="M3" s="318">
        <f>'Worksheet - DO NOT DELETE'!M16</f>
        <v>-7699.0154686821052</v>
      </c>
      <c r="N3" s="318">
        <f t="shared" si="1"/>
        <v>-103932.51518201506</v>
      </c>
      <c r="O3" s="31"/>
    </row>
    <row r="4" spans="1:15" ht="16" hidden="1" outlineLevel="1">
      <c r="A4" s="11" t="s">
        <v>226</v>
      </c>
      <c r="B4" s="318">
        <f>'Worksheet - DO NOT DELETE'!B15-(B5+B6)</f>
        <v>0</v>
      </c>
      <c r="C4" s="318">
        <f>'Worksheet - DO NOT DELETE'!C15-(C5+C6)</f>
        <v>-3541.32</v>
      </c>
      <c r="D4" s="318">
        <f>'Worksheet - DO NOT DELETE'!D15-(D5+D6)</f>
        <v>-9762.9765750000006</v>
      </c>
      <c r="E4" s="318">
        <f>'Worksheet - DO NOT DELETE'!E15-(E5+E6)</f>
        <v>-1777.3942626450003</v>
      </c>
      <c r="F4" s="318">
        <f>'Worksheet - DO NOT DELETE'!F15-(F5+F6)</f>
        <v>-2669.5573127796588</v>
      </c>
      <c r="G4" s="318">
        <f>'Worksheet - DO NOT DELETE'!G15-(G5+G6)</f>
        <v>-2673.027737286272</v>
      </c>
      <c r="H4" s="318">
        <f>'Worksheet - DO NOT DELETE'!H15-(H5+H6)</f>
        <v>-1785.2261248089249</v>
      </c>
      <c r="I4" s="318">
        <f>'Worksheet - DO NOT DELETE'!I15-(I5+I6)</f>
        <v>-1788.439531833581</v>
      </c>
      <c r="J4" s="318">
        <f>'Worksheet - DO NOT DELETE'!J15-(J5+J6)</f>
        <v>-1791.6587229908819</v>
      </c>
      <c r="K4" s="318">
        <f>'Worksheet - DO NOT DELETE'!K15-(K5+K6)</f>
        <v>-896.36685911233803</v>
      </c>
      <c r="L4" s="318">
        <f>'Worksheet - DO NOT DELETE'!L15-(L5+L6)</f>
        <v>-896.90467922780522</v>
      </c>
      <c r="M4" s="318">
        <f>'Worksheet - DO NOT DELETE'!M15-(M5+M6)</f>
        <v>-897.44282203534181</v>
      </c>
      <c r="N4" s="318">
        <f t="shared" si="1"/>
        <v>-28480.314627719807</v>
      </c>
      <c r="O4" s="31"/>
    </row>
    <row r="5" spans="1:15" ht="16" hidden="1" outlineLevel="1">
      <c r="A5" s="11" t="s">
        <v>227</v>
      </c>
      <c r="B5" s="318">
        <v>-100</v>
      </c>
      <c r="C5" s="318">
        <v>-100</v>
      </c>
      <c r="D5" s="318">
        <v>-100</v>
      </c>
      <c r="E5" s="318">
        <v>-100</v>
      </c>
      <c r="F5" s="318">
        <v>-100</v>
      </c>
      <c r="G5" s="318">
        <v>-100</v>
      </c>
      <c r="H5" s="318">
        <v>-100</v>
      </c>
      <c r="I5" s="318">
        <v>-100</v>
      </c>
      <c r="J5" s="318">
        <v>-100</v>
      </c>
      <c r="K5" s="318">
        <v>-100</v>
      </c>
      <c r="L5" s="318">
        <v>-100</v>
      </c>
      <c r="M5" s="318">
        <v>-100</v>
      </c>
      <c r="N5" s="318">
        <f t="shared" si="1"/>
        <v>-1200</v>
      </c>
      <c r="O5" s="31"/>
    </row>
    <row r="6" spans="1:15" ht="16" hidden="1" outlineLevel="1">
      <c r="A6" s="11" t="s">
        <v>228</v>
      </c>
      <c r="B6" s="318">
        <v>-210</v>
      </c>
      <c r="C6" s="318">
        <v>-210</v>
      </c>
      <c r="D6" s="318">
        <v>-210</v>
      </c>
      <c r="E6" s="318">
        <v>-210</v>
      </c>
      <c r="F6" s="318">
        <v>-210</v>
      </c>
      <c r="G6" s="318">
        <v>-210</v>
      </c>
      <c r="H6" s="318">
        <v>-210</v>
      </c>
      <c r="I6" s="318">
        <v>-210</v>
      </c>
      <c r="J6" s="318">
        <v>-210</v>
      </c>
      <c r="K6" s="318">
        <v>-210</v>
      </c>
      <c r="L6" s="318">
        <v>-210</v>
      </c>
      <c r="M6" s="318">
        <v>-210</v>
      </c>
      <c r="N6" s="318">
        <f t="shared" si="1"/>
        <v>-2520</v>
      </c>
      <c r="O6" s="31"/>
    </row>
    <row r="7" spans="1:15" ht="16" hidden="1" outlineLevel="1">
      <c r="A7" s="11" t="s">
        <v>229</v>
      </c>
      <c r="B7" s="318">
        <f>'Worksheet - DO NOT DELETE'!B13</f>
        <v>-14165.28</v>
      </c>
      <c r="C7" s="318">
        <f>'Worksheet - DO NOT DELETE'!C13</f>
        <v>-9443.52</v>
      </c>
      <c r="D7" s="318">
        <f>'Worksheet - DO NOT DELETE'!D13</f>
        <v>-4733.5644000000002</v>
      </c>
      <c r="E7" s="318">
        <f>'Worksheet - DO NOT DELETE'!E13</f>
        <v>-4739.7180337200007</v>
      </c>
      <c r="F7" s="318">
        <f>'Worksheet - DO NOT DELETE'!F13</f>
        <v>-4745.8796671638374</v>
      </c>
      <c r="G7" s="318">
        <f>'Worksheet - DO NOT DELETE'!G13</f>
        <v>-4752.0493107311504</v>
      </c>
      <c r="H7" s="318">
        <f>'Worksheet - DO NOT DELETE'!H13</f>
        <v>-4760.6029994904666</v>
      </c>
      <c r="I7" s="318">
        <f>'Worksheet - DO NOT DELETE'!I13</f>
        <v>-4769.1720848895493</v>
      </c>
      <c r="J7" s="318">
        <f>'Worksheet - DO NOT DELETE'!J13</f>
        <v>-3583.3174459817633</v>
      </c>
      <c r="K7" s="318">
        <f>'Worksheet - DO NOT DELETE'!K13</f>
        <v>-3585.4674364493521</v>
      </c>
      <c r="L7" s="318">
        <f>'Worksheet - DO NOT DELETE'!L13</f>
        <v>-3587.6187169112209</v>
      </c>
      <c r="M7" s="318">
        <f>'Worksheet - DO NOT DELETE'!M13</f>
        <v>-3589.7712881413672</v>
      </c>
      <c r="N7" s="318">
        <f t="shared" si="1"/>
        <v>-66455.961383478716</v>
      </c>
      <c r="O7" s="31"/>
    </row>
    <row r="8" spans="1:15" ht="16" hidden="1" outlineLevel="1">
      <c r="A8" s="11" t="s">
        <v>230</v>
      </c>
      <c r="B8" s="318">
        <f>'Worksheet - DO NOT DELETE'!B17</f>
        <v>-11804.400000000001</v>
      </c>
      <c r="C8" s="318">
        <f>'Worksheet - DO NOT DELETE'!C17</f>
        <v>-11804.400000000001</v>
      </c>
      <c r="D8" s="318">
        <f>'Worksheet - DO NOT DELETE'!D17</f>
        <v>-15384.0843</v>
      </c>
      <c r="E8" s="318">
        <f>'Worksheet - DO NOT DELETE'!E17</f>
        <v>-1184.9295084300002</v>
      </c>
      <c r="F8" s="318">
        <f>'Worksheet - DO NOT DELETE'!F17</f>
        <v>-1186.4699167909594</v>
      </c>
      <c r="G8" s="318">
        <f>'Worksheet - DO NOT DELETE'!G17</f>
        <v>-1188.0123276827876</v>
      </c>
      <c r="H8" s="318">
        <f>'Worksheet - DO NOT DELETE'!H17</f>
        <v>-1190.1507498726166</v>
      </c>
      <c r="I8" s="318">
        <f>'Worksheet - DO NOT DELETE'!I17</f>
        <v>-1192.2930212223873</v>
      </c>
      <c r="J8" s="318">
        <f>'Worksheet - DO NOT DELETE'!J17</f>
        <v>-1194.4391486605878</v>
      </c>
      <c r="K8" s="318">
        <f>'Worksheet - DO NOT DELETE'!K17</f>
        <v>-1195.155812149784</v>
      </c>
      <c r="L8" s="318">
        <f>'Worksheet - DO NOT DELETE'!L17</f>
        <v>-1195.8729056370737</v>
      </c>
      <c r="M8" s="318">
        <f>'Worksheet - DO NOT DELETE'!M17</f>
        <v>0</v>
      </c>
      <c r="N8" s="318">
        <f t="shared" si="1"/>
        <v>-48520.207690446201</v>
      </c>
      <c r="O8" s="31"/>
    </row>
    <row r="9" spans="1:15" ht="16" collapsed="1">
      <c r="A9" s="9" t="s">
        <v>187</v>
      </c>
      <c r="B9" s="327">
        <f>SUM(B2:B8)</f>
        <v>123636.20000000001</v>
      </c>
      <c r="C9" s="327">
        <f t="shared" ref="C9:M9" si="2">SUM(C2:C8)</f>
        <v>124816.64000000001</v>
      </c>
      <c r="D9" s="327">
        <f t="shared" si="2"/>
        <v>120100.04442500001</v>
      </c>
      <c r="E9" s="327">
        <f t="shared" si="2"/>
        <v>142474.00576581503</v>
      </c>
      <c r="F9" s="327">
        <f t="shared" si="2"/>
        <v>141769.77253571741</v>
      </c>
      <c r="G9" s="327">
        <f t="shared" si="2"/>
        <v>141954.47624001384</v>
      </c>
      <c r="H9" s="327">
        <f t="shared" si="2"/>
        <v>143103.16535965033</v>
      </c>
      <c r="I9" s="327">
        <f t="shared" si="2"/>
        <v>143361.30905729771</v>
      </c>
      <c r="J9" s="327">
        <f t="shared" si="2"/>
        <v>144814.35656226144</v>
      </c>
      <c r="K9" s="327">
        <f t="shared" si="2"/>
        <v>145797.79803531111</v>
      </c>
      <c r="L9" s="327">
        <f t="shared" si="2"/>
        <v>145885.46271413227</v>
      </c>
      <c r="M9" s="327">
        <f t="shared" si="2"/>
        <v>147169.77042114118</v>
      </c>
      <c r="N9" s="327">
        <f t="shared" si="1"/>
        <v>1664883.0011163405</v>
      </c>
      <c r="O9" s="30"/>
    </row>
    <row r="10" spans="1:15" ht="16" hidden="1" outlineLevel="2">
      <c r="A10" s="9" t="s">
        <v>301</v>
      </c>
      <c r="B10" s="328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</row>
    <row r="11" spans="1:15" ht="16" hidden="1" outlineLevel="2">
      <c r="A11" s="403" t="s">
        <v>302</v>
      </c>
      <c r="B11" s="404"/>
      <c r="C11" s="404"/>
      <c r="D11" s="404"/>
      <c r="E11" s="404"/>
      <c r="F11" s="404"/>
      <c r="G11" s="404"/>
      <c r="H11" s="404"/>
      <c r="I11" s="404"/>
      <c r="J11" s="404"/>
      <c r="K11" s="405"/>
      <c r="L11" s="404"/>
      <c r="M11" s="404"/>
      <c r="N11" s="413"/>
      <c r="O11" s="97"/>
    </row>
    <row r="12" spans="1:15" ht="16" hidden="1" outlineLevel="2">
      <c r="A12" s="11" t="s">
        <v>303</v>
      </c>
      <c r="B12" s="329">
        <v>50</v>
      </c>
      <c r="C12" s="329">
        <v>50</v>
      </c>
      <c r="D12" s="329">
        <v>50</v>
      </c>
      <c r="E12" s="329">
        <v>50</v>
      </c>
      <c r="F12" s="329">
        <v>50</v>
      </c>
      <c r="G12" s="329">
        <v>50</v>
      </c>
      <c r="H12" s="329">
        <v>50</v>
      </c>
      <c r="I12" s="329">
        <v>50</v>
      </c>
      <c r="J12" s="329">
        <v>50</v>
      </c>
      <c r="K12" s="329">
        <v>50</v>
      </c>
      <c r="L12" s="329">
        <v>50</v>
      </c>
      <c r="M12" s="329">
        <v>50</v>
      </c>
      <c r="N12" s="329">
        <f>SUM(B12:M12)</f>
        <v>600</v>
      </c>
      <c r="O12" s="97"/>
    </row>
    <row r="13" spans="1:15" ht="16" hidden="1" outlineLevel="2">
      <c r="A13" s="11" t="s">
        <v>304</v>
      </c>
      <c r="B13" s="329">
        <v>2100</v>
      </c>
      <c r="C13" s="329">
        <v>2100</v>
      </c>
      <c r="D13" s="329">
        <v>2100</v>
      </c>
      <c r="E13" s="329">
        <v>2100</v>
      </c>
      <c r="F13" s="329">
        <v>2100</v>
      </c>
      <c r="G13" s="329">
        <v>2100</v>
      </c>
      <c r="H13" s="329">
        <v>2100</v>
      </c>
      <c r="I13" s="329">
        <v>2100</v>
      </c>
      <c r="J13" s="329">
        <v>2100</v>
      </c>
      <c r="K13" s="329">
        <v>2100</v>
      </c>
      <c r="L13" s="329">
        <v>2100</v>
      </c>
      <c r="M13" s="329">
        <v>2100</v>
      </c>
      <c r="N13" s="329">
        <f t="shared" ref="N13:N43" si="3">SUM(B13:M13)</f>
        <v>25200</v>
      </c>
      <c r="O13" s="97"/>
    </row>
    <row r="14" spans="1:15" ht="16" hidden="1" outlineLevel="2">
      <c r="A14" s="403" t="s">
        <v>305</v>
      </c>
      <c r="B14" s="404"/>
      <c r="C14" s="404"/>
      <c r="D14" s="404"/>
      <c r="E14" s="404"/>
      <c r="F14" s="404"/>
      <c r="G14" s="404"/>
      <c r="H14" s="404"/>
      <c r="I14" s="404"/>
      <c r="J14" s="404"/>
      <c r="K14" s="405"/>
      <c r="L14" s="404"/>
      <c r="M14" s="404"/>
      <c r="N14" s="329">
        <f t="shared" si="3"/>
        <v>0</v>
      </c>
      <c r="O14" s="97"/>
    </row>
    <row r="15" spans="1:15" ht="16" hidden="1" outlineLevel="2">
      <c r="A15" s="403" t="s">
        <v>306</v>
      </c>
      <c r="B15" s="404"/>
      <c r="C15" s="404"/>
      <c r="D15" s="404"/>
      <c r="E15" s="404"/>
      <c r="F15" s="404"/>
      <c r="G15" s="404"/>
      <c r="H15" s="404"/>
      <c r="I15" s="404"/>
      <c r="J15" s="404"/>
      <c r="K15" s="404"/>
      <c r="L15" s="404"/>
      <c r="M15" s="404"/>
      <c r="N15" s="329">
        <f t="shared" si="3"/>
        <v>0</v>
      </c>
      <c r="O15" s="97"/>
    </row>
    <row r="16" spans="1:15" ht="16" hidden="1" outlineLevel="2">
      <c r="A16" s="11" t="s">
        <v>236</v>
      </c>
      <c r="B16" s="329">
        <v>7360</v>
      </c>
      <c r="C16" s="329">
        <v>7360</v>
      </c>
      <c r="D16" s="329">
        <v>7360</v>
      </c>
      <c r="E16" s="329">
        <v>7360</v>
      </c>
      <c r="F16" s="329">
        <v>7360</v>
      </c>
      <c r="G16" s="329">
        <v>7360</v>
      </c>
      <c r="H16" s="329">
        <v>7360</v>
      </c>
      <c r="I16" s="329">
        <v>7360</v>
      </c>
      <c r="J16" s="329">
        <v>7360</v>
      </c>
      <c r="K16" s="329">
        <v>7360</v>
      </c>
      <c r="L16" s="329">
        <v>7360</v>
      </c>
      <c r="M16" s="329">
        <v>7360</v>
      </c>
      <c r="N16" s="329">
        <f t="shared" si="3"/>
        <v>88320</v>
      </c>
      <c r="O16" s="97"/>
    </row>
    <row r="17" spans="1:15" ht="16" hidden="1" outlineLevel="2">
      <c r="A17" s="11" t="s">
        <v>307</v>
      </c>
      <c r="B17" s="329">
        <v>725</v>
      </c>
      <c r="C17" s="329">
        <v>725</v>
      </c>
      <c r="D17" s="329">
        <v>725</v>
      </c>
      <c r="E17" s="329">
        <v>725</v>
      </c>
      <c r="F17" s="329">
        <v>725</v>
      </c>
      <c r="G17" s="329">
        <v>725</v>
      </c>
      <c r="H17" s="329">
        <v>725</v>
      </c>
      <c r="I17" s="329">
        <v>725</v>
      </c>
      <c r="J17" s="329">
        <v>725</v>
      </c>
      <c r="K17" s="329">
        <v>725</v>
      </c>
      <c r="L17" s="329">
        <v>725</v>
      </c>
      <c r="M17" s="329">
        <v>725</v>
      </c>
      <c r="N17" s="329">
        <f t="shared" si="3"/>
        <v>8700</v>
      </c>
      <c r="O17" s="97"/>
    </row>
    <row r="18" spans="1:15" ht="16" hidden="1" outlineLevel="2">
      <c r="A18" s="403" t="s">
        <v>308</v>
      </c>
      <c r="B18" s="404"/>
      <c r="C18" s="404"/>
      <c r="D18" s="404"/>
      <c r="E18" s="404"/>
      <c r="F18" s="404"/>
      <c r="G18" s="404"/>
      <c r="H18" s="404"/>
      <c r="I18" s="405"/>
      <c r="J18" s="405"/>
      <c r="K18" s="405"/>
      <c r="L18" s="404"/>
      <c r="M18" s="404"/>
      <c r="N18" s="329">
        <f>SUM(B18:M18)</f>
        <v>0</v>
      </c>
      <c r="O18" s="97"/>
    </row>
    <row r="19" spans="1:15" ht="16" hidden="1" outlineLevel="2">
      <c r="A19" s="11" t="s">
        <v>309</v>
      </c>
      <c r="B19" s="329">
        <v>185</v>
      </c>
      <c r="C19" s="329">
        <v>185</v>
      </c>
      <c r="D19" s="329">
        <v>185</v>
      </c>
      <c r="E19" s="329">
        <v>185</v>
      </c>
      <c r="F19" s="329">
        <v>185</v>
      </c>
      <c r="G19" s="329">
        <v>185</v>
      </c>
      <c r="H19" s="329">
        <v>185</v>
      </c>
      <c r="I19" s="329">
        <v>185</v>
      </c>
      <c r="J19" s="329">
        <v>185</v>
      </c>
      <c r="K19" s="329">
        <v>185</v>
      </c>
      <c r="L19" s="329">
        <v>185</v>
      </c>
      <c r="M19" s="329">
        <v>185</v>
      </c>
      <c r="N19" s="329">
        <f t="shared" si="3"/>
        <v>2220</v>
      </c>
      <c r="O19" s="97"/>
    </row>
    <row r="20" spans="1:15" ht="16" hidden="1" outlineLevel="2">
      <c r="A20" s="403" t="s">
        <v>310</v>
      </c>
      <c r="B20" s="404"/>
      <c r="C20" s="404"/>
      <c r="D20" s="404"/>
      <c r="E20" s="404"/>
      <c r="F20" s="404"/>
      <c r="G20" s="404"/>
      <c r="H20" s="404"/>
      <c r="I20" s="404"/>
      <c r="J20" s="404"/>
      <c r="K20" s="404"/>
      <c r="L20" s="404"/>
      <c r="M20" s="404"/>
      <c r="N20" s="329">
        <f>SUM(B20:M20)</f>
        <v>0</v>
      </c>
      <c r="O20" s="97"/>
    </row>
    <row r="21" spans="1:15" ht="16" hidden="1" outlineLevel="2">
      <c r="A21" s="403" t="s">
        <v>311</v>
      </c>
      <c r="B21" s="404"/>
      <c r="C21" s="404"/>
      <c r="D21" s="404"/>
      <c r="E21" s="404"/>
      <c r="F21" s="404"/>
      <c r="G21" s="404"/>
      <c r="H21" s="404"/>
      <c r="I21" s="404"/>
      <c r="J21" s="404"/>
      <c r="K21" s="404"/>
      <c r="L21" s="404"/>
      <c r="M21" s="404"/>
      <c r="N21" s="329">
        <f t="shared" si="3"/>
        <v>0</v>
      </c>
      <c r="O21" s="97"/>
    </row>
    <row r="22" spans="1:15" ht="16" hidden="1" outlineLevel="2">
      <c r="A22" s="403" t="s">
        <v>312</v>
      </c>
      <c r="B22" s="404"/>
      <c r="C22" s="404"/>
      <c r="D22" s="404"/>
      <c r="E22" s="404"/>
      <c r="F22" s="404"/>
      <c r="G22" s="404"/>
      <c r="H22" s="404"/>
      <c r="I22" s="404"/>
      <c r="J22" s="404"/>
      <c r="K22" s="404"/>
      <c r="L22" s="404"/>
      <c r="M22" s="404"/>
      <c r="N22" s="329">
        <f t="shared" si="3"/>
        <v>0</v>
      </c>
      <c r="O22" s="97"/>
    </row>
    <row r="23" spans="1:15" ht="16" hidden="1" outlineLevel="2">
      <c r="A23" s="11" t="s">
        <v>313</v>
      </c>
      <c r="B23" s="329">
        <v>480</v>
      </c>
      <c r="C23" s="329">
        <v>480</v>
      </c>
      <c r="D23" s="329">
        <v>480</v>
      </c>
      <c r="E23" s="329">
        <v>480</v>
      </c>
      <c r="F23" s="329">
        <v>480</v>
      </c>
      <c r="G23" s="329">
        <v>480</v>
      </c>
      <c r="H23" s="329">
        <v>480</v>
      </c>
      <c r="I23" s="329">
        <v>480</v>
      </c>
      <c r="J23" s="329">
        <v>480</v>
      </c>
      <c r="K23" s="329">
        <v>480</v>
      </c>
      <c r="L23" s="329">
        <v>480</v>
      </c>
      <c r="M23" s="329">
        <v>480</v>
      </c>
      <c r="N23" s="329">
        <f t="shared" si="3"/>
        <v>5760</v>
      </c>
      <c r="O23" s="97"/>
    </row>
    <row r="24" spans="1:15" ht="16" hidden="1" outlineLevel="2">
      <c r="A24" s="11" t="s">
        <v>314</v>
      </c>
      <c r="B24" s="329">
        <v>150</v>
      </c>
      <c r="C24" s="329">
        <v>150</v>
      </c>
      <c r="D24" s="329">
        <v>150</v>
      </c>
      <c r="E24" s="329">
        <v>150</v>
      </c>
      <c r="F24" s="329">
        <v>150</v>
      </c>
      <c r="G24" s="329">
        <v>150</v>
      </c>
      <c r="H24" s="329">
        <v>150</v>
      </c>
      <c r="I24" s="329">
        <v>150</v>
      </c>
      <c r="J24" s="329">
        <v>150</v>
      </c>
      <c r="K24" s="329">
        <v>150</v>
      </c>
      <c r="L24" s="329">
        <v>150</v>
      </c>
      <c r="M24" s="329">
        <v>150</v>
      </c>
      <c r="N24" s="329">
        <f t="shared" si="3"/>
        <v>1800</v>
      </c>
      <c r="O24" s="97"/>
    </row>
    <row r="25" spans="1:15" ht="16" hidden="1" outlineLevel="2">
      <c r="A25" s="403" t="s">
        <v>315</v>
      </c>
      <c r="B25" s="404"/>
      <c r="C25" s="404"/>
      <c r="D25" s="404"/>
      <c r="E25" s="404"/>
      <c r="F25" s="404"/>
      <c r="G25" s="404"/>
      <c r="H25" s="404"/>
      <c r="I25" s="404"/>
      <c r="J25" s="404"/>
      <c r="K25" s="404"/>
      <c r="L25" s="404"/>
      <c r="M25" s="404"/>
      <c r="N25" s="329">
        <f t="shared" si="3"/>
        <v>0</v>
      </c>
      <c r="O25" s="97"/>
    </row>
    <row r="26" spans="1:15" ht="16" hidden="1" outlineLevel="2">
      <c r="A26" s="11" t="s">
        <v>316</v>
      </c>
      <c r="B26" s="329">
        <v>215</v>
      </c>
      <c r="C26" s="329">
        <v>215</v>
      </c>
      <c r="D26" s="329">
        <v>215</v>
      </c>
      <c r="E26" s="329">
        <v>215</v>
      </c>
      <c r="F26" s="329">
        <v>215</v>
      </c>
      <c r="G26" s="329">
        <v>215</v>
      </c>
      <c r="H26" s="329">
        <v>215</v>
      </c>
      <c r="I26" s="329">
        <v>215</v>
      </c>
      <c r="J26" s="329">
        <v>215</v>
      </c>
      <c r="K26" s="329">
        <v>215</v>
      </c>
      <c r="L26" s="329">
        <v>215</v>
      </c>
      <c r="M26" s="329">
        <v>215</v>
      </c>
      <c r="N26" s="329">
        <f t="shared" si="3"/>
        <v>2580</v>
      </c>
      <c r="O26" s="97"/>
    </row>
    <row r="27" spans="1:15" ht="16" hidden="1" outlineLevel="2">
      <c r="A27" s="11" t="s">
        <v>317</v>
      </c>
      <c r="B27" s="329">
        <v>200</v>
      </c>
      <c r="C27" s="329">
        <v>200</v>
      </c>
      <c r="D27" s="329">
        <v>200</v>
      </c>
      <c r="E27" s="329">
        <v>200</v>
      </c>
      <c r="F27" s="329">
        <v>200</v>
      </c>
      <c r="G27" s="329">
        <v>200</v>
      </c>
      <c r="H27" s="329">
        <v>200</v>
      </c>
      <c r="I27" s="329">
        <v>200</v>
      </c>
      <c r="J27" s="329">
        <v>200</v>
      </c>
      <c r="K27" s="329">
        <v>200</v>
      </c>
      <c r="L27" s="329">
        <v>200</v>
      </c>
      <c r="M27" s="329">
        <v>200</v>
      </c>
      <c r="N27" s="329">
        <f t="shared" si="3"/>
        <v>2400</v>
      </c>
      <c r="O27" s="97"/>
    </row>
    <row r="28" spans="1:15" ht="16" hidden="1" outlineLevel="2">
      <c r="A28" s="11" t="s">
        <v>318</v>
      </c>
      <c r="B28" s="329">
        <v>500</v>
      </c>
      <c r="C28" s="329">
        <v>500</v>
      </c>
      <c r="D28" s="329">
        <v>500</v>
      </c>
      <c r="E28" s="329">
        <v>500</v>
      </c>
      <c r="F28" s="329">
        <v>500</v>
      </c>
      <c r="G28" s="329">
        <v>500</v>
      </c>
      <c r="H28" s="329">
        <v>500</v>
      </c>
      <c r="I28" s="329">
        <v>500</v>
      </c>
      <c r="J28" s="329">
        <v>500</v>
      </c>
      <c r="K28" s="329">
        <v>500</v>
      </c>
      <c r="L28" s="329">
        <v>500</v>
      </c>
      <c r="M28" s="329">
        <v>500</v>
      </c>
      <c r="N28" s="329">
        <f t="shared" si="3"/>
        <v>6000</v>
      </c>
      <c r="O28" s="97"/>
    </row>
    <row r="29" spans="1:15" ht="16" hidden="1" outlineLevel="2">
      <c r="A29" s="403" t="s">
        <v>319</v>
      </c>
      <c r="B29" s="404"/>
      <c r="C29" s="405"/>
      <c r="D29" s="405"/>
      <c r="E29" s="404"/>
      <c r="F29" s="405"/>
      <c r="G29" s="405"/>
      <c r="H29" s="404"/>
      <c r="I29" s="404"/>
      <c r="J29" s="404"/>
      <c r="K29" s="404"/>
      <c r="L29" s="404"/>
      <c r="M29" s="404"/>
      <c r="N29" s="329">
        <f t="shared" si="3"/>
        <v>0</v>
      </c>
      <c r="O29" s="97"/>
    </row>
    <row r="30" spans="1:15" ht="16" hidden="1" outlineLevel="2">
      <c r="A30" s="403" t="s">
        <v>320</v>
      </c>
      <c r="B30" s="404"/>
      <c r="C30" s="404"/>
      <c r="D30" s="404"/>
      <c r="E30" s="404"/>
      <c r="F30" s="404"/>
      <c r="G30" s="404"/>
      <c r="H30" s="404"/>
      <c r="I30" s="404"/>
      <c r="J30" s="404"/>
      <c r="K30" s="404"/>
      <c r="L30" s="404"/>
      <c r="M30" s="404"/>
      <c r="N30" s="329">
        <f t="shared" si="3"/>
        <v>0</v>
      </c>
      <c r="O30" s="97"/>
    </row>
    <row r="31" spans="1:15" ht="16" hidden="1" outlineLevel="2">
      <c r="A31" s="11" t="s">
        <v>240</v>
      </c>
      <c r="B31" s="329">
        <v>500</v>
      </c>
      <c r="C31" s="329">
        <v>500</v>
      </c>
      <c r="D31" s="329">
        <v>500</v>
      </c>
      <c r="E31" s="329">
        <v>500</v>
      </c>
      <c r="F31" s="329">
        <v>500</v>
      </c>
      <c r="G31" s="329">
        <v>500</v>
      </c>
      <c r="H31" s="329">
        <v>500</v>
      </c>
      <c r="I31" s="329">
        <v>500</v>
      </c>
      <c r="J31" s="329">
        <v>500</v>
      </c>
      <c r="K31" s="329">
        <v>500</v>
      </c>
      <c r="L31" s="329">
        <v>500</v>
      </c>
      <c r="M31" s="329">
        <v>500</v>
      </c>
      <c r="N31" s="329">
        <f t="shared" si="3"/>
        <v>6000</v>
      </c>
      <c r="O31" s="97"/>
    </row>
    <row r="32" spans="1:15" ht="16" hidden="1" outlineLevel="2">
      <c r="A32" s="403" t="s">
        <v>321</v>
      </c>
      <c r="B32" s="404"/>
      <c r="C32" s="404"/>
      <c r="D32" s="404"/>
      <c r="E32" s="404"/>
      <c r="F32" s="404"/>
      <c r="G32" s="404"/>
      <c r="H32" s="404"/>
      <c r="I32" s="404"/>
      <c r="J32" s="404"/>
      <c r="K32" s="404"/>
      <c r="L32" s="404"/>
      <c r="M32" s="404"/>
      <c r="N32" s="329">
        <f t="shared" si="3"/>
        <v>0</v>
      </c>
      <c r="O32" s="97"/>
    </row>
    <row r="33" spans="1:15" ht="16" hidden="1" outlineLevel="2">
      <c r="A33" s="403" t="s">
        <v>322</v>
      </c>
      <c r="B33" s="404"/>
      <c r="C33" s="404"/>
      <c r="D33" s="404"/>
      <c r="E33" s="404"/>
      <c r="F33" s="404"/>
      <c r="G33" s="404"/>
      <c r="H33" s="404"/>
      <c r="I33" s="404"/>
      <c r="J33" s="404"/>
      <c r="K33" s="404"/>
      <c r="L33" s="404"/>
      <c r="M33" s="404"/>
      <c r="N33" s="329">
        <f t="shared" si="3"/>
        <v>0</v>
      </c>
      <c r="O33" s="97"/>
    </row>
    <row r="34" spans="1:15" ht="16" hidden="1" outlineLevel="2">
      <c r="A34" s="11" t="s">
        <v>323</v>
      </c>
      <c r="B34" s="329">
        <v>406</v>
      </c>
      <c r="C34" s="329">
        <v>406</v>
      </c>
      <c r="D34" s="329">
        <v>406</v>
      </c>
      <c r="E34" s="329">
        <v>406</v>
      </c>
      <c r="F34" s="329">
        <v>406</v>
      </c>
      <c r="G34" s="329">
        <v>406</v>
      </c>
      <c r="H34" s="329">
        <v>406</v>
      </c>
      <c r="I34" s="329">
        <v>406</v>
      </c>
      <c r="J34" s="329">
        <v>406</v>
      </c>
      <c r="K34" s="329">
        <v>406</v>
      </c>
      <c r="L34" s="329">
        <v>406</v>
      </c>
      <c r="M34" s="329">
        <v>406</v>
      </c>
      <c r="N34" s="329">
        <f t="shared" si="3"/>
        <v>4872</v>
      </c>
      <c r="O34" s="97"/>
    </row>
    <row r="35" spans="1:15" ht="16" hidden="1" outlineLevel="2">
      <c r="A35" s="11" t="s">
        <v>324</v>
      </c>
      <c r="B35" s="329">
        <f>'Worksheet - DO NOT DELETE'!B$5*15</f>
        <v>1575</v>
      </c>
      <c r="C35" s="329">
        <f>'Worksheet - DO NOT DELETE'!C$5*15</f>
        <v>1635</v>
      </c>
      <c r="D35" s="329">
        <f>'Worksheet - DO NOT DELETE'!D$5*15</f>
        <v>1650</v>
      </c>
      <c r="E35" s="329">
        <f>'Worksheet - DO NOT DELETE'!E$5*15</f>
        <v>1830</v>
      </c>
      <c r="F35" s="329">
        <f>'Worksheet - DO NOT DELETE'!F$5*15</f>
        <v>1830</v>
      </c>
      <c r="G35" s="329">
        <f>'Worksheet - DO NOT DELETE'!G$5*15</f>
        <v>1830</v>
      </c>
      <c r="H35" s="329">
        <f>'Worksheet - DO NOT DELETE'!H$5*15</f>
        <v>1830</v>
      </c>
      <c r="I35" s="329">
        <f>'Worksheet - DO NOT DELETE'!I$5*15</f>
        <v>1830</v>
      </c>
      <c r="J35" s="329">
        <f>'Worksheet - DO NOT DELETE'!J$5*15</f>
        <v>1845</v>
      </c>
      <c r="K35" s="329">
        <f>'Worksheet - DO NOT DELETE'!K$5*15</f>
        <v>1845</v>
      </c>
      <c r="L35" s="329">
        <f>'Worksheet - DO NOT DELETE'!L$5*15</f>
        <v>1845</v>
      </c>
      <c r="M35" s="329">
        <f>'Worksheet - DO NOT DELETE'!M$5*15</f>
        <v>1860</v>
      </c>
      <c r="N35" s="329">
        <f t="shared" si="3"/>
        <v>21405</v>
      </c>
      <c r="O35" s="97"/>
    </row>
    <row r="36" spans="1:15" ht="16" hidden="1" outlineLevel="2">
      <c r="A36" s="11" t="s">
        <v>237</v>
      </c>
      <c r="B36" s="329">
        <f>'Worksheet - DO NOT DELETE'!B$5*10</f>
        <v>1050</v>
      </c>
      <c r="C36" s="329">
        <f>'Worksheet - DO NOT DELETE'!C$5*10</f>
        <v>1090</v>
      </c>
      <c r="D36" s="329">
        <f>'Worksheet - DO NOT DELETE'!D$5*10</f>
        <v>1100</v>
      </c>
      <c r="E36" s="329">
        <f>'Worksheet - DO NOT DELETE'!E$5*10</f>
        <v>1220</v>
      </c>
      <c r="F36" s="329">
        <f>'Worksheet - DO NOT DELETE'!F$5*10</f>
        <v>1220</v>
      </c>
      <c r="G36" s="329">
        <f>'Worksheet - DO NOT DELETE'!G$5*10</f>
        <v>1220</v>
      </c>
      <c r="H36" s="329">
        <f>'Worksheet - DO NOT DELETE'!H$5*10</f>
        <v>1220</v>
      </c>
      <c r="I36" s="329">
        <f>'Worksheet - DO NOT DELETE'!I$5*10</f>
        <v>1220</v>
      </c>
      <c r="J36" s="329">
        <f>'Worksheet - DO NOT DELETE'!J$5*10</f>
        <v>1230</v>
      </c>
      <c r="K36" s="329">
        <f>'Worksheet - DO NOT DELETE'!K$5*10</f>
        <v>1230</v>
      </c>
      <c r="L36" s="329">
        <f>'Worksheet - DO NOT DELETE'!L$5*10</f>
        <v>1230</v>
      </c>
      <c r="M36" s="329">
        <f>'Worksheet - DO NOT DELETE'!M$5*10</f>
        <v>1240</v>
      </c>
      <c r="N36" s="329">
        <f t="shared" si="3"/>
        <v>14270</v>
      </c>
      <c r="O36" s="97"/>
    </row>
    <row r="37" spans="1:15" ht="16" hidden="1" outlineLevel="2">
      <c r="A37" s="11" t="s">
        <v>239</v>
      </c>
      <c r="B37" s="329">
        <f>'Worksheet - DO NOT DELETE'!B$5*5</f>
        <v>525</v>
      </c>
      <c r="C37" s="329">
        <f>'Worksheet - DO NOT DELETE'!C$5*5</f>
        <v>545</v>
      </c>
      <c r="D37" s="329">
        <f>'Worksheet - DO NOT DELETE'!D$5*5</f>
        <v>550</v>
      </c>
      <c r="E37" s="329">
        <f>'Worksheet - DO NOT DELETE'!E$5*5</f>
        <v>610</v>
      </c>
      <c r="F37" s="329">
        <f>'Worksheet - DO NOT DELETE'!F$5*5</f>
        <v>610</v>
      </c>
      <c r="G37" s="329">
        <f>'Worksheet - DO NOT DELETE'!G$5*5</f>
        <v>610</v>
      </c>
      <c r="H37" s="329">
        <f>'Worksheet - DO NOT DELETE'!H$5*5</f>
        <v>610</v>
      </c>
      <c r="I37" s="329">
        <f>'Worksheet - DO NOT DELETE'!I$5*5</f>
        <v>610</v>
      </c>
      <c r="J37" s="329">
        <f>'Worksheet - DO NOT DELETE'!J$5*5</f>
        <v>615</v>
      </c>
      <c r="K37" s="329">
        <f>'Worksheet - DO NOT DELETE'!K$5*5</f>
        <v>615</v>
      </c>
      <c r="L37" s="329">
        <f>'Worksheet - DO NOT DELETE'!L$5*5</f>
        <v>615</v>
      </c>
      <c r="M37" s="329">
        <f>'Worksheet - DO NOT DELETE'!M$5*5</f>
        <v>620</v>
      </c>
      <c r="N37" s="329">
        <f t="shared" si="3"/>
        <v>7135</v>
      </c>
      <c r="O37" s="97"/>
    </row>
    <row r="38" spans="1:15" ht="16" hidden="1" outlineLevel="2">
      <c r="A38" s="403" t="s">
        <v>325</v>
      </c>
      <c r="B38" s="404"/>
      <c r="C38" s="404"/>
      <c r="D38" s="404"/>
      <c r="E38" s="404"/>
      <c r="F38" s="404"/>
      <c r="G38" s="404"/>
      <c r="H38" s="404"/>
      <c r="I38" s="404"/>
      <c r="J38" s="404"/>
      <c r="K38" s="404"/>
      <c r="L38" s="404"/>
      <c r="M38" s="404"/>
      <c r="N38" s="329">
        <f t="shared" si="3"/>
        <v>0</v>
      </c>
      <c r="O38" s="97"/>
    </row>
    <row r="39" spans="1:15" ht="16" hidden="1" outlineLevel="2">
      <c r="A39" s="11" t="s">
        <v>326</v>
      </c>
      <c r="B39" s="329">
        <f>'Worksheet - DO NOT DELETE'!B$5*28*0.35</f>
        <v>1029</v>
      </c>
      <c r="C39" s="329">
        <f>'Worksheet - DO NOT DELETE'!C$5*28*0.35</f>
        <v>1068.2</v>
      </c>
      <c r="D39" s="329">
        <f>'Worksheet - DO NOT DELETE'!D$5*28*0.35</f>
        <v>1078</v>
      </c>
      <c r="E39" s="329">
        <f>'Worksheet - DO NOT DELETE'!E$5*28*0.35</f>
        <v>1195.5999999999999</v>
      </c>
      <c r="F39" s="329">
        <f>'Worksheet - DO NOT DELETE'!F$5*28*0.35</f>
        <v>1195.5999999999999</v>
      </c>
      <c r="G39" s="329">
        <f>'Worksheet - DO NOT DELETE'!G$5*28*0.35</f>
        <v>1195.5999999999999</v>
      </c>
      <c r="H39" s="329">
        <f>'Worksheet - DO NOT DELETE'!H$5*28*0.35</f>
        <v>1195.5999999999999</v>
      </c>
      <c r="I39" s="329">
        <f>'Worksheet - DO NOT DELETE'!I$5*28*0.35</f>
        <v>1195.5999999999999</v>
      </c>
      <c r="J39" s="329">
        <f>'Worksheet - DO NOT DELETE'!J$5*28*0.35</f>
        <v>1205.3999999999999</v>
      </c>
      <c r="K39" s="329">
        <f>'Worksheet - DO NOT DELETE'!K$5*28*0.35</f>
        <v>1205.3999999999999</v>
      </c>
      <c r="L39" s="329">
        <f>'Worksheet - DO NOT DELETE'!L$5*28*0.35</f>
        <v>1205.3999999999999</v>
      </c>
      <c r="M39" s="329">
        <f>'Worksheet - DO NOT DELETE'!M$5*28*0.35</f>
        <v>1215.1999999999998</v>
      </c>
      <c r="N39" s="329">
        <f t="shared" si="3"/>
        <v>13984.599999999999</v>
      </c>
      <c r="O39" s="97"/>
    </row>
    <row r="40" spans="1:15" ht="16" hidden="1" outlineLevel="2">
      <c r="A40" s="11" t="s">
        <v>327</v>
      </c>
      <c r="B40" s="329">
        <f>'Worksheet - DO NOT DELETE'!B$5*3</f>
        <v>315</v>
      </c>
      <c r="C40" s="329">
        <f>'Worksheet - DO NOT DELETE'!C$5*3</f>
        <v>327</v>
      </c>
      <c r="D40" s="329">
        <f>'Worksheet - DO NOT DELETE'!D$5*3</f>
        <v>330</v>
      </c>
      <c r="E40" s="329">
        <f>'Worksheet - DO NOT DELETE'!E$5*3</f>
        <v>366</v>
      </c>
      <c r="F40" s="329">
        <f>'Worksheet - DO NOT DELETE'!F$5*3</f>
        <v>366</v>
      </c>
      <c r="G40" s="329">
        <f>'Worksheet - DO NOT DELETE'!G$5*3</f>
        <v>366</v>
      </c>
      <c r="H40" s="329">
        <f>'Worksheet - DO NOT DELETE'!H$5*3</f>
        <v>366</v>
      </c>
      <c r="I40" s="329">
        <f>'Worksheet - DO NOT DELETE'!I$5*3</f>
        <v>366</v>
      </c>
      <c r="J40" s="329">
        <f>'Worksheet - DO NOT DELETE'!J$5*3</f>
        <v>369</v>
      </c>
      <c r="K40" s="329">
        <f>'Worksheet - DO NOT DELETE'!K$5*3</f>
        <v>369</v>
      </c>
      <c r="L40" s="329">
        <f>'Worksheet - DO NOT DELETE'!L$5*3</f>
        <v>369</v>
      </c>
      <c r="M40" s="329">
        <f>'Worksheet - DO NOT DELETE'!M$5*3</f>
        <v>372</v>
      </c>
      <c r="N40" s="329">
        <f t="shared" si="3"/>
        <v>4281</v>
      </c>
      <c r="O40" s="97"/>
    </row>
    <row r="41" spans="1:15" ht="16" hidden="1" outlineLevel="2">
      <c r="A41" s="11" t="s">
        <v>328</v>
      </c>
      <c r="B41" s="329">
        <f>'Worksheet - DO NOT DELETE'!B$5*3</f>
        <v>315</v>
      </c>
      <c r="C41" s="329">
        <f>'Worksheet - DO NOT DELETE'!C$5*3</f>
        <v>327</v>
      </c>
      <c r="D41" s="329">
        <f>'Worksheet - DO NOT DELETE'!D$5*3</f>
        <v>330</v>
      </c>
      <c r="E41" s="329">
        <f>'Worksheet - DO NOT DELETE'!E$5*3</f>
        <v>366</v>
      </c>
      <c r="F41" s="329">
        <f>'Worksheet - DO NOT DELETE'!F$5*3</f>
        <v>366</v>
      </c>
      <c r="G41" s="329">
        <f>'Worksheet - DO NOT DELETE'!G$5*3</f>
        <v>366</v>
      </c>
      <c r="H41" s="329">
        <f>'Worksheet - DO NOT DELETE'!H$5*3</f>
        <v>366</v>
      </c>
      <c r="I41" s="329">
        <f>'Worksheet - DO NOT DELETE'!I$5*3</f>
        <v>366</v>
      </c>
      <c r="J41" s="329">
        <f>'Worksheet - DO NOT DELETE'!J$5*3</f>
        <v>369</v>
      </c>
      <c r="K41" s="329">
        <f>'Worksheet - DO NOT DELETE'!K$5*3</f>
        <v>369</v>
      </c>
      <c r="L41" s="329">
        <f>'Worksheet - DO NOT DELETE'!L$5*3</f>
        <v>369</v>
      </c>
      <c r="M41" s="329">
        <f>'Worksheet - DO NOT DELETE'!M$5*3</f>
        <v>372</v>
      </c>
      <c r="N41" s="329">
        <f t="shared" si="3"/>
        <v>4281</v>
      </c>
      <c r="O41" s="97"/>
    </row>
    <row r="42" spans="1:15" ht="16" hidden="1" outlineLevel="2">
      <c r="A42" s="403" t="s">
        <v>329</v>
      </c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404"/>
      <c r="N42" s="329">
        <f t="shared" si="3"/>
        <v>0</v>
      </c>
      <c r="O42" s="97"/>
    </row>
    <row r="43" spans="1:15" ht="16" hidden="1" outlineLevel="2">
      <c r="A43" s="11" t="s">
        <v>330</v>
      </c>
      <c r="B43" s="329">
        <f>'Worksheet - DO NOT DELETE'!B6*-122</f>
        <v>-1220</v>
      </c>
      <c r="C43" s="329">
        <f>'Worksheet - DO NOT DELETE'!C6*-122</f>
        <v>-1220</v>
      </c>
      <c r="D43" s="329">
        <f>'Worksheet - DO NOT DELETE'!D6*-122</f>
        <v>-1586</v>
      </c>
      <c r="E43" s="329">
        <f>'Worksheet - DO NOT DELETE'!E6*-122</f>
        <v>-122</v>
      </c>
      <c r="F43" s="329">
        <f>'Worksheet - DO NOT DELETE'!F6*-122</f>
        <v>-122</v>
      </c>
      <c r="G43" s="329">
        <f>'Worksheet - DO NOT DELETE'!G6*-122</f>
        <v>-122</v>
      </c>
      <c r="H43" s="329">
        <f>'Worksheet - DO NOT DELETE'!H6*-122</f>
        <v>-122</v>
      </c>
      <c r="I43" s="329">
        <f>'Worksheet - DO NOT DELETE'!I6*-122</f>
        <v>-122</v>
      </c>
      <c r="J43" s="329">
        <f>'Worksheet - DO NOT DELETE'!J6*-122</f>
        <v>-122</v>
      </c>
      <c r="K43" s="329">
        <f>'Worksheet - DO NOT DELETE'!K6*-122</f>
        <v>-122</v>
      </c>
      <c r="L43" s="329">
        <f>'Worksheet - DO NOT DELETE'!L6*-122</f>
        <v>-122</v>
      </c>
      <c r="M43" s="329">
        <f>'Worksheet - DO NOT DELETE'!M6*-122</f>
        <v>0</v>
      </c>
      <c r="N43" s="329">
        <f t="shared" si="3"/>
        <v>-5002</v>
      </c>
      <c r="O43" s="97"/>
    </row>
    <row r="44" spans="1:15" ht="16">
      <c r="A44" s="9" t="s">
        <v>188</v>
      </c>
      <c r="B44" s="327">
        <f>SUM(B13:B43)</f>
        <v>16410</v>
      </c>
      <c r="C44" s="327">
        <f t="shared" ref="C44:M44" si="4">SUM(C13:C43)</f>
        <v>16593.2</v>
      </c>
      <c r="D44" s="327">
        <f t="shared" si="4"/>
        <v>16273</v>
      </c>
      <c r="E44" s="327">
        <f t="shared" si="4"/>
        <v>18286.599999999999</v>
      </c>
      <c r="F44" s="327">
        <f t="shared" si="4"/>
        <v>18286.599999999999</v>
      </c>
      <c r="G44" s="327">
        <f t="shared" si="4"/>
        <v>18286.599999999999</v>
      </c>
      <c r="H44" s="327">
        <f t="shared" si="4"/>
        <v>18286.599999999999</v>
      </c>
      <c r="I44" s="327">
        <f t="shared" si="4"/>
        <v>18286.599999999999</v>
      </c>
      <c r="J44" s="327">
        <f t="shared" si="4"/>
        <v>18332.400000000001</v>
      </c>
      <c r="K44" s="327">
        <f t="shared" si="4"/>
        <v>18332.400000000001</v>
      </c>
      <c r="L44" s="327">
        <f t="shared" si="4"/>
        <v>18332.400000000001</v>
      </c>
      <c r="M44" s="327">
        <f t="shared" si="4"/>
        <v>18500.2</v>
      </c>
      <c r="N44" s="327">
        <f>SUM(B44:M44)</f>
        <v>214206.6</v>
      </c>
      <c r="O44" s="97"/>
    </row>
    <row r="45" spans="1:15" ht="16">
      <c r="A45" s="9" t="s">
        <v>189</v>
      </c>
      <c r="B45" s="327">
        <f>B9+B44</f>
        <v>140046.20000000001</v>
      </c>
      <c r="C45" s="327">
        <f t="shared" ref="C45:M45" si="5">C9+C44</f>
        <v>141409.84000000003</v>
      </c>
      <c r="D45" s="327">
        <f t="shared" si="5"/>
        <v>136373.04442500003</v>
      </c>
      <c r="E45" s="327">
        <f t="shared" si="5"/>
        <v>160760.60576581504</v>
      </c>
      <c r="F45" s="327">
        <f t="shared" si="5"/>
        <v>160056.37253571741</v>
      </c>
      <c r="G45" s="327">
        <f t="shared" si="5"/>
        <v>160241.07624001385</v>
      </c>
      <c r="H45" s="327">
        <f t="shared" si="5"/>
        <v>161389.76535965034</v>
      </c>
      <c r="I45" s="327">
        <f t="shared" si="5"/>
        <v>161647.90905729771</v>
      </c>
      <c r="J45" s="327">
        <f t="shared" si="5"/>
        <v>163146.75656226143</v>
      </c>
      <c r="K45" s="327">
        <f t="shared" si="5"/>
        <v>164130.1980353111</v>
      </c>
      <c r="L45" s="327">
        <f t="shared" si="5"/>
        <v>164217.86271413226</v>
      </c>
      <c r="M45" s="327">
        <f t="shared" si="5"/>
        <v>165669.97042114119</v>
      </c>
      <c r="N45" s="327">
        <f>SUM(B45:M45)</f>
        <v>1879089.6011163406</v>
      </c>
      <c r="O45" s="98"/>
    </row>
    <row r="46" spans="1:15" ht="16" collapsed="1">
      <c r="A46" s="350" t="s">
        <v>190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</row>
    <row r="47" spans="1:15" ht="16" hidden="1" outlineLevel="1">
      <c r="A47" s="483" t="s">
        <v>331</v>
      </c>
      <c r="B47" s="484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5" ht="16" hidden="1" outlineLevel="1">
      <c r="A48" s="11" t="s">
        <v>191</v>
      </c>
      <c r="N48" s="77"/>
      <c r="O48" s="97"/>
    </row>
    <row r="49" spans="1:15" ht="16" hidden="1" outlineLevel="1">
      <c r="A49" s="11" t="s">
        <v>332</v>
      </c>
      <c r="B49" s="76"/>
      <c r="C49" s="76"/>
      <c r="D49" s="77"/>
      <c r="E49" s="76"/>
      <c r="F49" s="76"/>
      <c r="G49" s="77"/>
      <c r="H49" s="76"/>
      <c r="I49" s="76"/>
      <c r="J49" s="76"/>
      <c r="K49" s="76"/>
      <c r="L49" s="76"/>
      <c r="M49" s="76"/>
      <c r="N49" s="77"/>
      <c r="O49" s="97"/>
    </row>
    <row r="50" spans="1:15" ht="18" hidden="1" customHeight="1" outlineLevel="1">
      <c r="A50" s="330" t="s">
        <v>333</v>
      </c>
      <c r="B50" s="80">
        <f>MAX(B45*3%, 4500)</f>
        <v>4500</v>
      </c>
      <c r="C50" s="80">
        <f t="shared" ref="C50:M50" si="6">MAX(C45*3%, 4500)</f>
        <v>4500</v>
      </c>
      <c r="D50" s="80">
        <f t="shared" si="6"/>
        <v>4500</v>
      </c>
      <c r="E50" s="80">
        <f t="shared" si="6"/>
        <v>4822.818172974451</v>
      </c>
      <c r="F50" s="80">
        <f t="shared" si="6"/>
        <v>4801.691176071522</v>
      </c>
      <c r="G50" s="80">
        <f t="shared" si="6"/>
        <v>4807.2322872004152</v>
      </c>
      <c r="H50" s="80">
        <f t="shared" si="6"/>
        <v>4841.6929607895099</v>
      </c>
      <c r="I50" s="80">
        <f t="shared" si="6"/>
        <v>4849.4372717189317</v>
      </c>
      <c r="J50" s="80">
        <f t="shared" si="6"/>
        <v>4894.4026968678427</v>
      </c>
      <c r="K50" s="80">
        <f t="shared" si="6"/>
        <v>4923.9059410593327</v>
      </c>
      <c r="L50" s="80">
        <f t="shared" si="6"/>
        <v>4926.535881423968</v>
      </c>
      <c r="M50" s="80">
        <f t="shared" si="6"/>
        <v>4970.0991126342351</v>
      </c>
      <c r="N50" s="80">
        <f>SUM(B50:M50)</f>
        <v>57337.815500740209</v>
      </c>
      <c r="O50" s="97"/>
    </row>
    <row r="51" spans="1:15" ht="16" collapsed="1">
      <c r="A51" s="328" t="s">
        <v>334</v>
      </c>
      <c r="B51" s="327">
        <f>SUM(B48:B50)</f>
        <v>4500</v>
      </c>
      <c r="C51" s="327">
        <f t="shared" ref="C51:M51" si="7">SUM(C48:C50)</f>
        <v>4500</v>
      </c>
      <c r="D51" s="327">
        <f t="shared" si="7"/>
        <v>4500</v>
      </c>
      <c r="E51" s="327">
        <f t="shared" si="7"/>
        <v>4822.818172974451</v>
      </c>
      <c r="F51" s="327">
        <f t="shared" si="7"/>
        <v>4801.691176071522</v>
      </c>
      <c r="G51" s="327">
        <f t="shared" si="7"/>
        <v>4807.2322872004152</v>
      </c>
      <c r="H51" s="327">
        <f t="shared" si="7"/>
        <v>4841.6929607895099</v>
      </c>
      <c r="I51" s="327">
        <f t="shared" si="7"/>
        <v>4849.4372717189317</v>
      </c>
      <c r="J51" s="327">
        <f t="shared" si="7"/>
        <v>4894.4026968678427</v>
      </c>
      <c r="K51" s="327">
        <f t="shared" si="7"/>
        <v>4923.9059410593327</v>
      </c>
      <c r="L51" s="327">
        <f t="shared" si="7"/>
        <v>4926.535881423968</v>
      </c>
      <c r="M51" s="327">
        <f t="shared" si="7"/>
        <v>4970.0991126342351</v>
      </c>
      <c r="N51" s="331">
        <f>SUM(B51:M51)</f>
        <v>57337.815500740209</v>
      </c>
      <c r="O51" s="97"/>
    </row>
    <row r="52" spans="1:15" ht="16" hidden="1" outlineLevel="2">
      <c r="A52" s="9" t="s">
        <v>335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ht="16" hidden="1" outlineLevel="2">
      <c r="A53" s="11" t="s">
        <v>336</v>
      </c>
      <c r="B53" s="320">
        <v>45</v>
      </c>
      <c r="C53" s="320" t="s">
        <v>582</v>
      </c>
      <c r="D53" s="320" t="s">
        <v>582</v>
      </c>
      <c r="E53" s="320" t="s">
        <v>582</v>
      </c>
      <c r="F53" s="320" t="s">
        <v>582</v>
      </c>
      <c r="G53" s="320" t="s">
        <v>582</v>
      </c>
      <c r="H53" s="320" t="s">
        <v>582</v>
      </c>
      <c r="I53" s="320" t="s">
        <v>582</v>
      </c>
      <c r="J53" s="320" t="s">
        <v>582</v>
      </c>
      <c r="K53" s="320" t="s">
        <v>582</v>
      </c>
      <c r="L53" s="320" t="s">
        <v>582</v>
      </c>
      <c r="M53" s="320" t="s">
        <v>582</v>
      </c>
      <c r="N53" s="321">
        <f>SUM(B53:M53)</f>
        <v>45</v>
      </c>
      <c r="O53" s="97"/>
    </row>
    <row r="54" spans="1:15" ht="16" hidden="1" outlineLevel="2">
      <c r="A54" s="11" t="s">
        <v>337</v>
      </c>
      <c r="B54" s="244">
        <v>0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4">
        <v>0</v>
      </c>
      <c r="J54" s="244">
        <v>0</v>
      </c>
      <c r="K54" s="244">
        <v>0</v>
      </c>
      <c r="L54" s="244">
        <v>0</v>
      </c>
      <c r="M54" s="244">
        <v>0</v>
      </c>
      <c r="N54" s="321">
        <f t="shared" ref="N54:N76" si="8">SUM(B54:M54)</f>
        <v>0</v>
      </c>
      <c r="O54" s="97"/>
    </row>
    <row r="55" spans="1:15" ht="16" hidden="1" outlineLevel="2">
      <c r="A55" s="11" t="s">
        <v>338</v>
      </c>
      <c r="B55" s="320">
        <v>138.36000000000001</v>
      </c>
      <c r="C55" s="320">
        <v>138.36000000000001</v>
      </c>
      <c r="D55" s="320">
        <v>138.36000000000001</v>
      </c>
      <c r="E55" s="320">
        <v>138.36000000000001</v>
      </c>
      <c r="F55" s="320">
        <v>138.36000000000001</v>
      </c>
      <c r="G55" s="320">
        <v>138.36000000000001</v>
      </c>
      <c r="H55" s="320">
        <v>138.36000000000001</v>
      </c>
      <c r="I55" s="320">
        <v>138.36000000000001</v>
      </c>
      <c r="J55" s="320">
        <v>138.36000000000001</v>
      </c>
      <c r="K55" s="320">
        <v>138.36000000000001</v>
      </c>
      <c r="L55" s="320">
        <v>138.36000000000001</v>
      </c>
      <c r="M55" s="320">
        <v>138.36000000000001</v>
      </c>
      <c r="N55" s="321">
        <f t="shared" si="8"/>
        <v>1660.3200000000006</v>
      </c>
      <c r="O55" s="97"/>
    </row>
    <row r="56" spans="1:15" ht="16" hidden="1" outlineLevel="2">
      <c r="A56" s="11" t="s">
        <v>339</v>
      </c>
      <c r="B56" s="320">
        <v>439</v>
      </c>
      <c r="C56" s="320" t="s">
        <v>582</v>
      </c>
      <c r="D56" s="320" t="s">
        <v>582</v>
      </c>
      <c r="E56" s="320" t="s">
        <v>582</v>
      </c>
      <c r="F56" s="320" t="s">
        <v>582</v>
      </c>
      <c r="G56" s="320" t="s">
        <v>582</v>
      </c>
      <c r="H56" s="320"/>
      <c r="I56" s="320" t="s">
        <v>582</v>
      </c>
      <c r="J56" s="320" t="s">
        <v>582</v>
      </c>
      <c r="K56" s="320" t="s">
        <v>582</v>
      </c>
      <c r="L56" s="320" t="s">
        <v>582</v>
      </c>
      <c r="M56" s="320" t="s">
        <v>582</v>
      </c>
      <c r="N56" s="321">
        <f t="shared" si="8"/>
        <v>439</v>
      </c>
      <c r="O56" s="97"/>
    </row>
    <row r="57" spans="1:15" ht="16" hidden="1" outlineLevel="2">
      <c r="A57" s="11" t="s">
        <v>340</v>
      </c>
      <c r="B57" s="320" t="s">
        <v>582</v>
      </c>
      <c r="C57" s="320" t="s">
        <v>582</v>
      </c>
      <c r="D57" s="320" t="s">
        <v>582</v>
      </c>
      <c r="E57" s="320" t="s">
        <v>582</v>
      </c>
      <c r="F57" s="320" t="s">
        <v>582</v>
      </c>
      <c r="G57" s="320" t="s">
        <v>582</v>
      </c>
      <c r="H57" s="320" t="s">
        <v>582</v>
      </c>
      <c r="I57" s="320" t="s">
        <v>582</v>
      </c>
      <c r="J57" s="320" t="s">
        <v>582</v>
      </c>
      <c r="K57" s="320" t="s">
        <v>582</v>
      </c>
      <c r="L57" s="320" t="s">
        <v>582</v>
      </c>
      <c r="M57" s="320" t="s">
        <v>582</v>
      </c>
      <c r="N57" s="321">
        <f t="shared" si="8"/>
        <v>0</v>
      </c>
      <c r="O57" s="97"/>
    </row>
    <row r="58" spans="1:15" ht="16" hidden="1" outlineLevel="2">
      <c r="A58" s="11" t="s">
        <v>341</v>
      </c>
      <c r="B58" s="320" t="s">
        <v>582</v>
      </c>
      <c r="C58" s="320" t="s">
        <v>582</v>
      </c>
      <c r="D58" s="320" t="s">
        <v>582</v>
      </c>
      <c r="E58" s="320" t="s">
        <v>582</v>
      </c>
      <c r="F58" s="320" t="s">
        <v>582</v>
      </c>
      <c r="G58" s="320" t="s">
        <v>582</v>
      </c>
      <c r="H58" s="320" t="s">
        <v>582</v>
      </c>
      <c r="I58" s="320" t="s">
        <v>582</v>
      </c>
      <c r="J58" s="320" t="s">
        <v>582</v>
      </c>
      <c r="K58" s="320" t="s">
        <v>582</v>
      </c>
      <c r="L58" s="320" t="s">
        <v>582</v>
      </c>
      <c r="M58" s="320" t="s">
        <v>582</v>
      </c>
      <c r="N58" s="321">
        <f t="shared" si="8"/>
        <v>0</v>
      </c>
      <c r="O58" s="97"/>
    </row>
    <row r="59" spans="1:15" ht="16" hidden="1" outlineLevel="2">
      <c r="A59" s="11" t="s">
        <v>342</v>
      </c>
      <c r="B59" s="320" t="s">
        <v>582</v>
      </c>
      <c r="C59" s="320" t="s">
        <v>582</v>
      </c>
      <c r="D59" s="320" t="s">
        <v>582</v>
      </c>
      <c r="E59" s="320" t="s">
        <v>582</v>
      </c>
      <c r="F59" s="320" t="s">
        <v>582</v>
      </c>
      <c r="G59" s="320" t="s">
        <v>582</v>
      </c>
      <c r="H59" s="320" t="s">
        <v>582</v>
      </c>
      <c r="I59" s="320" t="s">
        <v>582</v>
      </c>
      <c r="J59" s="320" t="s">
        <v>582</v>
      </c>
      <c r="K59" s="320" t="s">
        <v>582</v>
      </c>
      <c r="L59" s="320" t="s">
        <v>582</v>
      </c>
      <c r="M59" s="320" t="s">
        <v>582</v>
      </c>
      <c r="N59" s="321">
        <f t="shared" si="8"/>
        <v>0</v>
      </c>
      <c r="O59" s="97"/>
    </row>
    <row r="60" spans="1:15" ht="16" hidden="1" outlineLevel="2">
      <c r="A60" s="11" t="s">
        <v>343</v>
      </c>
      <c r="B60" s="320">
        <v>61.39</v>
      </c>
      <c r="C60" s="320">
        <v>61.39</v>
      </c>
      <c r="D60" s="320">
        <v>61.39</v>
      </c>
      <c r="E60" s="320">
        <v>61.39</v>
      </c>
      <c r="F60" s="320">
        <v>61.39</v>
      </c>
      <c r="G60" s="320">
        <v>61.39</v>
      </c>
      <c r="H60" s="320">
        <v>61.39</v>
      </c>
      <c r="I60" s="320">
        <v>61.39</v>
      </c>
      <c r="J60" s="320">
        <v>61.39</v>
      </c>
      <c r="K60" s="320">
        <v>61.39</v>
      </c>
      <c r="L60" s="320">
        <v>61.39</v>
      </c>
      <c r="M60" s="320">
        <v>61.39</v>
      </c>
      <c r="N60" s="321">
        <f t="shared" si="8"/>
        <v>736.68</v>
      </c>
      <c r="O60" s="97"/>
    </row>
    <row r="61" spans="1:15" ht="16" hidden="1" outlineLevel="2">
      <c r="A61" s="11" t="s">
        <v>344</v>
      </c>
      <c r="B61" s="320" t="s">
        <v>582</v>
      </c>
      <c r="C61" s="320" t="s">
        <v>582</v>
      </c>
      <c r="D61" s="320" t="s">
        <v>582</v>
      </c>
      <c r="E61" s="320" t="s">
        <v>582</v>
      </c>
      <c r="F61" s="320" t="s">
        <v>582</v>
      </c>
      <c r="G61" s="320" t="s">
        <v>582</v>
      </c>
      <c r="H61" s="320" t="s">
        <v>582</v>
      </c>
      <c r="I61" s="320" t="s">
        <v>582</v>
      </c>
      <c r="J61" s="320" t="s">
        <v>582</v>
      </c>
      <c r="K61" s="320" t="s">
        <v>582</v>
      </c>
      <c r="L61" s="320">
        <v>277.36</v>
      </c>
      <c r="M61" s="320" t="s">
        <v>582</v>
      </c>
      <c r="N61" s="321">
        <f t="shared" si="8"/>
        <v>277.36</v>
      </c>
      <c r="O61" s="97"/>
    </row>
    <row r="62" spans="1:15" ht="16" hidden="1" outlineLevel="2">
      <c r="A62" s="11" t="s">
        <v>345</v>
      </c>
      <c r="B62" s="320">
        <v>16.25</v>
      </c>
      <c r="C62" s="320">
        <v>16.25</v>
      </c>
      <c r="D62" s="320">
        <v>16.25</v>
      </c>
      <c r="E62" s="320">
        <v>16.25</v>
      </c>
      <c r="F62" s="320">
        <v>16.25</v>
      </c>
      <c r="G62" s="320">
        <v>16.25</v>
      </c>
      <c r="H62" s="320">
        <v>16.25</v>
      </c>
      <c r="I62" s="320">
        <v>16.25</v>
      </c>
      <c r="J62" s="320">
        <v>16.25</v>
      </c>
      <c r="K62" s="320">
        <v>16.25</v>
      </c>
      <c r="L62" s="320">
        <v>16.25</v>
      </c>
      <c r="M62" s="320">
        <v>16.25</v>
      </c>
      <c r="N62" s="321">
        <f t="shared" si="8"/>
        <v>195</v>
      </c>
      <c r="O62" s="97"/>
    </row>
    <row r="63" spans="1:15" ht="16" hidden="1" outlineLevel="2">
      <c r="A63" s="11" t="s">
        <v>346</v>
      </c>
      <c r="B63" s="320"/>
      <c r="C63" s="320"/>
      <c r="D63" s="320"/>
      <c r="E63" s="320"/>
      <c r="F63" s="320"/>
      <c r="G63" s="320"/>
      <c r="H63" s="320"/>
      <c r="I63" s="320"/>
      <c r="J63" s="320"/>
      <c r="K63" s="320"/>
      <c r="L63" s="320"/>
      <c r="M63" s="320"/>
      <c r="N63" s="321">
        <f t="shared" si="8"/>
        <v>0</v>
      </c>
      <c r="O63" s="97"/>
    </row>
    <row r="64" spans="1:15" ht="16" hidden="1" outlineLevel="2">
      <c r="A64" s="11" t="s">
        <v>347</v>
      </c>
      <c r="B64" s="320">
        <v>500</v>
      </c>
      <c r="C64" s="320">
        <v>500</v>
      </c>
      <c r="D64" s="320">
        <v>500</v>
      </c>
      <c r="E64" s="320">
        <v>500</v>
      </c>
      <c r="F64" s="320">
        <v>500</v>
      </c>
      <c r="G64" s="320">
        <v>500</v>
      </c>
      <c r="H64" s="320">
        <v>500</v>
      </c>
      <c r="I64" s="320">
        <v>500</v>
      </c>
      <c r="J64" s="320">
        <v>500</v>
      </c>
      <c r="K64" s="320">
        <v>500</v>
      </c>
      <c r="L64" s="320">
        <v>500</v>
      </c>
      <c r="M64" s="320">
        <v>500</v>
      </c>
      <c r="N64" s="321">
        <f t="shared" si="8"/>
        <v>6000</v>
      </c>
      <c r="O64" s="97"/>
    </row>
    <row r="65" spans="1:15" ht="16" hidden="1" outlineLevel="2">
      <c r="A65" s="11" t="s">
        <v>348</v>
      </c>
      <c r="B65" s="320">
        <v>350</v>
      </c>
      <c r="C65" s="320">
        <v>350</v>
      </c>
      <c r="D65" s="320">
        <v>350</v>
      </c>
      <c r="E65" s="320">
        <v>350</v>
      </c>
      <c r="F65" s="320">
        <v>350</v>
      </c>
      <c r="G65" s="320">
        <v>350</v>
      </c>
      <c r="H65" s="320">
        <v>350</v>
      </c>
      <c r="I65" s="320">
        <v>350</v>
      </c>
      <c r="J65" s="320">
        <v>350</v>
      </c>
      <c r="K65" s="320">
        <v>350</v>
      </c>
      <c r="L65" s="320">
        <v>350</v>
      </c>
      <c r="M65" s="320">
        <v>350</v>
      </c>
      <c r="N65" s="321">
        <f t="shared" si="8"/>
        <v>4200</v>
      </c>
      <c r="O65" s="97"/>
    </row>
    <row r="66" spans="1:15" ht="16" hidden="1" outlineLevel="2">
      <c r="A66" s="11" t="s">
        <v>349</v>
      </c>
      <c r="B66" s="320" t="s">
        <v>582</v>
      </c>
      <c r="C66" s="320" t="s">
        <v>582</v>
      </c>
      <c r="D66" s="320" t="s">
        <v>582</v>
      </c>
      <c r="E66" s="320">
        <v>5300</v>
      </c>
      <c r="F66" s="320" t="s">
        <v>582</v>
      </c>
      <c r="G66" s="320" t="s">
        <v>582</v>
      </c>
      <c r="H66" s="320" t="s">
        <v>582</v>
      </c>
      <c r="I66" s="320" t="s">
        <v>582</v>
      </c>
      <c r="J66" s="320" t="s">
        <v>582</v>
      </c>
      <c r="K66" s="320" t="s">
        <v>582</v>
      </c>
      <c r="L66" s="320" t="s">
        <v>582</v>
      </c>
      <c r="M66" s="320" t="s">
        <v>582</v>
      </c>
      <c r="N66" s="321">
        <f t="shared" si="8"/>
        <v>5300</v>
      </c>
      <c r="O66" s="97"/>
    </row>
    <row r="67" spans="1:15" ht="16" hidden="1" outlineLevel="2">
      <c r="A67" s="11" t="s">
        <v>350</v>
      </c>
      <c r="B67" s="320">
        <v>17.329999999999998</v>
      </c>
      <c r="C67" s="320">
        <v>17.329999999999998</v>
      </c>
      <c r="D67" s="320">
        <v>17.329999999999998</v>
      </c>
      <c r="E67" s="320">
        <v>17.329999999999998</v>
      </c>
      <c r="F67" s="320">
        <v>17.329999999999998</v>
      </c>
      <c r="G67" s="320">
        <v>17.329999999999998</v>
      </c>
      <c r="H67" s="320">
        <v>17.329999999999998</v>
      </c>
      <c r="I67" s="320">
        <v>17.329999999999998</v>
      </c>
      <c r="J67" s="320">
        <v>17.329999999999998</v>
      </c>
      <c r="K67" s="320">
        <v>17.329999999999998</v>
      </c>
      <c r="L67" s="320">
        <v>17.329999999999998</v>
      </c>
      <c r="M67" s="320">
        <v>17.329999999999998</v>
      </c>
      <c r="N67" s="321">
        <f t="shared" si="8"/>
        <v>207.95999999999992</v>
      </c>
      <c r="O67" s="97"/>
    </row>
    <row r="68" spans="1:15" ht="16" hidden="1" outlineLevel="2">
      <c r="A68" s="11" t="s">
        <v>351</v>
      </c>
      <c r="B68" s="320" t="s">
        <v>582</v>
      </c>
      <c r="C68" s="320">
        <v>796.72</v>
      </c>
      <c r="D68" s="320" t="s">
        <v>582</v>
      </c>
      <c r="E68" s="320" t="s">
        <v>582</v>
      </c>
      <c r="F68" s="320">
        <v>700.35</v>
      </c>
      <c r="G68" s="320" t="s">
        <v>582</v>
      </c>
      <c r="H68" s="320" t="s">
        <v>582</v>
      </c>
      <c r="I68" s="320" t="s">
        <v>582</v>
      </c>
      <c r="J68" s="320" t="s">
        <v>582</v>
      </c>
      <c r="K68" s="320" t="s">
        <v>582</v>
      </c>
      <c r="L68" s="320" t="s">
        <v>582</v>
      </c>
      <c r="M68" s="320" t="s">
        <v>582</v>
      </c>
      <c r="N68" s="321">
        <f t="shared" si="8"/>
        <v>1497.0700000000002</v>
      </c>
      <c r="O68" s="97"/>
    </row>
    <row r="69" spans="1:15" ht="16" hidden="1" outlineLevel="2">
      <c r="A69" s="11" t="s">
        <v>352</v>
      </c>
      <c r="B69" s="320" t="s">
        <v>582</v>
      </c>
      <c r="C69" s="320" t="s">
        <v>582</v>
      </c>
      <c r="D69" s="320" t="s">
        <v>582</v>
      </c>
      <c r="E69" s="320" t="s">
        <v>582</v>
      </c>
      <c r="F69" s="320" t="s">
        <v>582</v>
      </c>
      <c r="G69" s="320" t="s">
        <v>582</v>
      </c>
      <c r="H69" s="320" t="s">
        <v>582</v>
      </c>
      <c r="I69" s="320" t="s">
        <v>582</v>
      </c>
      <c r="J69" s="320" t="s">
        <v>582</v>
      </c>
      <c r="K69" s="320" t="s">
        <v>582</v>
      </c>
      <c r="L69" s="320" t="s">
        <v>582</v>
      </c>
      <c r="M69" s="320" t="s">
        <v>582</v>
      </c>
      <c r="N69" s="321">
        <f t="shared" si="8"/>
        <v>0</v>
      </c>
      <c r="O69" s="97"/>
    </row>
    <row r="70" spans="1:15" ht="16" hidden="1" outlineLevel="2">
      <c r="A70" s="11" t="s">
        <v>353</v>
      </c>
      <c r="B70" s="320">
        <v>1107.22</v>
      </c>
      <c r="C70" s="320">
        <v>1107.22</v>
      </c>
      <c r="D70" s="320">
        <v>1107.22</v>
      </c>
      <c r="E70" s="320">
        <v>1107.22</v>
      </c>
      <c r="F70" s="320">
        <v>1107.22</v>
      </c>
      <c r="G70" s="320">
        <v>1107.22</v>
      </c>
      <c r="H70" s="320">
        <v>1107.22</v>
      </c>
      <c r="I70" s="320">
        <v>3307.22</v>
      </c>
      <c r="J70" s="320">
        <v>1407.22</v>
      </c>
      <c r="K70" s="320">
        <v>1107.22</v>
      </c>
      <c r="L70" s="320">
        <v>1107.22</v>
      </c>
      <c r="M70" s="320">
        <v>1107.22</v>
      </c>
      <c r="N70" s="321">
        <f t="shared" si="8"/>
        <v>15786.639999999998</v>
      </c>
      <c r="O70" s="97"/>
    </row>
    <row r="71" spans="1:15" ht="16" hidden="1" outlineLevel="2">
      <c r="A71" s="11" t="s">
        <v>354</v>
      </c>
      <c r="B71" s="320" t="s">
        <v>582</v>
      </c>
      <c r="C71" s="320" t="s">
        <v>582</v>
      </c>
      <c r="D71" s="320" t="s">
        <v>582</v>
      </c>
      <c r="E71" s="320" t="s">
        <v>582</v>
      </c>
      <c r="F71" s="320" t="s">
        <v>582</v>
      </c>
      <c r="G71" s="320" t="s">
        <v>582</v>
      </c>
      <c r="H71" s="320" t="s">
        <v>582</v>
      </c>
      <c r="I71" s="320" t="s">
        <v>582</v>
      </c>
      <c r="J71" s="320" t="s">
        <v>582</v>
      </c>
      <c r="K71" s="320" t="s">
        <v>582</v>
      </c>
      <c r="L71" s="320" t="s">
        <v>582</v>
      </c>
      <c r="M71" s="320" t="s">
        <v>582</v>
      </c>
      <c r="N71" s="321">
        <f t="shared" si="8"/>
        <v>0</v>
      </c>
      <c r="O71" s="97"/>
    </row>
    <row r="72" spans="1:15" ht="16" hidden="1" outlineLevel="2">
      <c r="A72" s="11" t="s">
        <v>355</v>
      </c>
      <c r="B72" s="320" t="s">
        <v>582</v>
      </c>
      <c r="C72" s="320" t="s">
        <v>582</v>
      </c>
      <c r="D72" s="320" t="s">
        <v>582</v>
      </c>
      <c r="E72" s="320" t="s">
        <v>582</v>
      </c>
      <c r="F72" s="320" t="s">
        <v>582</v>
      </c>
      <c r="G72" s="320" t="s">
        <v>582</v>
      </c>
      <c r="H72" s="320" t="s">
        <v>582</v>
      </c>
      <c r="I72" s="320" t="s">
        <v>582</v>
      </c>
      <c r="J72" s="320" t="s">
        <v>582</v>
      </c>
      <c r="K72" s="320" t="s">
        <v>582</v>
      </c>
      <c r="L72" s="320" t="s">
        <v>582</v>
      </c>
      <c r="M72" s="320" t="s">
        <v>582</v>
      </c>
      <c r="N72" s="321">
        <f t="shared" si="8"/>
        <v>0</v>
      </c>
      <c r="O72" s="97"/>
    </row>
    <row r="73" spans="1:15" ht="16" hidden="1" outlineLevel="2">
      <c r="A73" s="11" t="s">
        <v>356</v>
      </c>
      <c r="B73" s="320" t="s">
        <v>582</v>
      </c>
      <c r="C73" s="320" t="s">
        <v>582</v>
      </c>
      <c r="D73" s="320" t="s">
        <v>582</v>
      </c>
      <c r="E73" s="320" t="s">
        <v>582</v>
      </c>
      <c r="F73" s="320" t="s">
        <v>582</v>
      </c>
      <c r="G73" s="320" t="s">
        <v>582</v>
      </c>
      <c r="H73" s="320" t="s">
        <v>582</v>
      </c>
      <c r="I73" s="320" t="s">
        <v>582</v>
      </c>
      <c r="J73" s="320" t="s">
        <v>582</v>
      </c>
      <c r="K73" s="320" t="s">
        <v>582</v>
      </c>
      <c r="L73" s="320" t="s">
        <v>582</v>
      </c>
      <c r="M73" s="320" t="s">
        <v>582</v>
      </c>
      <c r="N73" s="321">
        <f t="shared" si="8"/>
        <v>0</v>
      </c>
      <c r="O73" s="97"/>
    </row>
    <row r="74" spans="1:15" ht="16" hidden="1" outlineLevel="2">
      <c r="A74" s="11" t="s">
        <v>357</v>
      </c>
      <c r="B74" s="320" t="s">
        <v>582</v>
      </c>
      <c r="C74" s="320" t="s">
        <v>582</v>
      </c>
      <c r="D74" s="320" t="s">
        <v>582</v>
      </c>
      <c r="E74" s="320" t="s">
        <v>582</v>
      </c>
      <c r="F74" s="320" t="s">
        <v>582</v>
      </c>
      <c r="G74" s="320" t="s">
        <v>582</v>
      </c>
      <c r="H74" s="320" t="s">
        <v>582</v>
      </c>
      <c r="I74" s="320" t="s">
        <v>582</v>
      </c>
      <c r="J74" s="320" t="s">
        <v>582</v>
      </c>
      <c r="K74" s="320" t="s">
        <v>582</v>
      </c>
      <c r="L74" s="320">
        <v>148.74</v>
      </c>
      <c r="M74" s="320" t="s">
        <v>582</v>
      </c>
      <c r="N74" s="321">
        <f t="shared" si="8"/>
        <v>148.74</v>
      </c>
      <c r="O74" s="97"/>
    </row>
    <row r="75" spans="1:15" ht="16" hidden="1" outlineLevel="2">
      <c r="A75" s="11" t="s">
        <v>358</v>
      </c>
      <c r="B75" s="320">
        <v>100</v>
      </c>
      <c r="C75" s="320">
        <v>100</v>
      </c>
      <c r="D75" s="320">
        <v>100</v>
      </c>
      <c r="E75" s="320">
        <v>100</v>
      </c>
      <c r="F75" s="320">
        <v>100</v>
      </c>
      <c r="G75" s="320">
        <v>100</v>
      </c>
      <c r="H75" s="320">
        <v>100</v>
      </c>
      <c r="I75" s="320">
        <v>100</v>
      </c>
      <c r="J75" s="320">
        <v>100</v>
      </c>
      <c r="K75" s="320">
        <v>100</v>
      </c>
      <c r="L75" s="320">
        <v>100</v>
      </c>
      <c r="M75" s="320">
        <v>100</v>
      </c>
      <c r="N75" s="321">
        <f t="shared" si="8"/>
        <v>1200</v>
      </c>
      <c r="O75" s="97"/>
    </row>
    <row r="76" spans="1:15" ht="16" hidden="1" outlineLevel="2">
      <c r="A76" s="11" t="s">
        <v>359</v>
      </c>
      <c r="B76" s="320">
        <v>6.5</v>
      </c>
      <c r="C76" s="320">
        <v>6.5</v>
      </c>
      <c r="D76" s="320">
        <v>6.5</v>
      </c>
      <c r="E76" s="320">
        <v>6.5</v>
      </c>
      <c r="F76" s="320">
        <v>6.5</v>
      </c>
      <c r="G76" s="320">
        <v>6.5</v>
      </c>
      <c r="H76" s="320">
        <v>6.5</v>
      </c>
      <c r="I76" s="320">
        <v>6.5</v>
      </c>
      <c r="J76" s="320">
        <v>6.5</v>
      </c>
      <c r="K76" s="320">
        <v>6.5</v>
      </c>
      <c r="L76" s="320">
        <v>6.5</v>
      </c>
      <c r="M76" s="320">
        <v>6.5</v>
      </c>
      <c r="N76" s="321">
        <f t="shared" si="8"/>
        <v>78</v>
      </c>
      <c r="O76" s="97"/>
    </row>
    <row r="77" spans="1:15" ht="16" collapsed="1">
      <c r="A77" s="328" t="s">
        <v>192</v>
      </c>
      <c r="B77" s="327">
        <f>SUM(B53:B76)</f>
        <v>2781.05</v>
      </c>
      <c r="C77" s="327">
        <f t="shared" ref="C77:M77" si="9">SUM(C53:C76)</f>
        <v>3093.77</v>
      </c>
      <c r="D77" s="327">
        <f t="shared" si="9"/>
        <v>2297.0500000000002</v>
      </c>
      <c r="E77" s="327">
        <f t="shared" si="9"/>
        <v>7597.05</v>
      </c>
      <c r="F77" s="327">
        <f t="shared" si="9"/>
        <v>2997.3999999999996</v>
      </c>
      <c r="G77" s="327">
        <f t="shared" si="9"/>
        <v>2297.0500000000002</v>
      </c>
      <c r="H77" s="327">
        <f t="shared" si="9"/>
        <v>2297.0500000000002</v>
      </c>
      <c r="I77" s="327">
        <f t="shared" si="9"/>
        <v>4497.0499999999993</v>
      </c>
      <c r="J77" s="327">
        <f t="shared" si="9"/>
        <v>2597.0500000000002</v>
      </c>
      <c r="K77" s="327">
        <f t="shared" si="9"/>
        <v>2297.0500000000002</v>
      </c>
      <c r="L77" s="327">
        <f t="shared" si="9"/>
        <v>2723.1499999999996</v>
      </c>
      <c r="M77" s="327">
        <f t="shared" si="9"/>
        <v>2297.0500000000002</v>
      </c>
      <c r="N77" s="331">
        <f>SUM(B77:M77)</f>
        <v>37771.769999999997</v>
      </c>
      <c r="O77" s="97"/>
    </row>
    <row r="78" spans="1:15" ht="16" hidden="1" outlineLevel="1">
      <c r="A78" s="9" t="s">
        <v>360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5" ht="16" hidden="1" outlineLevel="1">
      <c r="A79" s="11" t="s">
        <v>361</v>
      </c>
      <c r="B79" s="11" t="s">
        <v>582</v>
      </c>
      <c r="C79" s="11" t="s">
        <v>582</v>
      </c>
      <c r="D79" s="11" t="s">
        <v>582</v>
      </c>
      <c r="E79" s="11" t="s">
        <v>582</v>
      </c>
      <c r="F79" s="11" t="s">
        <v>582</v>
      </c>
      <c r="G79" s="11" t="s">
        <v>582</v>
      </c>
      <c r="H79" s="11" t="s">
        <v>582</v>
      </c>
      <c r="I79" s="11" t="s">
        <v>582</v>
      </c>
      <c r="J79" s="11" t="s">
        <v>582</v>
      </c>
      <c r="K79" s="11" t="s">
        <v>582</v>
      </c>
      <c r="L79" s="11" t="s">
        <v>582</v>
      </c>
      <c r="M79" s="11" t="s">
        <v>582</v>
      </c>
      <c r="N79" s="77"/>
      <c r="O79" s="9"/>
    </row>
    <row r="80" spans="1:15" ht="16" hidden="1" outlineLevel="1">
      <c r="A80" s="11" t="s">
        <v>362</v>
      </c>
      <c r="B80" s="323">
        <v>400</v>
      </c>
      <c r="C80" s="323">
        <v>400</v>
      </c>
      <c r="D80" s="323">
        <v>400</v>
      </c>
      <c r="E80" s="323">
        <v>400</v>
      </c>
      <c r="F80" s="323">
        <v>400</v>
      </c>
      <c r="G80" s="323">
        <v>400</v>
      </c>
      <c r="H80" s="323">
        <v>400</v>
      </c>
      <c r="I80" s="323">
        <v>400</v>
      </c>
      <c r="J80" s="323">
        <v>400</v>
      </c>
      <c r="K80" s="323">
        <v>400</v>
      </c>
      <c r="L80" s="323">
        <v>400</v>
      </c>
      <c r="M80" s="323">
        <v>400</v>
      </c>
      <c r="N80" s="77">
        <f t="shared" ref="N80:N86" si="10">SUM(B80:M80)</f>
        <v>4800</v>
      </c>
      <c r="O80" s="9"/>
    </row>
    <row r="81" spans="1:15" ht="16" hidden="1" outlineLevel="1">
      <c r="A81" s="11" t="s">
        <v>363</v>
      </c>
      <c r="B81" s="323">
        <v>400</v>
      </c>
      <c r="C81" s="323">
        <v>400</v>
      </c>
      <c r="D81" s="11" t="s">
        <v>582</v>
      </c>
      <c r="E81" s="323">
        <v>1000</v>
      </c>
      <c r="F81" s="323">
        <v>200</v>
      </c>
      <c r="G81" s="323">
        <v>200</v>
      </c>
      <c r="H81" s="323">
        <v>600</v>
      </c>
      <c r="I81" s="323">
        <v>2400</v>
      </c>
      <c r="J81" s="323">
        <v>800</v>
      </c>
      <c r="K81" s="323">
        <v>767</v>
      </c>
      <c r="L81" s="323">
        <v>600</v>
      </c>
      <c r="M81" s="323">
        <v>1000</v>
      </c>
      <c r="N81" s="77">
        <f t="shared" si="10"/>
        <v>8367</v>
      </c>
      <c r="O81" s="9"/>
    </row>
    <row r="82" spans="1:15" ht="16" hidden="1" outlineLevel="1">
      <c r="A82" s="11" t="s">
        <v>364</v>
      </c>
      <c r="B82" s="323">
        <v>50</v>
      </c>
      <c r="C82" s="323">
        <v>50</v>
      </c>
      <c r="D82" s="323">
        <v>50</v>
      </c>
      <c r="E82" s="323">
        <v>50</v>
      </c>
      <c r="F82" s="323">
        <v>50</v>
      </c>
      <c r="G82" s="323">
        <v>50</v>
      </c>
      <c r="H82" s="323">
        <v>50</v>
      </c>
      <c r="I82" s="323">
        <v>50</v>
      </c>
      <c r="J82" s="323">
        <v>50</v>
      </c>
      <c r="K82" s="323">
        <v>50</v>
      </c>
      <c r="L82" s="323">
        <v>50</v>
      </c>
      <c r="M82" s="323">
        <v>50</v>
      </c>
      <c r="N82" s="77">
        <f t="shared" si="10"/>
        <v>600</v>
      </c>
      <c r="O82" s="9"/>
    </row>
    <row r="83" spans="1:15" ht="16" hidden="1" outlineLevel="1">
      <c r="A83" s="11" t="s">
        <v>365</v>
      </c>
      <c r="B83" s="323">
        <v>300</v>
      </c>
      <c r="C83" s="323">
        <v>300</v>
      </c>
      <c r="D83" s="323">
        <v>300</v>
      </c>
      <c r="E83" s="323">
        <v>300</v>
      </c>
      <c r="F83" s="323">
        <v>300</v>
      </c>
      <c r="G83" s="323">
        <v>300</v>
      </c>
      <c r="H83" s="323">
        <v>300</v>
      </c>
      <c r="I83" s="323">
        <v>300</v>
      </c>
      <c r="J83" s="323">
        <v>300</v>
      </c>
      <c r="K83" s="323">
        <v>300</v>
      </c>
      <c r="L83" s="323">
        <v>300</v>
      </c>
      <c r="M83" s="323">
        <v>300</v>
      </c>
      <c r="N83" s="77">
        <f t="shared" si="10"/>
        <v>3600</v>
      </c>
      <c r="O83" s="9"/>
    </row>
    <row r="84" spans="1:15" ht="16" hidden="1" outlineLevel="1">
      <c r="A84" s="11" t="s">
        <v>366</v>
      </c>
      <c r="B84" s="323">
        <v>200</v>
      </c>
      <c r="C84" s="323">
        <v>200</v>
      </c>
      <c r="D84" s="11" t="s">
        <v>582</v>
      </c>
      <c r="E84" s="323">
        <v>500</v>
      </c>
      <c r="F84" s="323">
        <v>100</v>
      </c>
      <c r="G84" s="323">
        <v>100</v>
      </c>
      <c r="H84" s="323">
        <v>300</v>
      </c>
      <c r="I84" s="323">
        <v>1200</v>
      </c>
      <c r="J84" s="323">
        <v>400</v>
      </c>
      <c r="K84" s="323">
        <v>383</v>
      </c>
      <c r="L84" s="323">
        <v>300</v>
      </c>
      <c r="M84" s="323">
        <v>500</v>
      </c>
      <c r="N84" s="77">
        <f t="shared" si="10"/>
        <v>4183</v>
      </c>
      <c r="O84" s="97"/>
    </row>
    <row r="85" spans="1:15" ht="16" hidden="1" outlineLevel="1">
      <c r="A85" s="11" t="s">
        <v>367</v>
      </c>
      <c r="B85" s="323">
        <v>860</v>
      </c>
      <c r="C85" s="323">
        <v>860</v>
      </c>
      <c r="D85" s="323">
        <v>860</v>
      </c>
      <c r="E85" s="323">
        <v>860</v>
      </c>
      <c r="F85" s="323">
        <v>860</v>
      </c>
      <c r="G85" s="323">
        <v>860</v>
      </c>
      <c r="H85" s="323">
        <v>860</v>
      </c>
      <c r="I85" s="323">
        <v>860</v>
      </c>
      <c r="J85" s="323">
        <v>860</v>
      </c>
      <c r="K85" s="323">
        <v>860</v>
      </c>
      <c r="L85" s="323">
        <v>860</v>
      </c>
      <c r="M85" s="323">
        <v>860</v>
      </c>
      <c r="N85" s="77">
        <f t="shared" si="10"/>
        <v>10320</v>
      </c>
      <c r="O85" s="97"/>
    </row>
    <row r="86" spans="1:15" ht="16" collapsed="1">
      <c r="A86" s="328" t="s">
        <v>193</v>
      </c>
      <c r="B86" s="327">
        <f t="shared" ref="B86:M86" si="11">SUM(B79:B85)</f>
        <v>2210</v>
      </c>
      <c r="C86" s="327">
        <f t="shared" si="11"/>
        <v>2210</v>
      </c>
      <c r="D86" s="327">
        <f t="shared" si="11"/>
        <v>1610</v>
      </c>
      <c r="E86" s="327">
        <f t="shared" si="11"/>
        <v>3110</v>
      </c>
      <c r="F86" s="327">
        <f t="shared" si="11"/>
        <v>1910</v>
      </c>
      <c r="G86" s="327">
        <f t="shared" si="11"/>
        <v>1910</v>
      </c>
      <c r="H86" s="327">
        <f t="shared" si="11"/>
        <v>2510</v>
      </c>
      <c r="I86" s="327">
        <f t="shared" si="11"/>
        <v>5210</v>
      </c>
      <c r="J86" s="327">
        <f t="shared" si="11"/>
        <v>2810</v>
      </c>
      <c r="K86" s="327">
        <f t="shared" si="11"/>
        <v>2760</v>
      </c>
      <c r="L86" s="327">
        <f t="shared" si="11"/>
        <v>2510</v>
      </c>
      <c r="M86" s="327">
        <f t="shared" si="11"/>
        <v>3110</v>
      </c>
      <c r="N86" s="331">
        <f t="shared" si="10"/>
        <v>31870</v>
      </c>
      <c r="O86" s="97"/>
    </row>
    <row r="87" spans="1:15" ht="16" hidden="1" outlineLevel="1">
      <c r="A87" s="9" t="s">
        <v>194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5" ht="16" hidden="1" outlineLevel="1">
      <c r="A88" s="11" t="s">
        <v>368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7">
        <f t="shared" ref="N88:N96" si="12">SUM(B88:M88)</f>
        <v>0</v>
      </c>
      <c r="O88" s="97"/>
    </row>
    <row r="89" spans="1:15" ht="16" hidden="1" outlineLevel="1">
      <c r="A89" s="11" t="s">
        <v>369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7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7">
        <f t="shared" si="12"/>
        <v>0</v>
      </c>
      <c r="O89" s="97"/>
    </row>
    <row r="90" spans="1:15" ht="16" hidden="1" outlineLevel="1">
      <c r="A90" s="11" t="s">
        <v>370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7">
        <f t="shared" si="12"/>
        <v>0</v>
      </c>
      <c r="O90" s="97"/>
    </row>
    <row r="91" spans="1:15" ht="16" hidden="1" outlineLevel="1">
      <c r="A91" s="11" t="s">
        <v>371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9">
        <v>0</v>
      </c>
      <c r="L91" s="76">
        <v>0</v>
      </c>
      <c r="M91" s="76">
        <v>0</v>
      </c>
      <c r="N91" s="77">
        <f t="shared" si="12"/>
        <v>0</v>
      </c>
      <c r="O91" s="97"/>
    </row>
    <row r="92" spans="1:15" ht="16" hidden="1" outlineLevel="1">
      <c r="A92" s="11" t="s">
        <v>372</v>
      </c>
      <c r="B92" s="76">
        <v>0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0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7">
        <f t="shared" si="12"/>
        <v>0</v>
      </c>
      <c r="O92" s="97"/>
    </row>
    <row r="93" spans="1:15" ht="16" hidden="1" outlineLevel="1">
      <c r="A93" s="11" t="s">
        <v>373</v>
      </c>
      <c r="B93" s="76">
        <v>0</v>
      </c>
      <c r="C93" s="76">
        <v>0</v>
      </c>
      <c r="D93" s="76">
        <v>0</v>
      </c>
      <c r="E93" s="76">
        <v>0</v>
      </c>
      <c r="F93" s="76">
        <v>0</v>
      </c>
      <c r="G93" s="76">
        <v>0</v>
      </c>
      <c r="H93" s="76">
        <v>0</v>
      </c>
      <c r="I93" s="76">
        <v>0</v>
      </c>
      <c r="J93" s="76">
        <v>0</v>
      </c>
      <c r="K93" s="76">
        <v>163.95</v>
      </c>
      <c r="L93" s="76">
        <v>0</v>
      </c>
      <c r="M93" s="76">
        <v>0</v>
      </c>
      <c r="N93" s="77">
        <f t="shared" si="12"/>
        <v>163.95</v>
      </c>
      <c r="O93" s="97"/>
    </row>
    <row r="94" spans="1:15" ht="16" hidden="1" outlineLevel="1">
      <c r="A94" s="100" t="s">
        <v>374</v>
      </c>
      <c r="B94" s="77">
        <v>2832</v>
      </c>
      <c r="C94" s="77">
        <v>2832</v>
      </c>
      <c r="D94" s="77">
        <v>2832</v>
      </c>
      <c r="E94" s="77">
        <v>2832</v>
      </c>
      <c r="F94" s="77">
        <v>2832</v>
      </c>
      <c r="G94" s="77">
        <v>2832</v>
      </c>
      <c r="H94" s="77">
        <v>2832</v>
      </c>
      <c r="I94" s="77">
        <v>2832</v>
      </c>
      <c r="J94" s="77">
        <v>2832</v>
      </c>
      <c r="K94" s="77">
        <v>1300</v>
      </c>
      <c r="L94" s="77">
        <v>1300</v>
      </c>
      <c r="M94" s="77">
        <v>1300</v>
      </c>
      <c r="N94" s="77">
        <f t="shared" si="12"/>
        <v>29388</v>
      </c>
      <c r="O94" s="97" t="s">
        <v>680</v>
      </c>
    </row>
    <row r="95" spans="1:15" ht="16" hidden="1" outlineLevel="1">
      <c r="A95" s="11" t="s">
        <v>375</v>
      </c>
      <c r="B95" s="76">
        <v>730</v>
      </c>
      <c r="C95" s="76">
        <v>730</v>
      </c>
      <c r="D95" s="76">
        <v>730</v>
      </c>
      <c r="E95" s="76">
        <v>730</v>
      </c>
      <c r="F95" s="76">
        <v>730</v>
      </c>
      <c r="G95" s="76">
        <v>730</v>
      </c>
      <c r="H95" s="76">
        <v>730</v>
      </c>
      <c r="I95" s="76">
        <v>730</v>
      </c>
      <c r="J95" s="76">
        <v>730</v>
      </c>
      <c r="K95" s="76">
        <v>730</v>
      </c>
      <c r="L95" s="76">
        <v>730</v>
      </c>
      <c r="M95" s="76">
        <v>730</v>
      </c>
      <c r="N95" s="77">
        <f t="shared" si="12"/>
        <v>8760</v>
      </c>
      <c r="O95" s="97"/>
    </row>
    <row r="96" spans="1:15" ht="16" collapsed="1">
      <c r="A96" s="328" t="s">
        <v>195</v>
      </c>
      <c r="B96" s="327">
        <f>SUM(B88:B95)</f>
        <v>3562</v>
      </c>
      <c r="C96" s="327">
        <f t="shared" ref="C96:M96" si="13">SUM(C88:C95)</f>
        <v>3562</v>
      </c>
      <c r="D96" s="327">
        <f t="shared" si="13"/>
        <v>3562</v>
      </c>
      <c r="E96" s="327">
        <f t="shared" si="13"/>
        <v>3562</v>
      </c>
      <c r="F96" s="327">
        <f t="shared" si="13"/>
        <v>3562</v>
      </c>
      <c r="G96" s="327">
        <f t="shared" si="13"/>
        <v>3562</v>
      </c>
      <c r="H96" s="327">
        <f t="shared" si="13"/>
        <v>3562</v>
      </c>
      <c r="I96" s="327">
        <f t="shared" si="13"/>
        <v>3562</v>
      </c>
      <c r="J96" s="327">
        <f t="shared" si="13"/>
        <v>3562</v>
      </c>
      <c r="K96" s="327">
        <f t="shared" si="13"/>
        <v>2193.9499999999998</v>
      </c>
      <c r="L96" s="327">
        <f t="shared" si="13"/>
        <v>2030</v>
      </c>
      <c r="M96" s="327">
        <f t="shared" si="13"/>
        <v>2030</v>
      </c>
      <c r="N96" s="331">
        <f t="shared" si="12"/>
        <v>38311.949999999997</v>
      </c>
      <c r="O96" s="97"/>
    </row>
    <row r="97" spans="1:15" ht="16" hidden="1" outlineLevel="1">
      <c r="A97" s="483" t="s">
        <v>376</v>
      </c>
      <c r="B97" s="484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5" ht="16" hidden="1" outlineLevel="1">
      <c r="A98" s="11" t="s">
        <v>377</v>
      </c>
      <c r="B98" s="323">
        <v>900</v>
      </c>
      <c r="C98" s="323">
        <v>900</v>
      </c>
      <c r="D98" s="323">
        <v>900</v>
      </c>
      <c r="E98" s="323">
        <v>900</v>
      </c>
      <c r="F98" s="323">
        <v>900</v>
      </c>
      <c r="G98" s="323">
        <v>900</v>
      </c>
      <c r="H98" s="323">
        <v>900</v>
      </c>
      <c r="I98" s="323">
        <v>900</v>
      </c>
      <c r="J98" s="323">
        <v>900</v>
      </c>
      <c r="K98" s="323">
        <v>900</v>
      </c>
      <c r="L98" s="323">
        <v>900</v>
      </c>
      <c r="M98" s="323">
        <v>900</v>
      </c>
      <c r="N98" s="324">
        <f>SUM(B98:M98)</f>
        <v>10800</v>
      </c>
      <c r="O98" s="256" t="s">
        <v>629</v>
      </c>
    </row>
    <row r="99" spans="1:15" ht="16" hidden="1" outlineLevel="1">
      <c r="A99" s="11" t="s">
        <v>378</v>
      </c>
      <c r="B99" s="323">
        <v>900</v>
      </c>
      <c r="C99" s="323">
        <v>900</v>
      </c>
      <c r="D99" s="323">
        <v>900</v>
      </c>
      <c r="E99" s="323">
        <v>900</v>
      </c>
      <c r="F99" s="323">
        <v>900</v>
      </c>
      <c r="G99" s="323">
        <v>900</v>
      </c>
      <c r="H99" s="323">
        <v>900</v>
      </c>
      <c r="I99" s="323">
        <v>900</v>
      </c>
      <c r="J99" s="323">
        <v>900</v>
      </c>
      <c r="K99" s="323">
        <v>900</v>
      </c>
      <c r="L99" s="323">
        <v>900</v>
      </c>
      <c r="M99" s="323">
        <v>900</v>
      </c>
      <c r="N99" s="324">
        <f t="shared" ref="N99:N106" si="14">SUM(B99:M99)</f>
        <v>10800</v>
      </c>
      <c r="O99" s="256" t="s">
        <v>629</v>
      </c>
    </row>
    <row r="100" spans="1:15" ht="16" hidden="1" outlineLevel="1">
      <c r="A100" s="11" t="s">
        <v>379</v>
      </c>
      <c r="B100" s="323">
        <v>212</v>
      </c>
      <c r="C100" s="323">
        <v>212</v>
      </c>
      <c r="D100" s="323">
        <v>212</v>
      </c>
      <c r="E100" s="323">
        <v>212</v>
      </c>
      <c r="F100" s="323">
        <v>212</v>
      </c>
      <c r="G100" s="323">
        <v>212</v>
      </c>
      <c r="H100" s="323">
        <v>212</v>
      </c>
      <c r="I100" s="323">
        <v>212</v>
      </c>
      <c r="J100" s="323">
        <v>212</v>
      </c>
      <c r="K100" s="323">
        <v>212</v>
      </c>
      <c r="L100" s="323">
        <v>212</v>
      </c>
      <c r="M100" s="323">
        <v>212</v>
      </c>
      <c r="N100" s="324">
        <f t="shared" si="14"/>
        <v>2544</v>
      </c>
      <c r="O100" s="326" t="s">
        <v>633</v>
      </c>
    </row>
    <row r="101" spans="1:15" ht="16" hidden="1" outlineLevel="1">
      <c r="A101" s="11" t="s">
        <v>380</v>
      </c>
      <c r="B101" s="323">
        <v>250</v>
      </c>
      <c r="C101" s="323">
        <v>250</v>
      </c>
      <c r="D101" s="323">
        <v>250</v>
      </c>
      <c r="E101" s="323">
        <v>250</v>
      </c>
      <c r="F101" s="323">
        <v>250</v>
      </c>
      <c r="G101" s="323">
        <v>250</v>
      </c>
      <c r="H101" s="323">
        <v>250</v>
      </c>
      <c r="I101" s="323">
        <v>250</v>
      </c>
      <c r="J101" s="323">
        <v>250</v>
      </c>
      <c r="K101" s="323">
        <v>250</v>
      </c>
      <c r="L101" s="323">
        <v>250</v>
      </c>
      <c r="M101" s="323">
        <v>250</v>
      </c>
      <c r="N101" s="324">
        <f t="shared" si="14"/>
        <v>3000</v>
      </c>
      <c r="O101" s="326" t="s">
        <v>630</v>
      </c>
    </row>
    <row r="102" spans="1:15" ht="16" hidden="1" outlineLevel="1">
      <c r="A102" s="11" t="s">
        <v>381</v>
      </c>
      <c r="B102" s="323">
        <v>500</v>
      </c>
      <c r="C102" s="323">
        <v>500</v>
      </c>
      <c r="D102" s="323">
        <v>500</v>
      </c>
      <c r="E102" s="323">
        <v>500</v>
      </c>
      <c r="F102" s="323">
        <v>500</v>
      </c>
      <c r="G102" s="323">
        <v>500</v>
      </c>
      <c r="H102" s="323">
        <v>500</v>
      </c>
      <c r="I102" s="323">
        <v>500</v>
      </c>
      <c r="J102" s="323">
        <v>500</v>
      </c>
      <c r="K102" s="323">
        <v>500</v>
      </c>
      <c r="L102" s="323">
        <v>500</v>
      </c>
      <c r="M102" s="323">
        <v>500</v>
      </c>
      <c r="N102" s="324">
        <f t="shared" si="14"/>
        <v>6000</v>
      </c>
      <c r="O102" s="326" t="s">
        <v>631</v>
      </c>
    </row>
    <row r="103" spans="1:15" ht="16" hidden="1" outlineLevel="1">
      <c r="A103" s="11" t="s">
        <v>382</v>
      </c>
      <c r="B103" s="323">
        <v>80</v>
      </c>
      <c r="C103" s="323">
        <v>80</v>
      </c>
      <c r="D103" s="323">
        <v>80</v>
      </c>
      <c r="E103" s="323">
        <v>80</v>
      </c>
      <c r="F103" s="323">
        <v>80</v>
      </c>
      <c r="G103" s="323">
        <v>80</v>
      </c>
      <c r="H103" s="323">
        <v>80</v>
      </c>
      <c r="I103" s="323">
        <v>80</v>
      </c>
      <c r="J103" s="323">
        <v>80</v>
      </c>
      <c r="K103" s="323">
        <v>80</v>
      </c>
      <c r="L103" s="323">
        <v>80</v>
      </c>
      <c r="M103" s="323">
        <v>80</v>
      </c>
      <c r="N103" s="324">
        <f t="shared" si="14"/>
        <v>960</v>
      </c>
      <c r="O103" s="256" t="s">
        <v>629</v>
      </c>
    </row>
    <row r="104" spans="1:15" ht="16" hidden="1" outlineLevel="1">
      <c r="A104" s="11" t="s">
        <v>383</v>
      </c>
      <c r="B104" s="323">
        <v>205</v>
      </c>
      <c r="C104" s="323">
        <v>205</v>
      </c>
      <c r="D104" s="323">
        <v>205</v>
      </c>
      <c r="E104" s="323">
        <v>205</v>
      </c>
      <c r="F104" s="323">
        <v>205</v>
      </c>
      <c r="G104" s="323">
        <v>205</v>
      </c>
      <c r="H104" s="323">
        <v>205</v>
      </c>
      <c r="I104" s="323">
        <v>205</v>
      </c>
      <c r="J104" s="323">
        <v>205</v>
      </c>
      <c r="K104" s="323">
        <v>205</v>
      </c>
      <c r="L104" s="323">
        <v>205</v>
      </c>
      <c r="M104" s="323">
        <v>205</v>
      </c>
      <c r="N104" s="324">
        <f t="shared" si="14"/>
        <v>2460</v>
      </c>
      <c r="O104" s="256" t="s">
        <v>629</v>
      </c>
    </row>
    <row r="105" spans="1:15" ht="16" hidden="1" outlineLevel="1">
      <c r="A105" s="11" t="s">
        <v>384</v>
      </c>
      <c r="B105" s="323">
        <v>150</v>
      </c>
      <c r="C105" s="323">
        <v>150</v>
      </c>
      <c r="D105" s="323">
        <v>150</v>
      </c>
      <c r="E105" s="323">
        <v>150</v>
      </c>
      <c r="F105" s="323">
        <v>150</v>
      </c>
      <c r="G105" s="323">
        <v>150</v>
      </c>
      <c r="H105" s="323">
        <v>150</v>
      </c>
      <c r="I105" s="323">
        <v>150</v>
      </c>
      <c r="J105" s="323">
        <v>150</v>
      </c>
      <c r="K105" s="323">
        <v>150</v>
      </c>
      <c r="L105" s="323">
        <v>150</v>
      </c>
      <c r="M105" s="323">
        <v>150</v>
      </c>
      <c r="N105" s="324">
        <f t="shared" si="14"/>
        <v>1800</v>
      </c>
      <c r="O105" s="326" t="s">
        <v>631</v>
      </c>
    </row>
    <row r="106" spans="1:15" ht="16" hidden="1" outlineLevel="1">
      <c r="A106" s="11" t="s">
        <v>385</v>
      </c>
      <c r="B106" s="11" t="s">
        <v>582</v>
      </c>
      <c r="C106" s="11" t="s">
        <v>582</v>
      </c>
      <c r="D106" s="11" t="s">
        <v>582</v>
      </c>
      <c r="E106" s="11" t="s">
        <v>582</v>
      </c>
      <c r="F106" s="11" t="s">
        <v>582</v>
      </c>
      <c r="G106" s="11" t="s">
        <v>582</v>
      </c>
      <c r="H106" s="11" t="s">
        <v>582</v>
      </c>
      <c r="I106" s="11" t="s">
        <v>582</v>
      </c>
      <c r="J106" s="11" t="s">
        <v>582</v>
      </c>
      <c r="K106" s="11" t="s">
        <v>582</v>
      </c>
      <c r="L106" s="11" t="s">
        <v>582</v>
      </c>
      <c r="M106" s="11" t="s">
        <v>582</v>
      </c>
      <c r="N106" s="324">
        <f t="shared" si="14"/>
        <v>0</v>
      </c>
      <c r="O106" s="256" t="s">
        <v>634</v>
      </c>
    </row>
    <row r="107" spans="1:15" ht="16" hidden="1" outlineLevel="1">
      <c r="A107" s="101" t="s">
        <v>386</v>
      </c>
      <c r="B107" s="323">
        <v>0</v>
      </c>
      <c r="C107" s="323">
        <v>0</v>
      </c>
      <c r="D107" s="323">
        <v>0</v>
      </c>
      <c r="E107" s="323">
        <v>0</v>
      </c>
      <c r="F107" s="323">
        <v>0</v>
      </c>
      <c r="G107" s="323">
        <v>0</v>
      </c>
      <c r="H107" s="323">
        <v>0</v>
      </c>
      <c r="I107" s="323">
        <v>0</v>
      </c>
      <c r="J107" s="323">
        <v>0</v>
      </c>
      <c r="K107" s="323">
        <v>0</v>
      </c>
      <c r="L107" s="323">
        <v>0</v>
      </c>
      <c r="M107" s="323">
        <v>0</v>
      </c>
      <c r="N107" s="324">
        <f>SUM(B107:M107)</f>
        <v>0</v>
      </c>
      <c r="O107" s="256" t="s">
        <v>635</v>
      </c>
    </row>
    <row r="108" spans="1:15" ht="16" hidden="1" outlineLevel="1">
      <c r="A108" s="101" t="s">
        <v>388</v>
      </c>
      <c r="B108" s="323">
        <v>130</v>
      </c>
      <c r="C108" s="323">
        <v>130</v>
      </c>
      <c r="D108" s="323">
        <v>130</v>
      </c>
      <c r="E108" s="323">
        <v>130</v>
      </c>
      <c r="F108" s="323">
        <v>130</v>
      </c>
      <c r="G108" s="323">
        <v>130</v>
      </c>
      <c r="H108" s="323">
        <v>130</v>
      </c>
      <c r="I108" s="323">
        <v>130</v>
      </c>
      <c r="J108" s="323">
        <v>130</v>
      </c>
      <c r="K108" s="323">
        <v>130</v>
      </c>
      <c r="L108" s="323">
        <v>130</v>
      </c>
      <c r="M108" s="323">
        <v>130</v>
      </c>
      <c r="N108" s="324">
        <f>SUM(B108:M108)</f>
        <v>1560</v>
      </c>
      <c r="O108" s="326" t="s">
        <v>630</v>
      </c>
    </row>
    <row r="109" spans="1:15" ht="16" hidden="1" outlineLevel="1">
      <c r="A109" s="11" t="s">
        <v>389</v>
      </c>
      <c r="B109" s="11" t="s">
        <v>582</v>
      </c>
      <c r="C109" s="11" t="s">
        <v>582</v>
      </c>
      <c r="D109" s="11" t="s">
        <v>582</v>
      </c>
      <c r="E109" s="11" t="s">
        <v>582</v>
      </c>
      <c r="F109" s="11" t="s">
        <v>582</v>
      </c>
      <c r="G109" s="11" t="s">
        <v>582</v>
      </c>
      <c r="H109" s="11" t="s">
        <v>582</v>
      </c>
      <c r="I109" s="11" t="s">
        <v>582</v>
      </c>
      <c r="J109" s="11" t="s">
        <v>582</v>
      </c>
      <c r="K109" s="11" t="s">
        <v>582</v>
      </c>
      <c r="L109" s="11" t="s">
        <v>582</v>
      </c>
      <c r="M109" s="11" t="s">
        <v>582</v>
      </c>
      <c r="N109" s="324">
        <f>SUM(B109:M109)</f>
        <v>0</v>
      </c>
      <c r="O109" s="256" t="s">
        <v>632</v>
      </c>
    </row>
    <row r="110" spans="1:15" ht="16" collapsed="1">
      <c r="A110" s="328" t="s">
        <v>196</v>
      </c>
      <c r="B110" s="327">
        <f>SUM(B98:B109)</f>
        <v>3327</v>
      </c>
      <c r="C110" s="327">
        <f t="shared" ref="C110:M110" si="15">SUM(C98:C109)</f>
        <v>3327</v>
      </c>
      <c r="D110" s="327">
        <f t="shared" si="15"/>
        <v>3327</v>
      </c>
      <c r="E110" s="327">
        <f t="shared" si="15"/>
        <v>3327</v>
      </c>
      <c r="F110" s="327">
        <f t="shared" si="15"/>
        <v>3327</v>
      </c>
      <c r="G110" s="327">
        <f t="shared" si="15"/>
        <v>3327</v>
      </c>
      <c r="H110" s="327">
        <f t="shared" si="15"/>
        <v>3327</v>
      </c>
      <c r="I110" s="327">
        <f t="shared" si="15"/>
        <v>3327</v>
      </c>
      <c r="J110" s="327">
        <f t="shared" si="15"/>
        <v>3327</v>
      </c>
      <c r="K110" s="327">
        <f t="shared" si="15"/>
        <v>3327</v>
      </c>
      <c r="L110" s="327">
        <f t="shared" si="15"/>
        <v>3327</v>
      </c>
      <c r="M110" s="327">
        <f t="shared" si="15"/>
        <v>3327</v>
      </c>
      <c r="N110" s="331">
        <f>SUM(B110:M110)</f>
        <v>39924</v>
      </c>
      <c r="O110" s="97"/>
    </row>
    <row r="111" spans="1:15" ht="16" hidden="1" outlineLevel="1">
      <c r="A111" s="9" t="s">
        <v>197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5" ht="16" hidden="1" outlineLevel="1">
      <c r="A112" s="11" t="s">
        <v>390</v>
      </c>
      <c r="B112" s="323">
        <v>15.76</v>
      </c>
      <c r="C112" s="323">
        <v>15.76</v>
      </c>
      <c r="D112" s="323">
        <v>15.76</v>
      </c>
      <c r="E112" s="323">
        <v>15.76</v>
      </c>
      <c r="F112" s="323">
        <v>15.76</v>
      </c>
      <c r="G112" s="323">
        <v>15.76</v>
      </c>
      <c r="H112" s="323">
        <v>15.76</v>
      </c>
      <c r="I112" s="323">
        <v>15.76</v>
      </c>
      <c r="J112" s="323">
        <v>15.76</v>
      </c>
      <c r="K112" s="323">
        <v>15.76</v>
      </c>
      <c r="L112" s="323">
        <v>15.76</v>
      </c>
      <c r="M112" s="323">
        <v>15.76</v>
      </c>
      <c r="N112" s="324">
        <f>SUM(B112:M112)</f>
        <v>189.11999999999998</v>
      </c>
      <c r="O112" s="97"/>
    </row>
    <row r="113" spans="1:15" ht="16" hidden="1" outlineLevel="1">
      <c r="A113" s="11" t="s">
        <v>391</v>
      </c>
      <c r="B113" s="11" t="s">
        <v>582</v>
      </c>
      <c r="C113" s="11" t="s">
        <v>582</v>
      </c>
      <c r="D113" s="11" t="s">
        <v>582</v>
      </c>
      <c r="E113" s="11" t="s">
        <v>582</v>
      </c>
      <c r="F113" s="11" t="s">
        <v>582</v>
      </c>
      <c r="G113" s="11" t="s">
        <v>582</v>
      </c>
      <c r="H113" s="11" t="s">
        <v>582</v>
      </c>
      <c r="I113" s="11" t="s">
        <v>582</v>
      </c>
      <c r="J113" s="11" t="s">
        <v>582</v>
      </c>
      <c r="K113" s="11" t="s">
        <v>582</v>
      </c>
      <c r="L113" s="323">
        <v>2075.13</v>
      </c>
      <c r="M113" s="11" t="s">
        <v>582</v>
      </c>
      <c r="N113" s="324">
        <f t="shared" ref="N113:N121" si="16">SUM(B113:M113)</f>
        <v>2075.13</v>
      </c>
      <c r="O113" s="97"/>
    </row>
    <row r="114" spans="1:15" ht="16" hidden="1" outlineLevel="1">
      <c r="A114" s="11" t="s">
        <v>392</v>
      </c>
      <c r="B114" s="323">
        <v>675.62</v>
      </c>
      <c r="C114" s="11" t="s">
        <v>582</v>
      </c>
      <c r="D114" s="11" t="s">
        <v>582</v>
      </c>
      <c r="E114" s="323">
        <v>675.62</v>
      </c>
      <c r="F114" s="11" t="s">
        <v>582</v>
      </c>
      <c r="G114" s="11" t="s">
        <v>582</v>
      </c>
      <c r="H114" s="323">
        <v>675.62</v>
      </c>
      <c r="I114" s="11" t="s">
        <v>582</v>
      </c>
      <c r="J114" s="11" t="s">
        <v>582</v>
      </c>
      <c r="K114" s="323">
        <v>675.62</v>
      </c>
      <c r="L114" s="11" t="s">
        <v>582</v>
      </c>
      <c r="M114" s="11" t="s">
        <v>582</v>
      </c>
      <c r="N114" s="324">
        <f t="shared" si="16"/>
        <v>2702.48</v>
      </c>
      <c r="O114" s="97"/>
    </row>
    <row r="115" spans="1:15" ht="16" hidden="1" outlineLevel="1">
      <c r="A115" s="11" t="s">
        <v>393</v>
      </c>
      <c r="B115" s="11" t="s">
        <v>582</v>
      </c>
      <c r="C115" s="11" t="s">
        <v>582</v>
      </c>
      <c r="D115" s="11" t="s">
        <v>582</v>
      </c>
      <c r="E115" s="11" t="s">
        <v>582</v>
      </c>
      <c r="F115" s="11" t="s">
        <v>582</v>
      </c>
      <c r="G115" s="11" t="s">
        <v>582</v>
      </c>
      <c r="H115" s="11" t="s">
        <v>582</v>
      </c>
      <c r="I115" s="11" t="s">
        <v>582</v>
      </c>
      <c r="J115" s="11" t="s">
        <v>582</v>
      </c>
      <c r="K115" s="11" t="s">
        <v>582</v>
      </c>
      <c r="L115" s="11" t="s">
        <v>582</v>
      </c>
      <c r="M115" s="11" t="s">
        <v>582</v>
      </c>
      <c r="N115" s="324">
        <f t="shared" si="16"/>
        <v>0</v>
      </c>
      <c r="O115" s="97"/>
    </row>
    <row r="116" spans="1:15" ht="16" hidden="1" outlineLevel="1">
      <c r="A116" s="11" t="s">
        <v>394</v>
      </c>
      <c r="B116" s="323">
        <v>113.92</v>
      </c>
      <c r="C116" s="323">
        <v>113.92</v>
      </c>
      <c r="D116" s="323">
        <v>113.92</v>
      </c>
      <c r="E116" s="323">
        <v>113.92</v>
      </c>
      <c r="F116" s="323">
        <v>113.92</v>
      </c>
      <c r="G116" s="323">
        <v>113.92</v>
      </c>
      <c r="H116" s="323">
        <v>113.92</v>
      </c>
      <c r="I116" s="323">
        <v>113.92</v>
      </c>
      <c r="J116" s="323">
        <v>113.92</v>
      </c>
      <c r="K116" s="323">
        <v>113.92</v>
      </c>
      <c r="L116" s="323">
        <v>113.92</v>
      </c>
      <c r="M116" s="323">
        <v>113.92</v>
      </c>
      <c r="N116" s="324">
        <f t="shared" si="16"/>
        <v>1367.0400000000002</v>
      </c>
      <c r="O116" s="97"/>
    </row>
    <row r="117" spans="1:15" ht="16" hidden="1" outlineLevel="1">
      <c r="A117" s="11" t="s">
        <v>395</v>
      </c>
      <c r="B117" s="323">
        <v>1600</v>
      </c>
      <c r="C117" s="323">
        <v>1600</v>
      </c>
      <c r="D117" s="323">
        <v>1600</v>
      </c>
      <c r="E117" s="323">
        <v>1600</v>
      </c>
      <c r="F117" s="323">
        <v>1600</v>
      </c>
      <c r="G117" s="323">
        <v>1600</v>
      </c>
      <c r="H117" s="323">
        <v>1600</v>
      </c>
      <c r="I117" s="323">
        <v>1600</v>
      </c>
      <c r="J117" s="323">
        <v>1600</v>
      </c>
      <c r="K117" s="323">
        <v>1600</v>
      </c>
      <c r="L117" s="323">
        <v>1600</v>
      </c>
      <c r="M117" s="323">
        <v>1600</v>
      </c>
      <c r="N117" s="324">
        <f t="shared" si="16"/>
        <v>19200</v>
      </c>
      <c r="O117" s="97"/>
    </row>
    <row r="118" spans="1:15" ht="16" hidden="1" outlineLevel="1">
      <c r="A118" s="11" t="s">
        <v>396</v>
      </c>
      <c r="B118" s="323">
        <v>1950</v>
      </c>
      <c r="C118" s="323">
        <v>1950</v>
      </c>
      <c r="D118" s="323">
        <v>1950</v>
      </c>
      <c r="E118" s="323">
        <v>1950</v>
      </c>
      <c r="F118" s="323">
        <v>1950</v>
      </c>
      <c r="G118" s="323">
        <v>1950</v>
      </c>
      <c r="H118" s="323">
        <v>1950</v>
      </c>
      <c r="I118" s="323">
        <v>1950</v>
      </c>
      <c r="J118" s="323">
        <v>1950</v>
      </c>
      <c r="K118" s="323">
        <v>1950</v>
      </c>
      <c r="L118" s="323">
        <v>1950</v>
      </c>
      <c r="M118" s="323">
        <v>1950</v>
      </c>
      <c r="N118" s="324">
        <f t="shared" si="16"/>
        <v>23400</v>
      </c>
      <c r="O118" s="97"/>
    </row>
    <row r="119" spans="1:15" ht="16" hidden="1" outlineLevel="1">
      <c r="A119" s="11" t="s">
        <v>397</v>
      </c>
      <c r="B119" s="323">
        <v>138.36000000000001</v>
      </c>
      <c r="C119" s="323">
        <v>138.36000000000001</v>
      </c>
      <c r="D119" s="323">
        <v>138.36000000000001</v>
      </c>
      <c r="E119" s="323">
        <v>138.36000000000001</v>
      </c>
      <c r="F119" s="323">
        <v>138.36000000000001</v>
      </c>
      <c r="G119" s="323">
        <v>138.36000000000001</v>
      </c>
      <c r="H119" s="323">
        <v>138.36000000000001</v>
      </c>
      <c r="I119" s="323">
        <v>138.36000000000001</v>
      </c>
      <c r="J119" s="323">
        <v>138.36000000000001</v>
      </c>
      <c r="K119" s="323">
        <v>138.36000000000001</v>
      </c>
      <c r="L119" s="323">
        <v>138.36000000000001</v>
      </c>
      <c r="M119" s="323">
        <v>138.36000000000001</v>
      </c>
      <c r="N119" s="324">
        <f t="shared" si="16"/>
        <v>1660.3200000000006</v>
      </c>
      <c r="O119" s="97"/>
    </row>
    <row r="120" spans="1:15" ht="16" hidden="1" outlineLevel="1">
      <c r="A120" s="11" t="s">
        <v>398</v>
      </c>
      <c r="B120" s="323">
        <v>180</v>
      </c>
      <c r="C120" s="323">
        <v>180</v>
      </c>
      <c r="D120" s="323">
        <v>180</v>
      </c>
      <c r="E120" s="323">
        <v>180</v>
      </c>
      <c r="F120" s="323">
        <v>180</v>
      </c>
      <c r="G120" s="323">
        <v>180</v>
      </c>
      <c r="H120" s="323">
        <v>180</v>
      </c>
      <c r="I120" s="323">
        <v>180</v>
      </c>
      <c r="J120" s="323">
        <v>180</v>
      </c>
      <c r="K120" s="323">
        <v>180</v>
      </c>
      <c r="L120" s="323">
        <v>180</v>
      </c>
      <c r="M120" s="323">
        <v>180</v>
      </c>
      <c r="N120" s="324">
        <f t="shared" si="16"/>
        <v>2160</v>
      </c>
      <c r="O120" s="97"/>
    </row>
    <row r="121" spans="1:15" ht="16" hidden="1" outlineLevel="1">
      <c r="A121" s="11" t="s">
        <v>399</v>
      </c>
      <c r="B121" s="323">
        <v>900</v>
      </c>
      <c r="C121" s="323">
        <v>900</v>
      </c>
      <c r="D121" s="323">
        <v>900</v>
      </c>
      <c r="E121" s="323">
        <v>900</v>
      </c>
      <c r="F121" s="323">
        <v>900</v>
      </c>
      <c r="G121" s="323">
        <v>900</v>
      </c>
      <c r="H121" s="323">
        <v>900</v>
      </c>
      <c r="I121" s="323">
        <v>900</v>
      </c>
      <c r="J121" s="323">
        <v>900</v>
      </c>
      <c r="K121" s="323">
        <v>900</v>
      </c>
      <c r="L121" s="323">
        <v>900</v>
      </c>
      <c r="M121" s="323">
        <v>900</v>
      </c>
      <c r="N121" s="324">
        <f t="shared" si="16"/>
        <v>10800</v>
      </c>
      <c r="O121" s="97"/>
    </row>
    <row r="122" spans="1:15" ht="16" collapsed="1">
      <c r="A122" s="328" t="s">
        <v>198</v>
      </c>
      <c r="B122" s="327">
        <f>SUM(B112:B121)</f>
        <v>5573.66</v>
      </c>
      <c r="C122" s="327">
        <f t="shared" ref="C122:M122" si="17">SUM(C112:C121)</f>
        <v>4898.0400000000009</v>
      </c>
      <c r="D122" s="327">
        <f t="shared" si="17"/>
        <v>4898.0400000000009</v>
      </c>
      <c r="E122" s="327">
        <f t="shared" si="17"/>
        <v>5573.66</v>
      </c>
      <c r="F122" s="327">
        <f t="shared" si="17"/>
        <v>4898.0400000000009</v>
      </c>
      <c r="G122" s="327">
        <f t="shared" si="17"/>
        <v>4898.0400000000009</v>
      </c>
      <c r="H122" s="327">
        <f t="shared" si="17"/>
        <v>5573.66</v>
      </c>
      <c r="I122" s="327">
        <f t="shared" si="17"/>
        <v>4898.0400000000009</v>
      </c>
      <c r="J122" s="327">
        <f t="shared" si="17"/>
        <v>4898.0400000000009</v>
      </c>
      <c r="K122" s="327">
        <f t="shared" si="17"/>
        <v>5573.66</v>
      </c>
      <c r="L122" s="327">
        <f t="shared" si="17"/>
        <v>6973.17</v>
      </c>
      <c r="M122" s="327">
        <f t="shared" si="17"/>
        <v>4898.0400000000009</v>
      </c>
      <c r="N122" s="331">
        <f>SUM(B122:M122)</f>
        <v>63554.090000000004</v>
      </c>
      <c r="O122" s="97"/>
    </row>
    <row r="123" spans="1:15" ht="16" hidden="1" customHeight="1" outlineLevel="1">
      <c r="A123" s="9" t="s">
        <v>49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229"/>
    </row>
    <row r="124" spans="1:15" ht="16" hidden="1" outlineLevel="1">
      <c r="A124" s="391" t="s">
        <v>400</v>
      </c>
      <c r="B124" s="392" t="s">
        <v>582</v>
      </c>
      <c r="C124" s="392" t="s">
        <v>582</v>
      </c>
      <c r="D124" s="392" t="s">
        <v>582</v>
      </c>
      <c r="E124" s="392" t="s">
        <v>582</v>
      </c>
      <c r="F124" s="392" t="s">
        <v>582</v>
      </c>
      <c r="G124" s="392" t="s">
        <v>582</v>
      </c>
      <c r="H124" s="392" t="s">
        <v>582</v>
      </c>
      <c r="I124" s="392" t="s">
        <v>582</v>
      </c>
      <c r="J124" s="392" t="s">
        <v>582</v>
      </c>
      <c r="K124" s="392" t="s">
        <v>582</v>
      </c>
      <c r="L124" s="392" t="s">
        <v>582</v>
      </c>
      <c r="M124" s="392" t="s">
        <v>582</v>
      </c>
      <c r="N124" s="393">
        <f t="shared" ref="N124:N129" si="18">SUM(B124:M124)</f>
        <v>0</v>
      </c>
      <c r="O124" s="256" t="s">
        <v>641</v>
      </c>
    </row>
    <row r="125" spans="1:15" ht="16" hidden="1" outlineLevel="1">
      <c r="A125" s="11" t="s">
        <v>402</v>
      </c>
      <c r="B125" s="323">
        <v>255</v>
      </c>
      <c r="C125" s="323">
        <v>255</v>
      </c>
      <c r="D125" s="323">
        <v>255</v>
      </c>
      <c r="E125" s="323">
        <v>255</v>
      </c>
      <c r="F125" s="323">
        <v>255</v>
      </c>
      <c r="G125" s="323">
        <v>255</v>
      </c>
      <c r="H125" s="323">
        <v>255</v>
      </c>
      <c r="I125" s="323">
        <v>255</v>
      </c>
      <c r="J125" s="323">
        <v>255</v>
      </c>
      <c r="K125" s="323">
        <v>255</v>
      </c>
      <c r="L125" s="323">
        <v>255</v>
      </c>
      <c r="M125" s="323">
        <v>255</v>
      </c>
      <c r="N125" s="321">
        <f t="shared" si="18"/>
        <v>3060</v>
      </c>
      <c r="O125" s="256" t="s">
        <v>629</v>
      </c>
    </row>
    <row r="126" spans="1:15" ht="16" hidden="1" outlineLevel="1">
      <c r="A126" s="391" t="s">
        <v>403</v>
      </c>
      <c r="B126" s="392"/>
      <c r="C126" s="392"/>
      <c r="D126" s="392"/>
      <c r="E126" s="392"/>
      <c r="F126" s="392"/>
      <c r="G126" s="392"/>
      <c r="H126" s="392"/>
      <c r="I126" s="392"/>
      <c r="J126" s="392"/>
      <c r="K126" s="392"/>
      <c r="L126" s="392"/>
      <c r="M126" s="392"/>
      <c r="N126" s="393" t="s">
        <v>675</v>
      </c>
      <c r="O126" s="233" t="s">
        <v>676</v>
      </c>
    </row>
    <row r="127" spans="1:15" ht="16" hidden="1" outlineLevel="1">
      <c r="A127" s="11" t="s">
        <v>404</v>
      </c>
      <c r="B127" s="323">
        <v>2185</v>
      </c>
      <c r="C127" s="323">
        <v>2185</v>
      </c>
      <c r="D127" s="323">
        <v>2185</v>
      </c>
      <c r="E127" s="323">
        <v>2185</v>
      </c>
      <c r="F127" s="323">
        <v>2185</v>
      </c>
      <c r="G127" s="323">
        <v>2185</v>
      </c>
      <c r="H127" s="323">
        <v>2185</v>
      </c>
      <c r="I127" s="323">
        <v>2185</v>
      </c>
      <c r="J127" s="323">
        <v>2185</v>
      </c>
      <c r="K127" s="323">
        <v>2185</v>
      </c>
      <c r="L127" s="323">
        <v>2185</v>
      </c>
      <c r="M127" s="323">
        <v>2185</v>
      </c>
      <c r="N127" s="321">
        <f t="shared" si="18"/>
        <v>26220</v>
      </c>
      <c r="O127" s="256" t="s">
        <v>629</v>
      </c>
    </row>
    <row r="128" spans="1:15" ht="16" hidden="1" outlineLevel="1">
      <c r="A128" s="11" t="s">
        <v>405</v>
      </c>
      <c r="B128" s="323">
        <v>465</v>
      </c>
      <c r="C128" s="323">
        <v>465</v>
      </c>
      <c r="D128" s="323">
        <v>465</v>
      </c>
      <c r="E128" s="323">
        <v>465</v>
      </c>
      <c r="F128" s="323">
        <v>465</v>
      </c>
      <c r="G128" s="323">
        <v>465</v>
      </c>
      <c r="H128" s="323">
        <v>465</v>
      </c>
      <c r="I128" s="323">
        <v>465</v>
      </c>
      <c r="J128" s="323">
        <v>465</v>
      </c>
      <c r="K128" s="323">
        <v>465</v>
      </c>
      <c r="L128" s="323">
        <v>465</v>
      </c>
      <c r="M128" s="323">
        <v>465</v>
      </c>
      <c r="N128" s="321">
        <f t="shared" si="18"/>
        <v>5580</v>
      </c>
      <c r="O128" s="256" t="s">
        <v>629</v>
      </c>
    </row>
    <row r="129" spans="1:18" ht="16" hidden="1" outlineLevel="1">
      <c r="A129" s="11" t="s">
        <v>406</v>
      </c>
      <c r="B129" s="323">
        <v>645</v>
      </c>
      <c r="C129" s="323">
        <v>645</v>
      </c>
      <c r="D129" s="323">
        <v>645</v>
      </c>
      <c r="E129" s="323">
        <v>645</v>
      </c>
      <c r="F129" s="323">
        <v>645</v>
      </c>
      <c r="G129" s="323">
        <v>645</v>
      </c>
      <c r="H129" s="323">
        <v>645</v>
      </c>
      <c r="I129" s="323">
        <v>645</v>
      </c>
      <c r="J129" s="323">
        <v>645</v>
      </c>
      <c r="K129" s="323">
        <v>645</v>
      </c>
      <c r="L129" s="323">
        <v>645</v>
      </c>
      <c r="M129" s="323">
        <v>645</v>
      </c>
      <c r="N129" s="321">
        <f t="shared" si="18"/>
        <v>7740</v>
      </c>
      <c r="O129" s="256" t="s">
        <v>629</v>
      </c>
    </row>
    <row r="130" spans="1:18" ht="16" hidden="1" outlineLevel="1">
      <c r="A130" s="11" t="s">
        <v>407</v>
      </c>
      <c r="B130" s="323">
        <v>1478.88</v>
      </c>
      <c r="C130" s="323">
        <v>1478.88</v>
      </c>
      <c r="D130" s="323">
        <v>1478.88</v>
      </c>
      <c r="E130" s="323">
        <v>1478.88</v>
      </c>
      <c r="F130" s="323">
        <v>1478.88</v>
      </c>
      <c r="G130" s="323">
        <v>1478.88</v>
      </c>
      <c r="H130" s="323">
        <v>1478.88</v>
      </c>
      <c r="I130" s="323">
        <v>1478.88</v>
      </c>
      <c r="J130" s="323">
        <v>1478.88</v>
      </c>
      <c r="K130" s="323">
        <v>1478.88</v>
      </c>
      <c r="L130" s="323">
        <v>1478.88</v>
      </c>
      <c r="M130" s="323">
        <v>1478.88</v>
      </c>
      <c r="N130" s="324">
        <f>SUM(B130:M130)</f>
        <v>17746.560000000005</v>
      </c>
      <c r="O130" s="256" t="s">
        <v>642</v>
      </c>
    </row>
    <row r="131" spans="1:18" ht="16" collapsed="1">
      <c r="A131" s="9" t="s">
        <v>199</v>
      </c>
      <c r="B131" s="327">
        <f t="shared" ref="B131:M131" si="19">SUM(B124:B130)</f>
        <v>5028.88</v>
      </c>
      <c r="C131" s="327">
        <f t="shared" si="19"/>
        <v>5028.88</v>
      </c>
      <c r="D131" s="327">
        <f t="shared" si="19"/>
        <v>5028.88</v>
      </c>
      <c r="E131" s="327">
        <f t="shared" si="19"/>
        <v>5028.88</v>
      </c>
      <c r="F131" s="327">
        <f t="shared" si="19"/>
        <v>5028.88</v>
      </c>
      <c r="G131" s="327">
        <f t="shared" si="19"/>
        <v>5028.88</v>
      </c>
      <c r="H131" s="327">
        <f t="shared" si="19"/>
        <v>5028.88</v>
      </c>
      <c r="I131" s="327">
        <f t="shared" si="19"/>
        <v>5028.88</v>
      </c>
      <c r="J131" s="327">
        <f t="shared" si="19"/>
        <v>5028.88</v>
      </c>
      <c r="K131" s="327">
        <f t="shared" si="19"/>
        <v>5028.88</v>
      </c>
      <c r="L131" s="327">
        <f t="shared" si="19"/>
        <v>5028.88</v>
      </c>
      <c r="M131" s="327">
        <f t="shared" si="19"/>
        <v>5028.88</v>
      </c>
      <c r="N131" s="331">
        <f>SUM(B131:M131)</f>
        <v>60346.55999999999</v>
      </c>
      <c r="O131" s="97"/>
    </row>
    <row r="132" spans="1:18" ht="16" hidden="1" outlineLevel="1">
      <c r="A132" s="9" t="s">
        <v>408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spans="1:18" ht="16" hidden="1" outlineLevel="1">
      <c r="A133" s="11" t="s">
        <v>409</v>
      </c>
      <c r="B133" s="97">
        <f t="shared" ref="B133:M133" si="20">102000/12</f>
        <v>8500</v>
      </c>
      <c r="C133" s="97">
        <f t="shared" si="20"/>
        <v>8500</v>
      </c>
      <c r="D133" s="97">
        <f t="shared" si="20"/>
        <v>8500</v>
      </c>
      <c r="E133" s="97">
        <f t="shared" si="20"/>
        <v>8500</v>
      </c>
      <c r="F133" s="97">
        <f t="shared" si="20"/>
        <v>8500</v>
      </c>
      <c r="G133" s="97">
        <f t="shared" si="20"/>
        <v>8500</v>
      </c>
      <c r="H133" s="97">
        <f t="shared" si="20"/>
        <v>8500</v>
      </c>
      <c r="I133" s="97">
        <f t="shared" si="20"/>
        <v>8500</v>
      </c>
      <c r="J133" s="97">
        <f t="shared" si="20"/>
        <v>8500</v>
      </c>
      <c r="K133" s="97">
        <f t="shared" si="20"/>
        <v>8500</v>
      </c>
      <c r="L133" s="97">
        <f t="shared" si="20"/>
        <v>8500</v>
      </c>
      <c r="M133" s="97">
        <f t="shared" si="20"/>
        <v>8500</v>
      </c>
      <c r="N133" s="96">
        <f>SUM(B133:M133)</f>
        <v>102000</v>
      </c>
      <c r="O133" s="97"/>
    </row>
    <row r="134" spans="1:18" ht="16" hidden="1" outlineLevel="1">
      <c r="A134" s="11" t="s">
        <v>410</v>
      </c>
      <c r="B134" s="97">
        <v>12640</v>
      </c>
      <c r="C134" s="97">
        <v>12640</v>
      </c>
      <c r="D134" s="97">
        <v>12640</v>
      </c>
      <c r="E134" s="97">
        <v>12640</v>
      </c>
      <c r="F134" s="97">
        <v>12640</v>
      </c>
      <c r="G134" s="97">
        <v>12640</v>
      </c>
      <c r="H134" s="97">
        <v>12640</v>
      </c>
      <c r="I134" s="97">
        <v>12640</v>
      </c>
      <c r="J134" s="97">
        <v>12640</v>
      </c>
      <c r="K134" s="97">
        <v>12640</v>
      </c>
      <c r="L134" s="97">
        <v>12640</v>
      </c>
      <c r="M134" s="97">
        <v>12640</v>
      </c>
      <c r="N134" s="96">
        <f>SUM(B134:M134)</f>
        <v>151680</v>
      </c>
      <c r="O134" s="97"/>
    </row>
    <row r="135" spans="1:18" ht="16" collapsed="1">
      <c r="A135" s="9" t="s">
        <v>200</v>
      </c>
      <c r="B135" s="327">
        <f>SUM(B133:B134)</f>
        <v>21140</v>
      </c>
      <c r="C135" s="327">
        <f t="shared" ref="C135:M135" si="21">SUM(C133:C134)</f>
        <v>21140</v>
      </c>
      <c r="D135" s="327">
        <f t="shared" si="21"/>
        <v>21140</v>
      </c>
      <c r="E135" s="327">
        <f t="shared" si="21"/>
        <v>21140</v>
      </c>
      <c r="F135" s="327">
        <f t="shared" si="21"/>
        <v>21140</v>
      </c>
      <c r="G135" s="327">
        <f t="shared" si="21"/>
        <v>21140</v>
      </c>
      <c r="H135" s="327">
        <f t="shared" si="21"/>
        <v>21140</v>
      </c>
      <c r="I135" s="327">
        <f t="shared" si="21"/>
        <v>21140</v>
      </c>
      <c r="J135" s="327">
        <f t="shared" si="21"/>
        <v>21140</v>
      </c>
      <c r="K135" s="327">
        <f t="shared" si="21"/>
        <v>21140</v>
      </c>
      <c r="L135" s="327">
        <f t="shared" si="21"/>
        <v>21140</v>
      </c>
      <c r="M135" s="327">
        <f t="shared" si="21"/>
        <v>21140</v>
      </c>
      <c r="N135" s="331">
        <f>SUM(B135:M135)</f>
        <v>253680</v>
      </c>
      <c r="O135" s="97"/>
    </row>
    <row r="136" spans="1:18" ht="16" hidden="1" outlineLevel="1">
      <c r="A136" s="9" t="s">
        <v>412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8" ht="16" hidden="1" outlineLevel="1">
      <c r="A137" s="340" t="s">
        <v>413</v>
      </c>
      <c r="B137" s="341">
        <v>0</v>
      </c>
      <c r="C137" s="341">
        <v>0</v>
      </c>
      <c r="D137" s="341">
        <v>0</v>
      </c>
      <c r="E137" s="341">
        <v>0</v>
      </c>
      <c r="F137" s="341">
        <v>0</v>
      </c>
      <c r="G137" s="341">
        <v>0</v>
      </c>
      <c r="H137" s="341">
        <v>0</v>
      </c>
      <c r="I137" s="341">
        <v>0</v>
      </c>
      <c r="J137" s="341">
        <v>0</v>
      </c>
      <c r="K137" s="341">
        <v>0</v>
      </c>
      <c r="L137" s="341">
        <v>0</v>
      </c>
      <c r="M137" s="341">
        <v>0</v>
      </c>
      <c r="N137" s="342">
        <f t="shared" ref="N137" si="22">SUM(B137:M137)</f>
        <v>0</v>
      </c>
      <c r="O137" s="97"/>
    </row>
    <row r="138" spans="1:18" ht="16" hidden="1" outlineLevel="1">
      <c r="A138" s="11" t="s">
        <v>414</v>
      </c>
      <c r="B138" s="316">
        <v>9750</v>
      </c>
      <c r="C138" s="316">
        <v>9750</v>
      </c>
      <c r="D138" s="316">
        <v>9750</v>
      </c>
      <c r="E138" s="316">
        <v>9750</v>
      </c>
      <c r="F138" s="316">
        <v>9750</v>
      </c>
      <c r="G138" s="316">
        <v>9750</v>
      </c>
      <c r="H138" s="316">
        <v>9750</v>
      </c>
      <c r="I138" s="316">
        <v>9750</v>
      </c>
      <c r="J138" s="316">
        <v>9750</v>
      </c>
      <c r="K138" s="316">
        <v>9750</v>
      </c>
      <c r="L138" s="316">
        <v>9750</v>
      </c>
      <c r="M138" s="316">
        <v>9750</v>
      </c>
      <c r="N138" s="77">
        <f>SUM(B138:M138)</f>
        <v>117000</v>
      </c>
      <c r="O138" s="97"/>
      <c r="P138" s="316"/>
      <c r="R138" s="230"/>
    </row>
    <row r="139" spans="1:18" ht="16" hidden="1" outlineLevel="1">
      <c r="A139" s="11" t="s">
        <v>415</v>
      </c>
      <c r="B139" s="319">
        <f>B138*6.2%</f>
        <v>604.5</v>
      </c>
      <c r="C139" s="319">
        <f t="shared" ref="C139:M139" si="23">C138*6.2%</f>
        <v>604.5</v>
      </c>
      <c r="D139" s="319">
        <f t="shared" si="23"/>
        <v>604.5</v>
      </c>
      <c r="E139" s="319">
        <f t="shared" si="23"/>
        <v>604.5</v>
      </c>
      <c r="F139" s="319">
        <f t="shared" si="23"/>
        <v>604.5</v>
      </c>
      <c r="G139" s="319">
        <f t="shared" si="23"/>
        <v>604.5</v>
      </c>
      <c r="H139" s="319">
        <f t="shared" si="23"/>
        <v>604.5</v>
      </c>
      <c r="I139" s="319">
        <f t="shared" si="23"/>
        <v>604.5</v>
      </c>
      <c r="J139" s="319">
        <f t="shared" si="23"/>
        <v>604.5</v>
      </c>
      <c r="K139" s="319">
        <f t="shared" si="23"/>
        <v>604.5</v>
      </c>
      <c r="L139" s="319">
        <f t="shared" si="23"/>
        <v>604.5</v>
      </c>
      <c r="M139" s="319">
        <f t="shared" si="23"/>
        <v>604.5</v>
      </c>
      <c r="N139" s="77">
        <f t="shared" ref="N139:N150" si="24">SUM(B139:M139)</f>
        <v>7254</v>
      </c>
      <c r="O139" s="97"/>
    </row>
    <row r="140" spans="1:18" ht="16" hidden="1" outlineLevel="1">
      <c r="A140" s="11" t="s">
        <v>416</v>
      </c>
      <c r="B140" s="316">
        <f>B138*1.45%</f>
        <v>141.375</v>
      </c>
      <c r="C140" s="316">
        <f t="shared" ref="C140:M140" si="25">C138*1.45%</f>
        <v>141.375</v>
      </c>
      <c r="D140" s="316">
        <f t="shared" si="25"/>
        <v>141.375</v>
      </c>
      <c r="E140" s="316">
        <f t="shared" si="25"/>
        <v>141.375</v>
      </c>
      <c r="F140" s="316">
        <f t="shared" si="25"/>
        <v>141.375</v>
      </c>
      <c r="G140" s="316">
        <f t="shared" si="25"/>
        <v>141.375</v>
      </c>
      <c r="H140" s="316">
        <f t="shared" si="25"/>
        <v>141.375</v>
      </c>
      <c r="I140" s="316">
        <f t="shared" si="25"/>
        <v>141.375</v>
      </c>
      <c r="J140" s="316">
        <f t="shared" si="25"/>
        <v>141.375</v>
      </c>
      <c r="K140" s="316">
        <f t="shared" si="25"/>
        <v>141.375</v>
      </c>
      <c r="L140" s="316">
        <f t="shared" si="25"/>
        <v>141.375</v>
      </c>
      <c r="M140" s="316">
        <f t="shared" si="25"/>
        <v>141.375</v>
      </c>
      <c r="N140" s="77">
        <f t="shared" si="24"/>
        <v>1696.5</v>
      </c>
      <c r="O140" s="97"/>
    </row>
    <row r="141" spans="1:18" ht="16" hidden="1" outlineLevel="1">
      <c r="A141" s="11" t="s">
        <v>417</v>
      </c>
      <c r="B141" s="316">
        <f>(14000*6%)/12</f>
        <v>70</v>
      </c>
      <c r="C141" s="316">
        <f t="shared" ref="C141:M141" si="26">(14000*6%)/12</f>
        <v>70</v>
      </c>
      <c r="D141" s="316">
        <f t="shared" si="26"/>
        <v>70</v>
      </c>
      <c r="E141" s="316">
        <f t="shared" si="26"/>
        <v>70</v>
      </c>
      <c r="F141" s="316">
        <f t="shared" si="26"/>
        <v>70</v>
      </c>
      <c r="G141" s="316">
        <f t="shared" si="26"/>
        <v>70</v>
      </c>
      <c r="H141" s="316">
        <f t="shared" si="26"/>
        <v>70</v>
      </c>
      <c r="I141" s="316">
        <f t="shared" si="26"/>
        <v>70</v>
      </c>
      <c r="J141" s="316">
        <f t="shared" si="26"/>
        <v>70</v>
      </c>
      <c r="K141" s="316">
        <f t="shared" si="26"/>
        <v>70</v>
      </c>
      <c r="L141" s="316">
        <f t="shared" si="26"/>
        <v>70</v>
      </c>
      <c r="M141" s="316">
        <f t="shared" si="26"/>
        <v>70</v>
      </c>
      <c r="N141" s="77">
        <f t="shared" si="24"/>
        <v>840</v>
      </c>
      <c r="O141" s="256"/>
    </row>
    <row r="142" spans="1:18" ht="16" hidden="1" outlineLevel="1">
      <c r="A142" s="11" t="s">
        <v>418</v>
      </c>
      <c r="B142" s="316">
        <f>B138*0.27%</f>
        <v>26.325000000000003</v>
      </c>
      <c r="C142" s="316">
        <f>C138*0.27%</f>
        <v>26.325000000000003</v>
      </c>
      <c r="D142" s="316">
        <f t="shared" ref="D142:M142" si="27">D138*0.27%</f>
        <v>26.325000000000003</v>
      </c>
      <c r="E142" s="316">
        <f t="shared" si="27"/>
        <v>26.325000000000003</v>
      </c>
      <c r="F142" s="316">
        <f t="shared" si="27"/>
        <v>26.325000000000003</v>
      </c>
      <c r="G142" s="316">
        <f t="shared" si="27"/>
        <v>26.325000000000003</v>
      </c>
      <c r="H142" s="316">
        <f t="shared" si="27"/>
        <v>26.325000000000003</v>
      </c>
      <c r="I142" s="316">
        <f t="shared" si="27"/>
        <v>26.325000000000003</v>
      </c>
      <c r="J142" s="316">
        <f t="shared" si="27"/>
        <v>26.325000000000003</v>
      </c>
      <c r="K142" s="316">
        <f t="shared" si="27"/>
        <v>26.325000000000003</v>
      </c>
      <c r="L142" s="316">
        <f t="shared" si="27"/>
        <v>26.325000000000003</v>
      </c>
      <c r="M142" s="316">
        <f t="shared" si="27"/>
        <v>26.325000000000003</v>
      </c>
      <c r="N142" s="77">
        <f t="shared" si="24"/>
        <v>315.89999999999992</v>
      </c>
      <c r="O142" s="256"/>
    </row>
    <row r="143" spans="1:18" ht="16" hidden="1" outlineLevel="1">
      <c r="A143" s="332" t="s">
        <v>419</v>
      </c>
      <c r="B143" s="325">
        <f>383</f>
        <v>383</v>
      </c>
      <c r="C143" s="325">
        <f>383</f>
        <v>383</v>
      </c>
      <c r="D143" s="325">
        <f>383</f>
        <v>383</v>
      </c>
      <c r="E143" s="325">
        <f>383</f>
        <v>383</v>
      </c>
      <c r="F143" s="325">
        <f>383</f>
        <v>383</v>
      </c>
      <c r="G143" s="325">
        <f>383</f>
        <v>383</v>
      </c>
      <c r="H143" s="325">
        <f>383</f>
        <v>383</v>
      </c>
      <c r="I143" s="325">
        <f>383</f>
        <v>383</v>
      </c>
      <c r="J143" s="325">
        <f>383</f>
        <v>383</v>
      </c>
      <c r="K143" s="325">
        <f>383</f>
        <v>383</v>
      </c>
      <c r="L143" s="325">
        <f>383</f>
        <v>383</v>
      </c>
      <c r="M143" s="325">
        <f>383</f>
        <v>383</v>
      </c>
      <c r="N143" s="263">
        <f t="shared" si="24"/>
        <v>4596</v>
      </c>
      <c r="O143" s="394" t="s">
        <v>678</v>
      </c>
    </row>
    <row r="144" spans="1:18" ht="16" hidden="1" outlineLevel="1">
      <c r="A144" s="332" t="s">
        <v>420</v>
      </c>
      <c r="B144" s="325">
        <v>45.5</v>
      </c>
      <c r="C144" s="325">
        <v>45.5</v>
      </c>
      <c r="D144" s="325">
        <v>45.5</v>
      </c>
      <c r="E144" s="325">
        <v>45.5</v>
      </c>
      <c r="F144" s="325">
        <v>45.5</v>
      </c>
      <c r="G144" s="325">
        <v>45.5</v>
      </c>
      <c r="H144" s="325">
        <v>45.5</v>
      </c>
      <c r="I144" s="325">
        <v>45.5</v>
      </c>
      <c r="J144" s="325">
        <v>45.5</v>
      </c>
      <c r="K144" s="325">
        <v>45.5</v>
      </c>
      <c r="L144" s="325">
        <v>45.5</v>
      </c>
      <c r="M144" s="325">
        <v>45.5</v>
      </c>
      <c r="N144" s="263">
        <f t="shared" si="24"/>
        <v>546</v>
      </c>
      <c r="O144" s="394" t="s">
        <v>644</v>
      </c>
    </row>
    <row r="145" spans="1:17" ht="16" hidden="1" outlineLevel="1">
      <c r="A145" s="332" t="s">
        <v>421</v>
      </c>
      <c r="B145" s="325">
        <f t="shared" ref="B145:M145" si="28">1380/12</f>
        <v>115</v>
      </c>
      <c r="C145" s="325">
        <f t="shared" si="28"/>
        <v>115</v>
      </c>
      <c r="D145" s="325">
        <f t="shared" si="28"/>
        <v>115</v>
      </c>
      <c r="E145" s="325">
        <f t="shared" si="28"/>
        <v>115</v>
      </c>
      <c r="F145" s="325">
        <f t="shared" si="28"/>
        <v>115</v>
      </c>
      <c r="G145" s="325">
        <f t="shared" si="28"/>
        <v>115</v>
      </c>
      <c r="H145" s="325">
        <f t="shared" si="28"/>
        <v>115</v>
      </c>
      <c r="I145" s="325">
        <f t="shared" si="28"/>
        <v>115</v>
      </c>
      <c r="J145" s="325">
        <f t="shared" si="28"/>
        <v>115</v>
      </c>
      <c r="K145" s="325">
        <f t="shared" si="28"/>
        <v>115</v>
      </c>
      <c r="L145" s="325">
        <f t="shared" si="28"/>
        <v>115</v>
      </c>
      <c r="M145" s="325">
        <f t="shared" si="28"/>
        <v>115</v>
      </c>
      <c r="N145" s="263">
        <f t="shared" si="24"/>
        <v>1380</v>
      </c>
      <c r="O145" s="395" t="s">
        <v>679</v>
      </c>
    </row>
    <row r="146" spans="1:17" ht="16" hidden="1" outlineLevel="1">
      <c r="A146" s="11" t="s">
        <v>422</v>
      </c>
      <c r="B146" s="316"/>
      <c r="C146" s="316"/>
      <c r="D146" s="316">
        <v>750</v>
      </c>
      <c r="E146" s="316"/>
      <c r="F146" s="316"/>
      <c r="G146" s="316">
        <v>750</v>
      </c>
      <c r="H146" s="316"/>
      <c r="I146" s="316"/>
      <c r="J146" s="316">
        <v>750</v>
      </c>
      <c r="K146" s="316"/>
      <c r="L146" s="316"/>
      <c r="M146" s="316">
        <f>750 + 2500</f>
        <v>3250</v>
      </c>
      <c r="N146" s="77">
        <f t="shared" si="24"/>
        <v>5500</v>
      </c>
      <c r="O146" s="97" t="s">
        <v>677</v>
      </c>
      <c r="Q146" s="396">
        <f t="shared" ref="Q146" si="29">SUM(S146:AD146)</f>
        <v>0</v>
      </c>
    </row>
    <row r="147" spans="1:17" ht="16" hidden="1" outlineLevel="1">
      <c r="A147" s="11" t="s">
        <v>423</v>
      </c>
      <c r="B147" s="316">
        <v>29</v>
      </c>
      <c r="C147" s="316">
        <v>29</v>
      </c>
      <c r="D147" s="316">
        <v>29</v>
      </c>
      <c r="E147" s="316">
        <v>29</v>
      </c>
      <c r="F147" s="316">
        <v>29</v>
      </c>
      <c r="G147" s="316">
        <v>29</v>
      </c>
      <c r="H147" s="316">
        <v>29</v>
      </c>
      <c r="I147" s="316">
        <v>29</v>
      </c>
      <c r="J147" s="316">
        <v>29</v>
      </c>
      <c r="K147" s="316">
        <v>29</v>
      </c>
      <c r="L147" s="316">
        <v>29</v>
      </c>
      <c r="M147" s="316">
        <v>29</v>
      </c>
      <c r="N147" s="77">
        <f t="shared" si="24"/>
        <v>348</v>
      </c>
      <c r="O147" s="97"/>
    </row>
    <row r="148" spans="1:17" ht="16" hidden="1" outlineLevel="1">
      <c r="A148" s="11" t="s">
        <v>424</v>
      </c>
      <c r="B148" s="316">
        <v>77</v>
      </c>
      <c r="C148" s="316">
        <v>77</v>
      </c>
      <c r="D148" s="316">
        <v>77</v>
      </c>
      <c r="E148" s="316">
        <v>77</v>
      </c>
      <c r="F148" s="316">
        <v>77</v>
      </c>
      <c r="G148" s="316">
        <v>77</v>
      </c>
      <c r="H148" s="316">
        <v>77</v>
      </c>
      <c r="I148" s="316">
        <v>77</v>
      </c>
      <c r="J148" s="316">
        <v>77</v>
      </c>
      <c r="K148" s="316">
        <v>77</v>
      </c>
      <c r="L148" s="316">
        <v>77</v>
      </c>
      <c r="M148" s="316">
        <v>77</v>
      </c>
      <c r="N148" s="77">
        <f t="shared" si="24"/>
        <v>924</v>
      </c>
      <c r="O148" s="97"/>
    </row>
    <row r="149" spans="1:17" ht="16" hidden="1" outlineLevel="1">
      <c r="A149" s="11" t="s">
        <v>425</v>
      </c>
      <c r="B149" s="316">
        <v>500</v>
      </c>
      <c r="C149" s="316">
        <v>500</v>
      </c>
      <c r="D149" s="316">
        <v>500</v>
      </c>
      <c r="E149" s="316">
        <v>500</v>
      </c>
      <c r="F149" s="316">
        <v>500</v>
      </c>
      <c r="G149" s="316">
        <v>500</v>
      </c>
      <c r="H149" s="316">
        <v>500</v>
      </c>
      <c r="I149" s="316">
        <v>500</v>
      </c>
      <c r="J149" s="316">
        <v>500</v>
      </c>
      <c r="K149" s="316">
        <v>500</v>
      </c>
      <c r="L149" s="316">
        <v>500</v>
      </c>
      <c r="M149" s="316">
        <v>500</v>
      </c>
      <c r="N149" s="77">
        <f t="shared" si="24"/>
        <v>6000</v>
      </c>
      <c r="O149" s="97"/>
    </row>
    <row r="150" spans="1:17" ht="16" hidden="1" outlineLevel="1">
      <c r="A150" s="11" t="s">
        <v>426</v>
      </c>
      <c r="B150" s="316">
        <v>500</v>
      </c>
      <c r="C150" s="316">
        <v>500</v>
      </c>
      <c r="D150" s="316">
        <v>500</v>
      </c>
      <c r="E150" s="316">
        <v>500</v>
      </c>
      <c r="F150" s="316">
        <v>500</v>
      </c>
      <c r="G150" s="316">
        <v>500</v>
      </c>
      <c r="H150" s="316">
        <v>500</v>
      </c>
      <c r="I150" s="316">
        <v>500</v>
      </c>
      <c r="J150" s="316">
        <v>500</v>
      </c>
      <c r="K150" s="316">
        <v>500</v>
      </c>
      <c r="L150" s="316">
        <v>500</v>
      </c>
      <c r="M150" s="316">
        <v>500</v>
      </c>
      <c r="N150" s="77">
        <f t="shared" si="24"/>
        <v>6000</v>
      </c>
      <c r="O150" s="97" t="s">
        <v>643</v>
      </c>
    </row>
    <row r="151" spans="1:17" ht="16">
      <c r="A151" s="9" t="s">
        <v>202</v>
      </c>
      <c r="B151" s="327">
        <f>SUM(B138:B150)</f>
        <v>12241.7</v>
      </c>
      <c r="C151" s="327">
        <f t="shared" ref="C151:M151" si="30">SUM(C138:C150)</f>
        <v>12241.7</v>
      </c>
      <c r="D151" s="327">
        <f t="shared" si="30"/>
        <v>12991.7</v>
      </c>
      <c r="E151" s="327">
        <f t="shared" si="30"/>
        <v>12241.7</v>
      </c>
      <c r="F151" s="327">
        <f t="shared" si="30"/>
        <v>12241.7</v>
      </c>
      <c r="G151" s="327">
        <f t="shared" si="30"/>
        <v>12991.7</v>
      </c>
      <c r="H151" s="327">
        <f t="shared" si="30"/>
        <v>12241.7</v>
      </c>
      <c r="I151" s="327">
        <f t="shared" si="30"/>
        <v>12241.7</v>
      </c>
      <c r="J151" s="327">
        <f t="shared" si="30"/>
        <v>12991.7</v>
      </c>
      <c r="K151" s="327">
        <f t="shared" si="30"/>
        <v>12241.7</v>
      </c>
      <c r="L151" s="327">
        <f t="shared" si="30"/>
        <v>12241.7</v>
      </c>
      <c r="M151" s="327">
        <f t="shared" si="30"/>
        <v>15491.7</v>
      </c>
      <c r="N151" s="343">
        <f t="shared" ref="N151" si="31">SUM(B151:M151)</f>
        <v>152400.4</v>
      </c>
      <c r="O151" s="97"/>
    </row>
    <row r="152" spans="1:17" ht="17" thickBot="1">
      <c r="A152" s="9" t="s">
        <v>203</v>
      </c>
      <c r="B152" s="348">
        <f t="shared" ref="B152:M152" si="32">B51+B77+B86+B96+B110+B122+B131+B135+B151</f>
        <v>60364.289999999994</v>
      </c>
      <c r="C152" s="348">
        <f t="shared" si="32"/>
        <v>60001.39</v>
      </c>
      <c r="D152" s="348">
        <f t="shared" si="32"/>
        <v>59354.67</v>
      </c>
      <c r="E152" s="348">
        <f t="shared" si="32"/>
        <v>66403.108172974447</v>
      </c>
      <c r="F152" s="348">
        <f t="shared" si="32"/>
        <v>59906.71117607152</v>
      </c>
      <c r="G152" s="348">
        <f t="shared" si="32"/>
        <v>59961.902287200413</v>
      </c>
      <c r="H152" s="348">
        <f t="shared" si="32"/>
        <v>60521.982960789508</v>
      </c>
      <c r="I152" s="348">
        <f t="shared" si="32"/>
        <v>64754.107271718938</v>
      </c>
      <c r="J152" s="348">
        <f t="shared" si="32"/>
        <v>61249.07269686785</v>
      </c>
      <c r="K152" s="348">
        <f t="shared" si="32"/>
        <v>59486.145941059338</v>
      </c>
      <c r="L152" s="348">
        <f t="shared" si="32"/>
        <v>60900.435881423968</v>
      </c>
      <c r="M152" s="348">
        <f t="shared" si="32"/>
        <v>62292.76911263424</v>
      </c>
      <c r="N152" s="349">
        <f>SUM(B152:M152)</f>
        <v>735196.58550074033</v>
      </c>
    </row>
    <row r="153" spans="1:17" ht="17" thickTop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1:17" ht="17" thickBot="1">
      <c r="A154" s="328" t="s">
        <v>427</v>
      </c>
      <c r="B154" s="344">
        <f t="shared" ref="B154:N154" si="33">B45-B152</f>
        <v>79681.910000000018</v>
      </c>
      <c r="C154" s="344">
        <f t="shared" si="33"/>
        <v>81408.450000000026</v>
      </c>
      <c r="D154" s="344">
        <f t="shared" si="33"/>
        <v>77018.374425000031</v>
      </c>
      <c r="E154" s="344">
        <f t="shared" si="33"/>
        <v>94357.497592840591</v>
      </c>
      <c r="F154" s="344">
        <f t="shared" si="33"/>
        <v>100149.66135964589</v>
      </c>
      <c r="G154" s="344">
        <f t="shared" si="33"/>
        <v>100279.17395281343</v>
      </c>
      <c r="H154" s="344">
        <f t="shared" si="33"/>
        <v>100867.78239886083</v>
      </c>
      <c r="I154" s="344">
        <f t="shared" si="33"/>
        <v>96893.801785578777</v>
      </c>
      <c r="J154" s="344">
        <f t="shared" si="33"/>
        <v>101897.68386539358</v>
      </c>
      <c r="K154" s="344">
        <f t="shared" si="33"/>
        <v>104644.05209425176</v>
      </c>
      <c r="L154" s="344">
        <f t="shared" si="33"/>
        <v>103317.4268327083</v>
      </c>
      <c r="M154" s="344">
        <f t="shared" si="33"/>
        <v>103377.20130850695</v>
      </c>
      <c r="N154" s="344">
        <f t="shared" si="33"/>
        <v>1143893.0156156002</v>
      </c>
      <c r="O154" s="97"/>
    </row>
    <row r="155" spans="1:17" ht="16">
      <c r="A155" s="330"/>
      <c r="B155" s="330"/>
      <c r="C155" s="330"/>
      <c r="D155" s="330"/>
      <c r="E155" s="330"/>
      <c r="F155" s="330"/>
      <c r="G155" s="330"/>
      <c r="H155" s="330"/>
      <c r="I155" s="330"/>
      <c r="J155" s="330"/>
      <c r="K155" s="330"/>
      <c r="L155" s="330"/>
      <c r="M155" s="330"/>
      <c r="N155" s="330"/>
    </row>
    <row r="156" spans="1:17" ht="16">
      <c r="A156" s="328" t="s">
        <v>134</v>
      </c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</row>
    <row r="157" spans="1:17" ht="16">
      <c r="A157" s="328" t="s">
        <v>301</v>
      </c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</row>
    <row r="158" spans="1:17" ht="16">
      <c r="A158" s="330" t="s">
        <v>428</v>
      </c>
      <c r="B158" s="80">
        <v>0</v>
      </c>
      <c r="C158" s="80">
        <v>0</v>
      </c>
      <c r="D158" s="80">
        <v>0</v>
      </c>
      <c r="E158" s="80">
        <v>0</v>
      </c>
      <c r="F158" s="80">
        <v>0</v>
      </c>
      <c r="G158" s="80">
        <v>0</v>
      </c>
      <c r="H158" s="80">
        <v>0</v>
      </c>
      <c r="I158" s="80">
        <v>0</v>
      </c>
      <c r="J158" s="80">
        <v>0</v>
      </c>
      <c r="K158" s="80">
        <v>0</v>
      </c>
      <c r="L158" s="80">
        <v>0</v>
      </c>
      <c r="M158" s="80">
        <v>0</v>
      </c>
      <c r="N158" s="80">
        <v>0</v>
      </c>
      <c r="O158" s="97"/>
    </row>
    <row r="159" spans="1:17" ht="16">
      <c r="A159" s="328" t="s">
        <v>188</v>
      </c>
      <c r="B159" s="327">
        <f>B158</f>
        <v>0</v>
      </c>
      <c r="C159" s="327">
        <f>C158</f>
        <v>0</v>
      </c>
      <c r="D159" s="327">
        <f t="shared" ref="D159:M159" si="34">D158</f>
        <v>0</v>
      </c>
      <c r="E159" s="327">
        <f t="shared" si="34"/>
        <v>0</v>
      </c>
      <c r="F159" s="327">
        <f t="shared" si="34"/>
        <v>0</v>
      </c>
      <c r="G159" s="327">
        <f t="shared" si="34"/>
        <v>0</v>
      </c>
      <c r="H159" s="327">
        <f t="shared" si="34"/>
        <v>0</v>
      </c>
      <c r="I159" s="327">
        <f t="shared" si="34"/>
        <v>0</v>
      </c>
      <c r="J159" s="327">
        <f t="shared" si="34"/>
        <v>0</v>
      </c>
      <c r="K159" s="327">
        <f t="shared" si="34"/>
        <v>0</v>
      </c>
      <c r="L159" s="327">
        <f t="shared" si="34"/>
        <v>0</v>
      </c>
      <c r="M159" s="327">
        <f t="shared" si="34"/>
        <v>0</v>
      </c>
      <c r="N159" s="327">
        <v>0</v>
      </c>
      <c r="O159" s="97"/>
    </row>
    <row r="160" spans="1:17" ht="16">
      <c r="A160" s="328" t="s">
        <v>429</v>
      </c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</row>
    <row r="161" spans="1:15" ht="16">
      <c r="A161" s="330" t="s">
        <v>430</v>
      </c>
      <c r="B161" s="81">
        <v>78964.38</v>
      </c>
      <c r="C161" s="81">
        <v>78964.38</v>
      </c>
      <c r="D161" s="81">
        <v>78964.38</v>
      </c>
      <c r="E161" s="81">
        <v>78964.38</v>
      </c>
      <c r="F161" s="81">
        <v>78964.38</v>
      </c>
      <c r="G161" s="81">
        <v>78964.38</v>
      </c>
      <c r="H161" s="81">
        <v>78964.38</v>
      </c>
      <c r="I161" s="81">
        <v>61697.738089948361</v>
      </c>
      <c r="J161" s="81">
        <v>61697.738089948361</v>
      </c>
      <c r="K161" s="81">
        <v>61697.738089948361</v>
      </c>
      <c r="L161" s="81">
        <v>61697.738089948361</v>
      </c>
      <c r="M161" s="81">
        <v>61697.738089948361</v>
      </c>
      <c r="N161" s="81">
        <f>SUM(B161:M161)</f>
        <v>861239.35044974159</v>
      </c>
      <c r="O161" s="97"/>
    </row>
    <row r="162" spans="1:15" ht="16">
      <c r="A162" s="330" t="s">
        <v>431</v>
      </c>
      <c r="B162" s="80"/>
      <c r="C162" s="80"/>
      <c r="D162" s="80"/>
      <c r="E162" s="80"/>
      <c r="F162" s="80"/>
      <c r="G162" s="80"/>
      <c r="H162" s="80"/>
      <c r="I162" s="80"/>
      <c r="J162" s="80">
        <v>0</v>
      </c>
      <c r="K162" s="80">
        <v>0</v>
      </c>
      <c r="L162" s="80">
        <v>0</v>
      </c>
      <c r="M162" s="80">
        <v>0</v>
      </c>
      <c r="N162" s="80"/>
      <c r="O162" s="97"/>
    </row>
    <row r="163" spans="1:15" ht="16">
      <c r="A163" s="485" t="s">
        <v>432</v>
      </c>
      <c r="B163" s="486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</row>
    <row r="164" spans="1:15" ht="16">
      <c r="A164" s="330" t="s">
        <v>433</v>
      </c>
      <c r="B164" s="80">
        <v>0</v>
      </c>
      <c r="C164" s="80">
        <v>0</v>
      </c>
      <c r="D164" s="80">
        <v>0</v>
      </c>
      <c r="E164" s="80">
        <v>0</v>
      </c>
      <c r="F164" s="80">
        <v>0</v>
      </c>
      <c r="G164" s="80">
        <v>0</v>
      </c>
      <c r="H164" s="80">
        <v>0</v>
      </c>
      <c r="I164" s="80">
        <v>0</v>
      </c>
      <c r="J164" s="80">
        <v>0</v>
      </c>
      <c r="K164" s="80">
        <v>0</v>
      </c>
      <c r="L164" s="80">
        <v>0</v>
      </c>
      <c r="M164" s="80">
        <v>0</v>
      </c>
      <c r="N164" s="80">
        <v>0</v>
      </c>
      <c r="O164" s="97"/>
    </row>
    <row r="165" spans="1:15" ht="16">
      <c r="A165" s="330" t="s">
        <v>688</v>
      </c>
      <c r="B165" s="80">
        <f t="shared" ref="B165:M165" si="35">B45*0.02</f>
        <v>2800.9240000000004</v>
      </c>
      <c r="C165" s="80">
        <f t="shared" si="35"/>
        <v>2828.1968000000006</v>
      </c>
      <c r="D165" s="80">
        <f t="shared" si="35"/>
        <v>2727.4608885000007</v>
      </c>
      <c r="E165" s="80">
        <f t="shared" si="35"/>
        <v>3215.2121153163007</v>
      </c>
      <c r="F165" s="80">
        <f t="shared" si="35"/>
        <v>3201.1274507143485</v>
      </c>
      <c r="G165" s="80">
        <f t="shared" si="35"/>
        <v>3204.8215248002771</v>
      </c>
      <c r="H165" s="80">
        <f t="shared" si="35"/>
        <v>3227.7953071930069</v>
      </c>
      <c r="I165" s="80">
        <f t="shared" si="35"/>
        <v>3232.9581811459543</v>
      </c>
      <c r="J165" s="80">
        <f t="shared" si="35"/>
        <v>3262.9351312452286</v>
      </c>
      <c r="K165" s="80">
        <f t="shared" si="35"/>
        <v>3282.6039607062221</v>
      </c>
      <c r="L165" s="80">
        <f t="shared" si="35"/>
        <v>3284.3572542826455</v>
      </c>
      <c r="M165" s="80">
        <f t="shared" si="35"/>
        <v>3313.3994084228239</v>
      </c>
      <c r="N165" s="80">
        <f>SUM(B165:M165)</f>
        <v>37581.792022326808</v>
      </c>
      <c r="O165" s="97"/>
    </row>
    <row r="166" spans="1:15" ht="16" collapsed="1">
      <c r="A166" s="328" t="s">
        <v>434</v>
      </c>
      <c r="B166" s="327">
        <f>SUM(B164:B165)</f>
        <v>2800.9240000000004</v>
      </c>
      <c r="C166" s="327">
        <f>SUM(C164:C165)</f>
        <v>2828.1968000000006</v>
      </c>
      <c r="D166" s="327">
        <f>SUM(D164:D165)</f>
        <v>2727.4608885000007</v>
      </c>
      <c r="E166" s="327">
        <f t="shared" ref="E166:N166" si="36">SUM(E164:E165)</f>
        <v>3215.2121153163007</v>
      </c>
      <c r="F166" s="327">
        <f t="shared" si="36"/>
        <v>3201.1274507143485</v>
      </c>
      <c r="G166" s="327">
        <f t="shared" si="36"/>
        <v>3204.8215248002771</v>
      </c>
      <c r="H166" s="327">
        <f t="shared" si="36"/>
        <v>3227.7953071930069</v>
      </c>
      <c r="I166" s="327">
        <f t="shared" si="36"/>
        <v>3232.9581811459543</v>
      </c>
      <c r="J166" s="327">
        <f t="shared" si="36"/>
        <v>3262.9351312452286</v>
      </c>
      <c r="K166" s="327">
        <f t="shared" si="36"/>
        <v>3282.6039607062221</v>
      </c>
      <c r="L166" s="327">
        <f t="shared" si="36"/>
        <v>3284.3572542826455</v>
      </c>
      <c r="M166" s="327">
        <f t="shared" si="36"/>
        <v>3313.3994084228239</v>
      </c>
      <c r="N166" s="327">
        <f t="shared" si="36"/>
        <v>37581.792022326808</v>
      </c>
      <c r="O166" s="97"/>
    </row>
    <row r="167" spans="1:15" ht="16" hidden="1" outlineLevel="1">
      <c r="A167" s="483" t="s">
        <v>435</v>
      </c>
      <c r="B167" s="484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5" ht="16" hidden="1" outlineLevel="1">
      <c r="A168" s="11" t="s">
        <v>436</v>
      </c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7"/>
      <c r="M168" s="76"/>
      <c r="N168" s="77">
        <f>SUM(B168:M168)</f>
        <v>0</v>
      </c>
      <c r="O168" s="97"/>
    </row>
    <row r="169" spans="1:15" ht="16" hidden="1" outlineLevel="1">
      <c r="A169" s="11" t="s">
        <v>437</v>
      </c>
      <c r="B169" s="77"/>
      <c r="C169" s="77"/>
      <c r="D169" s="77"/>
      <c r="E169" s="77"/>
      <c r="F169" s="77"/>
      <c r="G169" s="76"/>
      <c r="H169" s="76"/>
      <c r="I169" s="76"/>
      <c r="J169" s="76"/>
      <c r="K169" s="76"/>
      <c r="L169" s="76"/>
      <c r="M169" s="76"/>
      <c r="N169" s="77">
        <f t="shared" ref="N169:N189" si="37">SUM(B169:M169)</f>
        <v>0</v>
      </c>
      <c r="O169" s="97"/>
    </row>
    <row r="170" spans="1:15" ht="16" hidden="1" outlineLevel="1">
      <c r="A170" s="11" t="s">
        <v>438</v>
      </c>
      <c r="B170" s="76"/>
      <c r="C170" s="77"/>
      <c r="D170" s="76"/>
      <c r="E170" s="77"/>
      <c r="F170" s="76"/>
      <c r="G170" s="77"/>
      <c r="H170" s="76"/>
      <c r="I170" s="76"/>
      <c r="J170" s="76"/>
      <c r="K170" s="76"/>
      <c r="L170" s="76"/>
      <c r="M170" s="76"/>
      <c r="N170" s="77">
        <f t="shared" si="37"/>
        <v>0</v>
      </c>
      <c r="O170" s="97"/>
    </row>
    <row r="171" spans="1:15" ht="16" hidden="1" outlineLevel="1">
      <c r="A171" s="11" t="s">
        <v>439</v>
      </c>
      <c r="B171" s="77"/>
      <c r="C171" s="76"/>
      <c r="D171" s="76"/>
      <c r="E171" s="77"/>
      <c r="F171" s="76"/>
      <c r="G171" s="77"/>
      <c r="H171" s="76"/>
      <c r="I171" s="76"/>
      <c r="J171" s="76"/>
      <c r="K171" s="76"/>
      <c r="L171" s="76"/>
      <c r="M171" s="76"/>
      <c r="N171" s="77">
        <f t="shared" si="37"/>
        <v>0</v>
      </c>
      <c r="O171" s="97"/>
    </row>
    <row r="172" spans="1:15" ht="16" hidden="1" outlineLevel="1">
      <c r="A172" s="11" t="s">
        <v>440</v>
      </c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7"/>
      <c r="M172" s="76"/>
      <c r="N172" s="77">
        <f t="shared" si="37"/>
        <v>0</v>
      </c>
      <c r="O172" s="97"/>
    </row>
    <row r="173" spans="1:15" ht="16" hidden="1" outlineLevel="1">
      <c r="A173" s="11" t="s">
        <v>441</v>
      </c>
      <c r="B173" s="76"/>
      <c r="C173" s="77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7">
        <f t="shared" si="37"/>
        <v>0</v>
      </c>
      <c r="O173" s="97"/>
    </row>
    <row r="174" spans="1:15" ht="16" hidden="1" outlineLevel="1">
      <c r="A174" s="11" t="s">
        <v>442</v>
      </c>
      <c r="B174" s="77"/>
      <c r="C174" s="77"/>
      <c r="D174" s="76"/>
      <c r="E174" s="76"/>
      <c r="F174" s="76"/>
      <c r="G174" s="77"/>
      <c r="H174" s="76"/>
      <c r="I174" s="76"/>
      <c r="J174" s="76"/>
      <c r="K174" s="76"/>
      <c r="L174" s="76"/>
      <c r="M174" s="76"/>
      <c r="N174" s="77">
        <f t="shared" si="37"/>
        <v>0</v>
      </c>
      <c r="O174" s="97"/>
    </row>
    <row r="175" spans="1:15" ht="16" hidden="1" outlineLevel="1">
      <c r="A175" s="11" t="s">
        <v>443</v>
      </c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7">
        <f t="shared" si="37"/>
        <v>0</v>
      </c>
      <c r="O175" s="97"/>
    </row>
    <row r="176" spans="1:15" ht="16" hidden="1" outlineLevel="1">
      <c r="A176" s="11" t="s">
        <v>444</v>
      </c>
      <c r="B176" s="76"/>
      <c r="C176" s="76"/>
      <c r="D176" s="76"/>
      <c r="E176" s="76"/>
      <c r="F176" s="76"/>
      <c r="G176" s="76"/>
      <c r="H176" s="77"/>
      <c r="I176" s="76"/>
      <c r="J176" s="76"/>
      <c r="K176" s="76"/>
      <c r="L176" s="76"/>
      <c r="M176" s="76"/>
      <c r="N176" s="77">
        <f t="shared" si="37"/>
        <v>0</v>
      </c>
      <c r="O176" s="97"/>
    </row>
    <row r="177" spans="1:15" ht="16" hidden="1" outlineLevel="1">
      <c r="A177" s="11" t="s">
        <v>445</v>
      </c>
      <c r="B177" s="76"/>
      <c r="C177" s="76"/>
      <c r="D177" s="76"/>
      <c r="E177" s="76"/>
      <c r="F177" s="76"/>
      <c r="G177" s="76"/>
      <c r="H177" s="76"/>
      <c r="I177" s="77"/>
      <c r="J177" s="76"/>
      <c r="K177" s="76"/>
      <c r="L177" s="76"/>
      <c r="M177" s="76"/>
      <c r="N177" s="77">
        <f t="shared" si="37"/>
        <v>0</v>
      </c>
      <c r="O177" s="97"/>
    </row>
    <row r="178" spans="1:15" ht="16" hidden="1" outlineLevel="1">
      <c r="A178" s="11" t="s">
        <v>446</v>
      </c>
      <c r="B178" s="76"/>
      <c r="C178" s="77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7">
        <f t="shared" si="37"/>
        <v>0</v>
      </c>
      <c r="O178" s="97"/>
    </row>
    <row r="179" spans="1:15" ht="16" hidden="1" outlineLevel="1">
      <c r="A179" s="11" t="s">
        <v>447</v>
      </c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7"/>
      <c r="M179" s="76"/>
      <c r="N179" s="77">
        <f t="shared" si="37"/>
        <v>0</v>
      </c>
      <c r="O179" s="97"/>
    </row>
    <row r="180" spans="1:15" ht="16" hidden="1" outlineLevel="1">
      <c r="A180" s="11" t="s">
        <v>448</v>
      </c>
      <c r="B180" s="76"/>
      <c r="C180" s="76"/>
      <c r="D180" s="76"/>
      <c r="E180" s="76"/>
      <c r="F180" s="76"/>
      <c r="G180" s="76"/>
      <c r="H180" s="76"/>
      <c r="I180" s="76"/>
      <c r="J180" s="76"/>
      <c r="K180" s="77"/>
      <c r="L180" s="76"/>
      <c r="M180" s="77"/>
      <c r="N180" s="77">
        <f t="shared" si="37"/>
        <v>0</v>
      </c>
      <c r="O180" s="97"/>
    </row>
    <row r="181" spans="1:15" ht="16" hidden="1" outlineLevel="1">
      <c r="A181" s="11" t="s">
        <v>449</v>
      </c>
      <c r="B181" s="76"/>
      <c r="C181" s="77"/>
      <c r="D181" s="77"/>
      <c r="E181" s="77"/>
      <c r="F181" s="77"/>
      <c r="G181" s="76"/>
      <c r="H181" s="76"/>
      <c r="I181" s="77"/>
      <c r="J181" s="77"/>
      <c r="K181" s="77"/>
      <c r="L181" s="77"/>
      <c r="M181" s="76"/>
      <c r="N181" s="77">
        <f t="shared" si="37"/>
        <v>0</v>
      </c>
      <c r="O181" s="97"/>
    </row>
    <row r="182" spans="1:15" ht="16" hidden="1" outlineLevel="1">
      <c r="A182" s="11" t="s">
        <v>450</v>
      </c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7"/>
      <c r="M182" s="76"/>
      <c r="N182" s="77">
        <f t="shared" si="37"/>
        <v>0</v>
      </c>
      <c r="O182" s="97"/>
    </row>
    <row r="183" spans="1:15" ht="16" hidden="1" outlineLevel="1">
      <c r="A183" s="11" t="s">
        <v>451</v>
      </c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7">
        <f t="shared" si="37"/>
        <v>0</v>
      </c>
      <c r="O183" s="97"/>
    </row>
    <row r="184" spans="1:15" ht="16" hidden="1" outlineLevel="1">
      <c r="A184" s="11" t="s">
        <v>452</v>
      </c>
      <c r="B184" s="76"/>
      <c r="C184" s="76"/>
      <c r="D184" s="76"/>
      <c r="E184" s="76"/>
      <c r="F184" s="76"/>
      <c r="G184" s="76"/>
      <c r="H184" s="77"/>
      <c r="I184" s="76"/>
      <c r="J184" s="76"/>
      <c r="K184" s="76"/>
      <c r="L184" s="76"/>
      <c r="M184" s="76"/>
      <c r="N184" s="77">
        <f t="shared" si="37"/>
        <v>0</v>
      </c>
      <c r="O184" s="97"/>
    </row>
    <row r="185" spans="1:15" ht="16" hidden="1" outlineLevel="1">
      <c r="A185" s="11" t="s">
        <v>453</v>
      </c>
      <c r="B185" s="76"/>
      <c r="C185" s="76"/>
      <c r="D185" s="76"/>
      <c r="E185" s="76"/>
      <c r="F185" s="76"/>
      <c r="G185" s="76"/>
      <c r="H185" s="76"/>
      <c r="I185" s="76"/>
      <c r="J185" s="76"/>
      <c r="K185" s="77"/>
      <c r="L185" s="77"/>
      <c r="M185" s="76"/>
      <c r="N185" s="77">
        <f t="shared" si="37"/>
        <v>0</v>
      </c>
      <c r="O185" s="97"/>
    </row>
    <row r="186" spans="1:15" ht="16" hidden="1" outlineLevel="1">
      <c r="A186" s="11" t="s">
        <v>454</v>
      </c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7"/>
      <c r="M186" s="76"/>
      <c r="N186" s="77">
        <f t="shared" si="37"/>
        <v>0</v>
      </c>
      <c r="O186" s="97"/>
    </row>
    <row r="187" spans="1:15" ht="16" hidden="1" outlineLevel="1">
      <c r="A187" s="11" t="s">
        <v>455</v>
      </c>
      <c r="B187" s="76"/>
      <c r="C187" s="76"/>
      <c r="D187" s="77"/>
      <c r="E187" s="76"/>
      <c r="F187" s="76"/>
      <c r="G187" s="76"/>
      <c r="H187" s="76"/>
      <c r="I187" s="76"/>
      <c r="J187" s="76"/>
      <c r="K187" s="76"/>
      <c r="L187" s="76"/>
      <c r="M187" s="76"/>
      <c r="N187" s="77">
        <f t="shared" si="37"/>
        <v>0</v>
      </c>
      <c r="O187" s="97"/>
    </row>
    <row r="188" spans="1:15" ht="16" hidden="1" outlineLevel="1">
      <c r="A188" s="11" t="s">
        <v>456</v>
      </c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7">
        <f t="shared" si="37"/>
        <v>0</v>
      </c>
      <c r="O188" s="97"/>
    </row>
    <row r="189" spans="1:15" ht="16">
      <c r="A189" s="328" t="s">
        <v>457</v>
      </c>
      <c r="B189" s="327">
        <v>10000</v>
      </c>
      <c r="C189" s="327">
        <v>10000</v>
      </c>
      <c r="D189" s="327">
        <v>10000</v>
      </c>
      <c r="E189" s="327">
        <v>10000</v>
      </c>
      <c r="F189" s="327">
        <v>10000</v>
      </c>
      <c r="G189" s="327">
        <v>10000</v>
      </c>
      <c r="H189" s="327">
        <v>10000</v>
      </c>
      <c r="I189" s="327">
        <v>10000</v>
      </c>
      <c r="J189" s="327">
        <v>20833</v>
      </c>
      <c r="K189" s="327">
        <v>20833</v>
      </c>
      <c r="L189" s="327">
        <v>20833</v>
      </c>
      <c r="M189" s="327">
        <v>20833</v>
      </c>
      <c r="N189" s="82">
        <f t="shared" si="37"/>
        <v>163332</v>
      </c>
      <c r="O189" s="97"/>
    </row>
    <row r="190" spans="1:15" ht="16">
      <c r="A190" s="328" t="s">
        <v>458</v>
      </c>
      <c r="B190" s="327">
        <f>B161+B166+B189</f>
        <v>91765.304000000004</v>
      </c>
      <c r="C190" s="327">
        <f t="shared" ref="C190:N190" si="38">C161+C166+C189</f>
        <v>91792.57680000001</v>
      </c>
      <c r="D190" s="327">
        <f t="shared" si="38"/>
        <v>91691.84088850001</v>
      </c>
      <c r="E190" s="327">
        <f t="shared" si="38"/>
        <v>92179.592115316307</v>
      </c>
      <c r="F190" s="327">
        <f t="shared" si="38"/>
        <v>92165.507450714358</v>
      </c>
      <c r="G190" s="327">
        <f t="shared" si="38"/>
        <v>92169.201524800286</v>
      </c>
      <c r="H190" s="327">
        <f t="shared" si="38"/>
        <v>92192.175307193014</v>
      </c>
      <c r="I190" s="327">
        <f t="shared" si="38"/>
        <v>74930.696271094319</v>
      </c>
      <c r="J190" s="327">
        <f t="shared" si="38"/>
        <v>85793.673221193589</v>
      </c>
      <c r="K190" s="327">
        <f t="shared" si="38"/>
        <v>85813.342050654581</v>
      </c>
      <c r="L190" s="327">
        <f t="shared" si="38"/>
        <v>85815.095344230998</v>
      </c>
      <c r="M190" s="327">
        <f t="shared" si="38"/>
        <v>85844.137498371187</v>
      </c>
      <c r="N190" s="327">
        <f t="shared" si="38"/>
        <v>1062153.1424720683</v>
      </c>
      <c r="O190" s="97"/>
    </row>
    <row r="191" spans="1:15" ht="16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spans="1:15" ht="16">
      <c r="A192" s="9" t="s">
        <v>459</v>
      </c>
      <c r="B192" s="414">
        <f>B154-B190</f>
        <v>-12083.393999999986</v>
      </c>
      <c r="C192" s="414">
        <f t="shared" ref="C192:M192" si="39">C154-C190</f>
        <v>-10384.126799999984</v>
      </c>
      <c r="D192" s="414">
        <f t="shared" si="39"/>
        <v>-14673.466463499979</v>
      </c>
      <c r="E192" s="414">
        <f t="shared" si="39"/>
        <v>2177.9054775242839</v>
      </c>
      <c r="F192" s="414">
        <f t="shared" si="39"/>
        <v>7984.1539089315338</v>
      </c>
      <c r="G192" s="414">
        <f t="shared" si="39"/>
        <v>8109.9724280131486</v>
      </c>
      <c r="H192" s="414">
        <f t="shared" si="39"/>
        <v>8675.6070916678145</v>
      </c>
      <c r="I192" s="414">
        <f t="shared" si="39"/>
        <v>21963.105514484458</v>
      </c>
      <c r="J192" s="414">
        <f t="shared" si="39"/>
        <v>16104.010644199996</v>
      </c>
      <c r="K192" s="414">
        <f t="shared" si="39"/>
        <v>18830.710043597181</v>
      </c>
      <c r="L192" s="414">
        <f t="shared" si="39"/>
        <v>17502.331488477299</v>
      </c>
      <c r="M192" s="414">
        <f t="shared" si="39"/>
        <v>17533.063810135762</v>
      </c>
      <c r="N192" s="414">
        <f>SUM(B192:M192)</f>
        <v>81739.873143531528</v>
      </c>
      <c r="O192" s="97"/>
    </row>
    <row r="193" spans="1:15" ht="16">
      <c r="A193" s="11"/>
      <c r="B193" s="330"/>
      <c r="C193" s="330"/>
      <c r="D193" s="330"/>
      <c r="E193" s="330"/>
      <c r="F193" s="330"/>
      <c r="G193" s="330"/>
      <c r="H193" s="330"/>
      <c r="I193" s="330"/>
      <c r="J193" s="330"/>
      <c r="K193" s="330"/>
      <c r="L193" s="330"/>
      <c r="M193" s="330"/>
      <c r="N193" s="330"/>
    </row>
    <row r="194" spans="1:15" ht="16">
      <c r="A194" s="11" t="s">
        <v>460</v>
      </c>
      <c r="B194" s="80">
        <f>B45</f>
        <v>140046.20000000001</v>
      </c>
      <c r="C194" s="80">
        <f t="shared" ref="C194:N194" si="40">C45</f>
        <v>141409.84000000003</v>
      </c>
      <c r="D194" s="80">
        <f t="shared" si="40"/>
        <v>136373.04442500003</v>
      </c>
      <c r="E194" s="80">
        <f t="shared" si="40"/>
        <v>160760.60576581504</v>
      </c>
      <c r="F194" s="80">
        <f t="shared" si="40"/>
        <v>160056.37253571741</v>
      </c>
      <c r="G194" s="80">
        <f t="shared" si="40"/>
        <v>160241.07624001385</v>
      </c>
      <c r="H194" s="80">
        <f t="shared" si="40"/>
        <v>161389.76535965034</v>
      </c>
      <c r="I194" s="80">
        <f t="shared" si="40"/>
        <v>161647.90905729771</v>
      </c>
      <c r="J194" s="80">
        <f t="shared" si="40"/>
        <v>163146.75656226143</v>
      </c>
      <c r="K194" s="80">
        <f t="shared" si="40"/>
        <v>164130.1980353111</v>
      </c>
      <c r="L194" s="80">
        <f t="shared" si="40"/>
        <v>164217.86271413226</v>
      </c>
      <c r="M194" s="80">
        <f t="shared" si="40"/>
        <v>165669.97042114119</v>
      </c>
      <c r="N194" s="80">
        <f t="shared" si="40"/>
        <v>1879089.6011163406</v>
      </c>
      <c r="O194" s="97"/>
    </row>
    <row r="195" spans="1:15" ht="16">
      <c r="A195" s="11" t="s">
        <v>461</v>
      </c>
      <c r="B195" s="80">
        <f>B190+B152</f>
        <v>152129.59399999998</v>
      </c>
      <c r="C195" s="80">
        <f t="shared" ref="C195:N195" si="41">C190+C152</f>
        <v>151793.96679999999</v>
      </c>
      <c r="D195" s="80">
        <f t="shared" si="41"/>
        <v>151046.51088850002</v>
      </c>
      <c r="E195" s="80">
        <f t="shared" si="41"/>
        <v>158582.70028829074</v>
      </c>
      <c r="F195" s="80">
        <f t="shared" si="41"/>
        <v>152072.21862678588</v>
      </c>
      <c r="G195" s="80">
        <f t="shared" si="41"/>
        <v>152131.10381200071</v>
      </c>
      <c r="H195" s="80">
        <f t="shared" si="41"/>
        <v>152714.15826798254</v>
      </c>
      <c r="I195" s="80">
        <f t="shared" si="41"/>
        <v>139684.80354281326</v>
      </c>
      <c r="J195" s="80">
        <f t="shared" si="41"/>
        <v>147042.74591806144</v>
      </c>
      <c r="K195" s="80">
        <f t="shared" si="41"/>
        <v>145299.48799171392</v>
      </c>
      <c r="L195" s="80">
        <f t="shared" si="41"/>
        <v>146715.53122565497</v>
      </c>
      <c r="M195" s="80">
        <f t="shared" si="41"/>
        <v>148136.90661100543</v>
      </c>
      <c r="N195" s="80">
        <f t="shared" si="41"/>
        <v>1797349.7279728088</v>
      </c>
      <c r="O195" s="97"/>
    </row>
    <row r="196" spans="1:15" ht="16">
      <c r="A196" s="11"/>
      <c r="B196" s="330"/>
      <c r="C196" s="330"/>
      <c r="D196" s="330"/>
      <c r="E196" s="330"/>
      <c r="F196" s="330"/>
      <c r="G196" s="330"/>
      <c r="H196" s="330"/>
      <c r="I196" s="330"/>
      <c r="J196" s="330"/>
      <c r="K196" s="330"/>
      <c r="L196" s="330"/>
      <c r="M196" s="330"/>
      <c r="N196" s="330"/>
    </row>
    <row r="197" spans="1:15" ht="16">
      <c r="A197" s="9" t="s">
        <v>462</v>
      </c>
      <c r="B197" s="414">
        <f>B194-B195</f>
        <v>-12083.393999999971</v>
      </c>
      <c r="C197" s="414">
        <f t="shared" ref="C197:N197" si="42">C194-C195</f>
        <v>-10384.126799999969</v>
      </c>
      <c r="D197" s="414">
        <f t="shared" si="42"/>
        <v>-14673.466463499994</v>
      </c>
      <c r="E197" s="414">
        <f t="shared" si="42"/>
        <v>2177.9054775242985</v>
      </c>
      <c r="F197" s="414">
        <f t="shared" si="42"/>
        <v>7984.1539089315338</v>
      </c>
      <c r="G197" s="414">
        <f t="shared" si="42"/>
        <v>8109.972428013134</v>
      </c>
      <c r="H197" s="414">
        <f t="shared" si="42"/>
        <v>8675.6070916678</v>
      </c>
      <c r="I197" s="414">
        <f t="shared" si="42"/>
        <v>21963.105514484458</v>
      </c>
      <c r="J197" s="414">
        <f t="shared" si="42"/>
        <v>16104.010644199996</v>
      </c>
      <c r="K197" s="414">
        <f t="shared" si="42"/>
        <v>18830.710043597181</v>
      </c>
      <c r="L197" s="414">
        <f t="shared" si="42"/>
        <v>17502.331488477299</v>
      </c>
      <c r="M197" s="414">
        <f t="shared" si="42"/>
        <v>17533.063810135762</v>
      </c>
      <c r="N197" s="414">
        <f t="shared" si="42"/>
        <v>81739.873143531848</v>
      </c>
      <c r="O197" s="97"/>
    </row>
  </sheetData>
  <autoFilter ref="A1:M152" xr:uid="{00000000-0001-0000-0700-000000000000}">
    <filterColumn colId="0">
      <customFilters>
        <customFilter val="TOTAL*"/>
      </customFilters>
    </filterColumn>
  </autoFilter>
  <dataConsolidate/>
  <mergeCells count="4">
    <mergeCell ref="A47:B47"/>
    <mergeCell ref="A97:B97"/>
    <mergeCell ref="A163:B163"/>
    <mergeCell ref="A167:B167"/>
  </mergeCells>
  <hyperlinks>
    <hyperlink ref="A94" r:id="rId1" xr:uid="{F429F0E8-C7A3-F74A-9E5D-7519EA65DD27}"/>
  </hyperlinks>
  <pageMargins left="0.7" right="0.7" top="0.75" bottom="0.75" header="0.3" footer="0.3"/>
  <pageSetup orientation="portrait" horizontalDpi="0" verticalDpi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94A8-7C20-EA40-8695-330864BDF75D}">
  <dimension ref="A5:M55"/>
  <sheetViews>
    <sheetView zoomScale="145" zoomScaleNormal="145" workbookViewId="0">
      <selection activeCell="D53" sqref="D53"/>
    </sheetView>
  </sheetViews>
  <sheetFormatPr baseColWidth="10" defaultRowHeight="14"/>
  <cols>
    <col min="1" max="1" width="35.1640625" bestFit="1" customWidth="1"/>
    <col min="2" max="2" width="18.83203125" bestFit="1" customWidth="1"/>
    <col min="3" max="3" width="0.1640625" customWidth="1"/>
    <col min="4" max="4" width="24" bestFit="1" customWidth="1"/>
    <col min="5" max="5" width="21.83203125" bestFit="1" customWidth="1"/>
    <col min="6" max="6" width="29.1640625" customWidth="1"/>
    <col min="7" max="7" width="9" bestFit="1" customWidth="1"/>
    <col min="8" max="8" width="79.33203125" bestFit="1" customWidth="1"/>
  </cols>
  <sheetData>
    <row r="5" spans="1:13">
      <c r="I5" s="258"/>
      <c r="J5" s="258"/>
      <c r="K5" s="258"/>
      <c r="L5" s="258"/>
      <c r="M5" s="258"/>
    </row>
    <row r="6" spans="1:13">
      <c r="I6" s="258"/>
      <c r="J6" s="258"/>
      <c r="K6" s="258"/>
      <c r="L6" s="258"/>
      <c r="M6" s="258"/>
    </row>
    <row r="7" spans="1:13">
      <c r="I7" s="258"/>
      <c r="J7" s="258"/>
      <c r="K7" s="258"/>
      <c r="L7" s="258"/>
      <c r="M7" s="258"/>
    </row>
    <row r="8" spans="1:13">
      <c r="I8" s="233"/>
      <c r="J8" s="233"/>
      <c r="K8" s="233"/>
      <c r="L8" s="233"/>
      <c r="M8" s="233"/>
    </row>
    <row r="9" spans="1:13">
      <c r="I9" s="258"/>
      <c r="J9" s="258"/>
      <c r="K9" s="258"/>
      <c r="L9" s="258"/>
      <c r="M9" s="258"/>
    </row>
    <row r="10" spans="1:13">
      <c r="I10" s="258"/>
      <c r="J10" s="258"/>
      <c r="K10" s="258"/>
      <c r="L10" s="258"/>
      <c r="M10" s="258"/>
    </row>
    <row r="11" spans="1:13">
      <c r="I11" s="258"/>
      <c r="J11" s="258"/>
      <c r="K11" s="258"/>
      <c r="L11" s="258"/>
      <c r="M11" s="258"/>
    </row>
    <row r="12" spans="1:13">
      <c r="I12" s="233"/>
      <c r="J12" s="233"/>
      <c r="K12" s="233"/>
      <c r="L12" s="233"/>
      <c r="M12" s="233"/>
    </row>
    <row r="13" spans="1:13" ht="23">
      <c r="A13" s="487" t="s">
        <v>719</v>
      </c>
      <c r="B13" s="487"/>
      <c r="C13" s="487"/>
      <c r="D13" s="487"/>
      <c r="E13" s="487"/>
      <c r="F13" s="258"/>
      <c r="G13" s="258"/>
      <c r="H13" s="258"/>
      <c r="I13" s="258"/>
      <c r="J13" s="258"/>
      <c r="K13" s="258"/>
      <c r="L13" s="258"/>
      <c r="M13" s="258"/>
    </row>
    <row r="14" spans="1:13">
      <c r="A14" s="258"/>
      <c r="B14" s="258"/>
      <c r="C14" s="258"/>
      <c r="D14" s="258"/>
      <c r="E14" s="258"/>
      <c r="F14" s="488" t="s">
        <v>637</v>
      </c>
      <c r="G14" s="488"/>
      <c r="H14" s="488"/>
      <c r="I14" s="258"/>
      <c r="J14" s="258"/>
      <c r="K14" s="258"/>
      <c r="L14" s="258"/>
      <c r="M14" s="258"/>
    </row>
    <row r="15" spans="1:13">
      <c r="A15" s="258"/>
      <c r="B15" s="354" t="s">
        <v>625</v>
      </c>
      <c r="C15" s="355" t="s">
        <v>583</v>
      </c>
      <c r="D15" s="356" t="s">
        <v>626</v>
      </c>
      <c r="E15" s="259" t="s">
        <v>627</v>
      </c>
      <c r="F15" s="259" t="s">
        <v>589</v>
      </c>
      <c r="G15" s="259" t="s">
        <v>588</v>
      </c>
      <c r="H15" s="259" t="s">
        <v>584</v>
      </c>
      <c r="I15" s="258"/>
      <c r="J15" s="258"/>
      <c r="K15" s="258"/>
      <c r="L15" s="258"/>
      <c r="M15" s="258"/>
    </row>
    <row r="16" spans="1:13">
      <c r="A16" s="259" t="s">
        <v>9</v>
      </c>
      <c r="B16" s="357">
        <v>1488447</v>
      </c>
      <c r="C16" s="358">
        <v>38500</v>
      </c>
      <c r="D16" s="359">
        <f>'Budget Summary 2026'!N9</f>
        <v>1664883.0011163405</v>
      </c>
      <c r="E16" s="360" t="s">
        <v>628</v>
      </c>
      <c r="F16" s="361">
        <f>B16-D16</f>
        <v>-176436.00111634051</v>
      </c>
      <c r="G16" s="399">
        <f>F16/B16</f>
        <v>-0.11853697250647185</v>
      </c>
      <c r="H16" s="233" t="s">
        <v>744</v>
      </c>
      <c r="I16" s="258"/>
      <c r="J16" s="258"/>
      <c r="K16" s="258"/>
      <c r="L16" s="258"/>
      <c r="M16" s="258"/>
    </row>
    <row r="17" spans="1:13">
      <c r="A17" s="259" t="s">
        <v>301</v>
      </c>
      <c r="B17" s="357">
        <v>225656</v>
      </c>
      <c r="C17" s="358">
        <v>58248</v>
      </c>
      <c r="D17" s="359">
        <f>'Budget Summary 2026'!N44</f>
        <v>214206.6</v>
      </c>
      <c r="E17" s="360" t="s">
        <v>628</v>
      </c>
      <c r="F17" s="361">
        <f>B17-D17</f>
        <v>11449.399999999994</v>
      </c>
      <c r="G17" s="399">
        <f>F17/B17</f>
        <v>5.0738291913354813E-2</v>
      </c>
      <c r="H17" s="258" t="s">
        <v>745</v>
      </c>
      <c r="I17" s="233"/>
      <c r="J17" s="258"/>
      <c r="K17" s="258"/>
      <c r="L17" s="258"/>
      <c r="M17" s="258"/>
    </row>
    <row r="18" spans="1:13" ht="15" thickBot="1">
      <c r="A18" s="258"/>
      <c r="B18" s="371">
        <f>SUM(B16:B17)</f>
        <v>1714103</v>
      </c>
      <c r="C18" s="371">
        <v>797178</v>
      </c>
      <c r="D18" s="371">
        <f>SUM(D16:D17)</f>
        <v>1879089.6011163406</v>
      </c>
      <c r="E18" s="258"/>
      <c r="F18" s="371">
        <f>B18-D18</f>
        <v>-164986.60111634061</v>
      </c>
      <c r="G18" s="362">
        <f>F18/B18</f>
        <v>-9.6252442890736797E-2</v>
      </c>
      <c r="H18" s="258"/>
    </row>
    <row r="19" spans="1:13" ht="15" thickTop="1"/>
    <row r="25" spans="1:13" ht="23">
      <c r="A25" s="487" t="s">
        <v>585</v>
      </c>
      <c r="B25" s="487"/>
      <c r="C25" s="487"/>
      <c r="D25" s="487"/>
      <c r="E25" s="487"/>
      <c r="F25" s="258"/>
      <c r="G25" s="258"/>
      <c r="H25" s="258"/>
    </row>
    <row r="26" spans="1:13">
      <c r="A26" s="258"/>
      <c r="B26" s="258"/>
      <c r="C26" s="258"/>
      <c r="D26" s="258"/>
      <c r="E26" s="258"/>
      <c r="F26" s="488" t="s">
        <v>637</v>
      </c>
      <c r="G26" s="488"/>
      <c r="H26" s="488"/>
    </row>
    <row r="27" spans="1:13">
      <c r="A27" s="258"/>
      <c r="B27" s="354" t="s">
        <v>625</v>
      </c>
      <c r="C27" s="355" t="s">
        <v>583</v>
      </c>
      <c r="D27" s="356" t="s">
        <v>626</v>
      </c>
      <c r="E27" s="259" t="s">
        <v>627</v>
      </c>
      <c r="F27" s="259" t="s">
        <v>589</v>
      </c>
      <c r="G27" s="259" t="s">
        <v>588</v>
      </c>
      <c r="H27" s="259" t="s">
        <v>584</v>
      </c>
    </row>
    <row r="28" spans="1:13">
      <c r="A28" s="258" t="s">
        <v>194</v>
      </c>
      <c r="B28" s="357">
        <v>16000</v>
      </c>
      <c r="C28" s="358">
        <v>38500</v>
      </c>
      <c r="D28" s="359">
        <f>'Budget 2026'!N96</f>
        <v>38311.949999999997</v>
      </c>
      <c r="E28" s="360" t="s">
        <v>628</v>
      </c>
      <c r="F28" s="361">
        <f t="shared" ref="F28:F40" si="0">B28-D28</f>
        <v>-22311.949999999997</v>
      </c>
      <c r="G28" s="399">
        <f t="shared" ref="G28:G38" si="1">F28/B28</f>
        <v>-1.3944968749999997</v>
      </c>
      <c r="H28" s="233" t="s">
        <v>681</v>
      </c>
    </row>
    <row r="29" spans="1:13">
      <c r="A29" s="258" t="s">
        <v>197</v>
      </c>
      <c r="B29" s="357">
        <v>58248</v>
      </c>
      <c r="C29" s="358">
        <v>58248</v>
      </c>
      <c r="D29" s="359">
        <f>'Budget 2026'!N122</f>
        <v>63554.090000000004</v>
      </c>
      <c r="E29" s="360" t="s">
        <v>628</v>
      </c>
      <c r="F29" s="361">
        <f t="shared" si="0"/>
        <v>-5306.0900000000038</v>
      </c>
      <c r="G29" s="399">
        <f t="shared" si="1"/>
        <v>-9.1094801538250308E-2</v>
      </c>
      <c r="H29" s="258" t="s">
        <v>586</v>
      </c>
    </row>
    <row r="30" spans="1:13">
      <c r="A30" s="258" t="s">
        <v>276</v>
      </c>
      <c r="B30" s="357">
        <v>52620</v>
      </c>
      <c r="C30" s="358">
        <v>52620</v>
      </c>
      <c r="D30" s="359">
        <f>'Budget 2026'!N110</f>
        <v>39924</v>
      </c>
      <c r="E30" s="360" t="s">
        <v>628</v>
      </c>
      <c r="F30" s="361">
        <f t="shared" si="0"/>
        <v>12696</v>
      </c>
      <c r="G30" s="399">
        <f t="shared" si="1"/>
        <v>0.24127708095781072</v>
      </c>
      <c r="H30" s="258" t="s">
        <v>586</v>
      </c>
    </row>
    <row r="31" spans="1:13">
      <c r="A31" s="258" t="s">
        <v>278</v>
      </c>
      <c r="B31" s="357">
        <v>34528</v>
      </c>
      <c r="C31" s="358">
        <v>34528</v>
      </c>
      <c r="D31" s="359">
        <f>'Budget 2026'!N86</f>
        <v>31870</v>
      </c>
      <c r="E31" s="360" t="s">
        <v>628</v>
      </c>
      <c r="F31" s="361">
        <f t="shared" si="0"/>
        <v>2658</v>
      </c>
      <c r="G31" s="399">
        <f t="shared" si="1"/>
        <v>7.698100092678406E-2</v>
      </c>
      <c r="H31" s="258" t="s">
        <v>587</v>
      </c>
    </row>
    <row r="32" spans="1:13">
      <c r="A32" s="258" t="s">
        <v>49</v>
      </c>
      <c r="B32" s="357">
        <v>78420</v>
      </c>
      <c r="C32" s="358">
        <v>78420</v>
      </c>
      <c r="D32" s="359">
        <f>'Budget 2026'!N131</f>
        <v>60346.55999999999</v>
      </c>
      <c r="E32" s="360" t="s">
        <v>628</v>
      </c>
      <c r="F32" s="361">
        <f t="shared" si="0"/>
        <v>18073.44000000001</v>
      </c>
      <c r="G32" s="399">
        <f t="shared" si="1"/>
        <v>0.23046977811782721</v>
      </c>
      <c r="H32" s="233" t="s">
        <v>646</v>
      </c>
    </row>
    <row r="33" spans="1:8" ht="15">
      <c r="A33" s="258" t="s">
        <v>286</v>
      </c>
      <c r="B33" s="363">
        <v>29342</v>
      </c>
      <c r="C33" s="364">
        <v>29342</v>
      </c>
      <c r="D33" s="359">
        <f>'Budget 2026'!N77</f>
        <v>37771.769999999997</v>
      </c>
      <c r="E33" s="360" t="s">
        <v>628</v>
      </c>
      <c r="F33" s="361">
        <f t="shared" si="0"/>
        <v>-8429.7699999999968</v>
      </c>
      <c r="G33" s="399">
        <f t="shared" si="1"/>
        <v>-0.28729364051530221</v>
      </c>
      <c r="H33" s="258"/>
    </row>
    <row r="34" spans="1:8" ht="15">
      <c r="A34" s="258" t="s">
        <v>245</v>
      </c>
      <c r="B34" s="363">
        <v>95000</v>
      </c>
      <c r="C34" s="358">
        <v>94100</v>
      </c>
      <c r="D34" s="359">
        <f>'Budget 2026'!N133</f>
        <v>102000</v>
      </c>
      <c r="E34" s="360" t="s">
        <v>628</v>
      </c>
      <c r="F34" s="361">
        <f t="shared" si="0"/>
        <v>-7000</v>
      </c>
      <c r="G34" s="399">
        <f t="shared" si="1"/>
        <v>-7.3684210526315783E-2</v>
      </c>
      <c r="H34" s="258"/>
    </row>
    <row r="35" spans="1:8">
      <c r="A35" s="258" t="s">
        <v>289</v>
      </c>
      <c r="B35" s="365">
        <v>165000</v>
      </c>
      <c r="C35" s="358">
        <v>165500</v>
      </c>
      <c r="D35" s="359">
        <f>'Budget 2026'!N134</f>
        <v>151680</v>
      </c>
      <c r="E35" s="360" t="s">
        <v>628</v>
      </c>
      <c r="F35" s="361">
        <f t="shared" si="0"/>
        <v>13320</v>
      </c>
      <c r="G35" s="399">
        <f t="shared" si="1"/>
        <v>8.0727272727272731E-2</v>
      </c>
      <c r="H35" s="258"/>
    </row>
    <row r="36" spans="1:8" ht="15">
      <c r="A36" s="258" t="s">
        <v>291</v>
      </c>
      <c r="B36" s="365">
        <v>3960</v>
      </c>
      <c r="C36" s="364">
        <v>3960</v>
      </c>
      <c r="D36" s="359">
        <v>0</v>
      </c>
      <c r="E36" s="360" t="s">
        <v>628</v>
      </c>
      <c r="F36" s="361">
        <f t="shared" si="0"/>
        <v>3960</v>
      </c>
      <c r="G36" s="399">
        <f t="shared" si="1"/>
        <v>1</v>
      </c>
      <c r="H36" s="258" t="s">
        <v>636</v>
      </c>
    </row>
    <row r="37" spans="1:8">
      <c r="A37" s="258" t="s">
        <v>201</v>
      </c>
      <c r="B37" s="366">
        <v>153837</v>
      </c>
      <c r="C37" s="367">
        <v>151960</v>
      </c>
      <c r="D37" s="359">
        <f>'Budget 2026'!N151</f>
        <v>152400.4</v>
      </c>
      <c r="E37" s="360" t="s">
        <v>628</v>
      </c>
      <c r="F37" s="398">
        <f t="shared" si="0"/>
        <v>1436.6000000000058</v>
      </c>
      <c r="G37" s="399">
        <f t="shared" si="1"/>
        <v>9.3384556381105061E-3</v>
      </c>
      <c r="H37" s="233" t="s">
        <v>638</v>
      </c>
    </row>
    <row r="38" spans="1:8" ht="15">
      <c r="A38" s="258" t="s">
        <v>294</v>
      </c>
      <c r="B38" s="363">
        <v>54000</v>
      </c>
      <c r="C38" s="364">
        <v>54000</v>
      </c>
      <c r="D38" s="359">
        <f>'Budget 2026'!N51</f>
        <v>57337.815500740209</v>
      </c>
      <c r="E38" s="360" t="s">
        <v>628</v>
      </c>
      <c r="F38" s="398">
        <f t="shared" si="0"/>
        <v>-3337.8155007402092</v>
      </c>
      <c r="G38" s="399">
        <f t="shared" si="1"/>
        <v>-6.1811398161855727E-2</v>
      </c>
      <c r="H38" s="258"/>
    </row>
    <row r="39" spans="1:8">
      <c r="A39" s="368" t="s">
        <v>295</v>
      </c>
      <c r="B39" s="369">
        <v>0</v>
      </c>
      <c r="C39" s="370"/>
      <c r="D39" s="359"/>
      <c r="E39" s="360" t="s">
        <v>628</v>
      </c>
      <c r="F39" s="398">
        <f t="shared" si="0"/>
        <v>0</v>
      </c>
      <c r="G39" s="362"/>
      <c r="H39" s="258"/>
    </row>
    <row r="40" spans="1:8" ht="15" thickBot="1">
      <c r="A40" s="258"/>
      <c r="B40" s="371">
        <f>SUM(B28:B39)</f>
        <v>740955</v>
      </c>
      <c r="C40" s="371">
        <v>797178</v>
      </c>
      <c r="D40" s="371">
        <f>SUM(D28:D39)</f>
        <v>735196.58550074021</v>
      </c>
      <c r="E40" s="258"/>
      <c r="F40" s="371">
        <f t="shared" si="0"/>
        <v>5758.4144992597867</v>
      </c>
      <c r="G40" s="362">
        <f>F40/B40</f>
        <v>7.771611635335191E-3</v>
      </c>
      <c r="H40" s="258"/>
    </row>
    <row r="41" spans="1:8" ht="15" thickTop="1">
      <c r="A41" s="233" t="s">
        <v>720</v>
      </c>
      <c r="B41" s="243">
        <f>B40/B18</f>
        <v>0.43226982275860903</v>
      </c>
      <c r="C41" s="239"/>
      <c r="D41" s="243">
        <f>D40/D18</f>
        <v>0.39125147894170148</v>
      </c>
    </row>
    <row r="42" spans="1:8">
      <c r="A42" s="233" t="s">
        <v>209</v>
      </c>
      <c r="B42" s="411">
        <f>B18-B40</f>
        <v>973148</v>
      </c>
      <c r="C42" s="411">
        <f>C18-C40</f>
        <v>0</v>
      </c>
      <c r="D42" s="411">
        <f>D18-D40</f>
        <v>1143893.0156156004</v>
      </c>
    </row>
    <row r="43" spans="1:8">
      <c r="A43" s="233" t="s">
        <v>721</v>
      </c>
      <c r="B43" s="411">
        <f>B42/6.5%</f>
        <v>14971507.692307692</v>
      </c>
      <c r="C43" s="411"/>
      <c r="D43" s="411">
        <f>D42/6.5%</f>
        <v>17598354.086393852</v>
      </c>
    </row>
    <row r="44" spans="1:8">
      <c r="A44" s="233" t="s">
        <v>722</v>
      </c>
      <c r="B44" s="455">
        <f>B43-D43</f>
        <v>-2626846.3940861598</v>
      </c>
    </row>
    <row r="45" spans="1:8">
      <c r="A45" s="233"/>
    </row>
    <row r="50" spans="1:4">
      <c r="A50" s="235" t="s">
        <v>723</v>
      </c>
      <c r="B50" s="454">
        <f>(B16/127)/12</f>
        <v>976.6712598425197</v>
      </c>
      <c r="D50" s="454">
        <f>(D16/127)/12</f>
        <v>1092.4429141183336</v>
      </c>
    </row>
    <row r="51" spans="1:4">
      <c r="A51" s="233" t="s">
        <v>724</v>
      </c>
      <c r="B51" s="255">
        <f>B17/127</f>
        <v>1776.8188976377953</v>
      </c>
      <c r="C51" s="255">
        <f>C17/127</f>
        <v>458.64566929133861</v>
      </c>
      <c r="D51" s="255">
        <f>D17/127</f>
        <v>1686.6661417322834</v>
      </c>
    </row>
    <row r="52" spans="1:4">
      <c r="A52" s="233" t="s">
        <v>725</v>
      </c>
      <c r="B52" s="242">
        <f>B17/B16</f>
        <v>0.15160499500486077</v>
      </c>
      <c r="D52" s="242">
        <f>D17/D16</f>
        <v>0.1286616536155212</v>
      </c>
    </row>
    <row r="53" spans="1:4">
      <c r="A53" s="233" t="s">
        <v>726</v>
      </c>
    </row>
    <row r="54" spans="1:4">
      <c r="A54" s="233"/>
      <c r="B54" s="319"/>
    </row>
    <row r="55" spans="1:4">
      <c r="A55" s="233"/>
      <c r="B55" s="255"/>
    </row>
  </sheetData>
  <mergeCells count="4">
    <mergeCell ref="A25:E25"/>
    <mergeCell ref="F26:H26"/>
    <mergeCell ref="A13:E13"/>
    <mergeCell ref="F14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280C-B168-DF4B-A70E-C1574BAE5FFA}">
  <sheetPr>
    <outlinePr summaryBelow="0" summaryRight="0"/>
  </sheetPr>
  <dimension ref="A2:BB1003"/>
  <sheetViews>
    <sheetView topLeftCell="A6" zoomScale="106" workbookViewId="0">
      <selection activeCell="AF17" sqref="AF17"/>
    </sheetView>
  </sheetViews>
  <sheetFormatPr baseColWidth="10" defaultColWidth="12.6640625" defaultRowHeight="15" customHeight="1" outlineLevelRow="1" outlineLevelCol="1"/>
  <cols>
    <col min="1" max="1" width="38.1640625" bestFit="1" customWidth="1"/>
    <col min="2" max="3" width="18.6640625" customWidth="1"/>
    <col min="4" max="4" width="36.5" bestFit="1" customWidth="1"/>
    <col min="5" max="5" width="15.5" bestFit="1" customWidth="1"/>
    <col min="6" max="6" width="21.6640625" customWidth="1"/>
    <col min="7" max="7" width="42.1640625" customWidth="1"/>
    <col min="8" max="14" width="10.5" customWidth="1" outlineLevel="1"/>
    <col min="15" max="15" width="14.6640625" customWidth="1" outlineLevel="1"/>
    <col min="16" max="19" width="10.5" customWidth="1" outlineLevel="1"/>
    <col min="20" max="20" width="15.83203125" customWidth="1"/>
    <col min="21" max="21" width="7.6640625" bestFit="1" customWidth="1"/>
    <col min="22" max="22" width="13" customWidth="1" outlineLevel="1"/>
    <col min="23" max="23" width="7.6640625" customWidth="1" outlineLevel="1"/>
    <col min="24" max="24" width="12.6640625" customWidth="1" outlineLevel="1"/>
    <col min="25" max="25" width="7.6640625" customWidth="1" outlineLevel="1"/>
    <col min="26" max="26" width="12.6640625" customWidth="1" outlineLevel="1"/>
    <col min="27" max="27" width="7.6640625" customWidth="1" outlineLevel="1"/>
    <col min="28" max="28" width="12.1640625" customWidth="1" outlineLevel="1"/>
    <col min="29" max="29" width="7.6640625" customWidth="1" outlineLevel="1"/>
    <col min="30" max="30" width="7.6640625" customWidth="1"/>
    <col min="31" max="31" width="37" customWidth="1"/>
    <col min="32" max="32" width="13.83203125" customWidth="1"/>
    <col min="33" max="33" width="16.33203125" customWidth="1"/>
    <col min="34" max="34" width="21.5" customWidth="1"/>
    <col min="35" max="35" width="12.1640625" customWidth="1"/>
    <col min="36" max="36" width="14" customWidth="1"/>
    <col min="37" max="37" width="14.1640625" customWidth="1"/>
    <col min="38" max="38" width="12.1640625" customWidth="1"/>
    <col min="39" max="44" width="12.6640625" customWidth="1"/>
    <col min="45" max="45" width="34.6640625" customWidth="1"/>
    <col min="46" max="46" width="13.6640625" customWidth="1"/>
    <col min="49" max="49" width="13.6640625" customWidth="1"/>
  </cols>
  <sheetData>
    <row r="2" spans="1:54" ht="25">
      <c r="A2" s="372" t="s">
        <v>729</v>
      </c>
      <c r="B2" s="372"/>
      <c r="D2" s="372" t="s">
        <v>730</v>
      </c>
      <c r="E2" s="466"/>
      <c r="F2" s="466"/>
      <c r="AB2" s="492" t="s">
        <v>700</v>
      </c>
      <c r="AC2" s="492"/>
    </row>
    <row r="3" spans="1:54" ht="14">
      <c r="A3" s="1"/>
      <c r="B3" s="1"/>
      <c r="C3" s="1"/>
      <c r="D3" s="1" t="s">
        <v>732</v>
      </c>
      <c r="E3" s="29">
        <v>6.25E-2</v>
      </c>
      <c r="F3" s="1"/>
      <c r="G3" s="1"/>
      <c r="H3" s="493">
        <v>2026</v>
      </c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493"/>
      <c r="V3" s="489">
        <v>2027</v>
      </c>
      <c r="W3" s="489"/>
      <c r="X3" s="490">
        <v>2028</v>
      </c>
      <c r="Y3" s="490"/>
      <c r="Z3" s="490">
        <v>2029</v>
      </c>
      <c r="AA3" s="490"/>
      <c r="AB3" s="490">
        <v>2030</v>
      </c>
      <c r="AC3" s="490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54" ht="25">
      <c r="A4" s="1"/>
      <c r="B4" s="1"/>
      <c r="C4" s="1"/>
      <c r="D4" s="1" t="s">
        <v>733</v>
      </c>
      <c r="E4" s="1">
        <v>35</v>
      </c>
      <c r="F4" s="1"/>
      <c r="G4" s="1"/>
      <c r="H4" s="446">
        <f>'Budget 2026'!B1</f>
        <v>46023</v>
      </c>
      <c r="I4" s="446">
        <f>'Budget 2026'!C1</f>
        <v>46054</v>
      </c>
      <c r="J4" s="446">
        <f>'Budget 2026'!D1</f>
        <v>46082</v>
      </c>
      <c r="K4" s="446">
        <f>'Budget 2026'!E1</f>
        <v>46113</v>
      </c>
      <c r="L4" s="446">
        <f>'Budget 2026'!F1</f>
        <v>46143</v>
      </c>
      <c r="M4" s="446">
        <f>'Budget 2026'!G1</f>
        <v>46174</v>
      </c>
      <c r="N4" s="446">
        <f>'Budget 2026'!H1</f>
        <v>46204</v>
      </c>
      <c r="O4" s="446">
        <f>'Budget 2026'!I1</f>
        <v>46235</v>
      </c>
      <c r="P4" s="446">
        <f>'Budget 2026'!J1</f>
        <v>46266</v>
      </c>
      <c r="Q4" s="447">
        <f>'Budget 2026'!K1</f>
        <v>46296</v>
      </c>
      <c r="R4" s="447">
        <f>'Budget 2026'!L1</f>
        <v>46327</v>
      </c>
      <c r="S4" s="447">
        <f>'Budget 2026'!M1</f>
        <v>46357</v>
      </c>
      <c r="T4" s="448" t="s">
        <v>472</v>
      </c>
      <c r="U4" s="448"/>
      <c r="V4" s="489" t="s">
        <v>473</v>
      </c>
      <c r="W4" s="489"/>
      <c r="X4" s="490" t="s">
        <v>474</v>
      </c>
      <c r="Y4" s="490"/>
      <c r="Z4" s="490" t="s">
        <v>695</v>
      </c>
      <c r="AA4" s="490"/>
      <c r="AB4" s="490" t="s">
        <v>696</v>
      </c>
      <c r="AC4" s="490"/>
      <c r="AD4" s="1"/>
      <c r="AE4" s="491" t="s">
        <v>711</v>
      </c>
      <c r="AF4" s="491"/>
      <c r="AG4" s="491"/>
      <c r="AH4" s="491"/>
      <c r="AI4" s="491"/>
      <c r="AJ4" s="491"/>
      <c r="AK4" s="491"/>
      <c r="AL4" s="491"/>
    </row>
    <row r="5" spans="1:54" ht="14">
      <c r="A5" s="233" t="s">
        <v>710</v>
      </c>
      <c r="B5" s="239">
        <v>3.7199999999999997E-2</v>
      </c>
      <c r="C5" s="239"/>
      <c r="D5" s="1" t="s">
        <v>734</v>
      </c>
      <c r="E5" s="1">
        <v>1.1759999999999999</v>
      </c>
      <c r="F5" s="1"/>
      <c r="G5" s="4" t="s">
        <v>475</v>
      </c>
      <c r="H5" s="4"/>
      <c r="I5" s="4"/>
      <c r="J5" s="4"/>
      <c r="K5" s="4"/>
      <c r="L5" s="4"/>
      <c r="M5" s="4"/>
      <c r="N5" s="4"/>
      <c r="O5" s="453" t="s">
        <v>704</v>
      </c>
      <c r="P5" s="4"/>
      <c r="Q5" s="268"/>
      <c r="R5" s="268"/>
      <c r="S5" s="268"/>
      <c r="T5" s="268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265"/>
      <c r="AT5" s="22" t="s">
        <v>463</v>
      </c>
      <c r="AU5" s="22" t="s">
        <v>463</v>
      </c>
      <c r="AV5" s="22" t="s">
        <v>463</v>
      </c>
      <c r="AW5" s="21" t="s">
        <v>463</v>
      </c>
      <c r="AX5" s="21" t="s">
        <v>463</v>
      </c>
      <c r="AY5" s="21" t="s">
        <v>463</v>
      </c>
      <c r="AZ5" s="21" t="s">
        <v>463</v>
      </c>
      <c r="BA5" s="21" t="s">
        <v>463</v>
      </c>
      <c r="BB5" s="21" t="s">
        <v>463</v>
      </c>
    </row>
    <row r="6" spans="1:54" ht="15" customHeight="1">
      <c r="A6" s="1" t="s">
        <v>703</v>
      </c>
      <c r="B6" s="29">
        <v>1.55E-2</v>
      </c>
      <c r="C6" s="29"/>
      <c r="D6" s="1" t="s">
        <v>735</v>
      </c>
      <c r="E6" s="35">
        <v>0.85</v>
      </c>
      <c r="F6" s="1"/>
      <c r="G6" s="1" t="s">
        <v>476</v>
      </c>
      <c r="H6" s="1"/>
      <c r="I6" s="1"/>
      <c r="J6" s="1"/>
      <c r="K6" s="1"/>
      <c r="L6" s="1"/>
      <c r="M6" s="1"/>
      <c r="N6" s="1"/>
      <c r="O6" s="1"/>
      <c r="P6" s="1"/>
      <c r="Q6" s="268"/>
      <c r="R6" s="268"/>
      <c r="S6" s="268"/>
      <c r="T6" s="268"/>
      <c r="U6" s="35"/>
      <c r="V6" s="111">
        <v>0.04</v>
      </c>
      <c r="W6" s="29"/>
      <c r="X6" s="111">
        <v>0.03</v>
      </c>
      <c r="Y6" s="29"/>
      <c r="Z6" s="111">
        <v>0.03</v>
      </c>
      <c r="AA6" s="29"/>
      <c r="AB6" s="111">
        <v>0.03</v>
      </c>
      <c r="AC6" s="29"/>
      <c r="AD6" s="1"/>
      <c r="AE6" s="276" t="s">
        <v>479</v>
      </c>
      <c r="AF6" s="277"/>
      <c r="AG6" s="1"/>
      <c r="AT6" s="106" t="s">
        <v>464</v>
      </c>
      <c r="AU6" s="106" t="s">
        <v>464</v>
      </c>
      <c r="AV6" s="106" t="s">
        <v>464</v>
      </c>
      <c r="AW6" s="389" t="s">
        <v>464</v>
      </c>
      <c r="AX6" s="107"/>
      <c r="AY6" s="107"/>
      <c r="AZ6" s="107"/>
      <c r="BA6" s="107"/>
      <c r="BB6" s="108"/>
    </row>
    <row r="7" spans="1:54" ht="15" customHeight="1">
      <c r="A7" s="1" t="s">
        <v>731</v>
      </c>
      <c r="B7" s="29">
        <f>SUM(B5:B6)</f>
        <v>5.2699999999999997E-2</v>
      </c>
      <c r="C7" s="29"/>
      <c r="D7" s="233" t="s">
        <v>736</v>
      </c>
      <c r="E7">
        <v>350</v>
      </c>
      <c r="F7" s="1"/>
      <c r="G7" s="1" t="s">
        <v>477</v>
      </c>
      <c r="H7" s="1"/>
      <c r="I7" s="1"/>
      <c r="J7" s="1"/>
      <c r="K7" s="1"/>
      <c r="L7" s="1"/>
      <c r="M7" s="1"/>
      <c r="N7" s="1"/>
      <c r="O7" s="1"/>
      <c r="P7" s="1"/>
      <c r="Q7" s="268"/>
      <c r="R7" s="268"/>
      <c r="S7" s="268"/>
      <c r="T7" s="268"/>
      <c r="U7" s="35"/>
      <c r="V7" s="111">
        <v>0.02</v>
      </c>
      <c r="W7" s="29"/>
      <c r="X7" s="111">
        <v>0.02</v>
      </c>
      <c r="Y7" s="29"/>
      <c r="Z7" s="111">
        <v>0.02</v>
      </c>
      <c r="AA7" s="29"/>
      <c r="AB7" s="111">
        <v>0.02</v>
      </c>
      <c r="AC7" s="29"/>
      <c r="AD7" s="1"/>
      <c r="AE7" s="278" t="s">
        <v>204</v>
      </c>
      <c r="AF7" s="279">
        <f>Z34</f>
        <v>1525849.7488072803</v>
      </c>
      <c r="AG7" s="1"/>
      <c r="AH7" s="235" t="s">
        <v>617</v>
      </c>
      <c r="AL7" s="301">
        <f>AG37</f>
        <v>6047500</v>
      </c>
      <c r="AT7" s="109" t="s">
        <v>465</v>
      </c>
      <c r="AU7" s="110">
        <v>46320</v>
      </c>
      <c r="AV7" s="110">
        <v>46351</v>
      </c>
      <c r="AW7" s="109" t="s">
        <v>466</v>
      </c>
      <c r="AX7" s="109" t="s">
        <v>467</v>
      </c>
      <c r="AY7" s="109" t="s">
        <v>468</v>
      </c>
      <c r="AZ7" s="109" t="s">
        <v>469</v>
      </c>
      <c r="BA7" s="109" t="s">
        <v>470</v>
      </c>
      <c r="BB7" s="109" t="s">
        <v>471</v>
      </c>
    </row>
    <row r="8" spans="1:54" ht="15" customHeight="1">
      <c r="D8" s="233" t="s">
        <v>737</v>
      </c>
      <c r="E8">
        <v>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68"/>
      <c r="R8" s="268"/>
      <c r="S8" s="268"/>
      <c r="T8" s="268"/>
      <c r="U8" s="1"/>
      <c r="V8" s="1"/>
      <c r="W8" s="1"/>
      <c r="X8" s="1"/>
      <c r="Y8" s="1"/>
      <c r="Z8" s="1"/>
      <c r="AA8" s="1"/>
      <c r="AB8" s="1"/>
      <c r="AC8" s="1"/>
      <c r="AD8" s="1"/>
      <c r="AE8" s="280" t="s">
        <v>481</v>
      </c>
      <c r="AF8" s="281">
        <v>7.0000000000000007E-2</v>
      </c>
      <c r="AG8" s="1"/>
      <c r="AH8" s="298" t="s">
        <v>618</v>
      </c>
      <c r="AI8" s="298"/>
      <c r="AJ8" s="298"/>
      <c r="AK8" s="298"/>
      <c r="AL8" s="298"/>
      <c r="AS8" s="1" t="s">
        <v>483</v>
      </c>
      <c r="AT8" s="115">
        <v>136185.29999999999</v>
      </c>
      <c r="AU8" s="115">
        <v>139780.78</v>
      </c>
      <c r="AV8" s="115">
        <v>143362</v>
      </c>
      <c r="AW8" s="115">
        <f t="shared" ref="AW8:BB8" si="0">AV8</f>
        <v>143362</v>
      </c>
      <c r="AX8" s="115">
        <f t="shared" si="0"/>
        <v>143362</v>
      </c>
      <c r="AY8" s="115">
        <f t="shared" si="0"/>
        <v>143362</v>
      </c>
      <c r="AZ8" s="115">
        <f t="shared" si="0"/>
        <v>143362</v>
      </c>
      <c r="BA8" s="115">
        <f t="shared" si="0"/>
        <v>143362</v>
      </c>
      <c r="BB8" s="115">
        <f t="shared" si="0"/>
        <v>143362</v>
      </c>
    </row>
    <row r="9" spans="1:54" ht="15" customHeight="1">
      <c r="A9" s="112" t="s">
        <v>478</v>
      </c>
      <c r="B9" s="113"/>
      <c r="C9" s="113"/>
      <c r="D9" s="1" t="s">
        <v>738</v>
      </c>
      <c r="E9" s="35">
        <v>0.04</v>
      </c>
      <c r="F9" s="1"/>
      <c r="G9" s="112" t="s">
        <v>235</v>
      </c>
      <c r="H9" s="112"/>
      <c r="I9" s="112"/>
      <c r="J9" s="112"/>
      <c r="K9" s="112"/>
      <c r="L9" s="112"/>
      <c r="M9" s="112"/>
      <c r="N9" s="112"/>
      <c r="O9" s="112"/>
      <c r="P9" s="112"/>
      <c r="Q9" s="336"/>
      <c r="R9" s="336"/>
      <c r="S9" s="336"/>
      <c r="T9" s="449" t="s">
        <v>699</v>
      </c>
      <c r="U9" s="113"/>
      <c r="V9" s="449" t="s">
        <v>699</v>
      </c>
      <c r="W9" s="113"/>
      <c r="X9" s="449" t="s">
        <v>699</v>
      </c>
      <c r="Y9" s="113"/>
      <c r="Z9" s="449" t="s">
        <v>699</v>
      </c>
      <c r="AA9" s="113"/>
      <c r="AB9" s="449" t="s">
        <v>699</v>
      </c>
      <c r="AC9" s="113"/>
      <c r="AD9" s="1"/>
      <c r="AE9" s="280" t="s">
        <v>484</v>
      </c>
      <c r="AF9" s="282">
        <v>0</v>
      </c>
      <c r="AG9" s="1"/>
      <c r="AH9" s="233" t="s">
        <v>504</v>
      </c>
      <c r="AL9" s="231">
        <f>AG37</f>
        <v>6047500</v>
      </c>
      <c r="AS9" s="1" t="s">
        <v>485</v>
      </c>
      <c r="AT9" s="117">
        <v>-17406.099999999999</v>
      </c>
      <c r="AU9" s="117">
        <v>-5336.53</v>
      </c>
      <c r="AV9" s="117">
        <v>-8718.07</v>
      </c>
      <c r="AW9" s="117">
        <v>-6599.14</v>
      </c>
      <c r="AX9" s="117">
        <v>-3377</v>
      </c>
      <c r="AY9" s="117">
        <v>-3377</v>
      </c>
      <c r="AZ9" s="117">
        <v>-3377</v>
      </c>
      <c r="BA9" s="117">
        <v>-3377</v>
      </c>
      <c r="BB9" s="117">
        <v>-3377</v>
      </c>
    </row>
    <row r="10" spans="1:54" ht="15" customHeight="1">
      <c r="A10" s="233" t="s">
        <v>184</v>
      </c>
      <c r="B10" s="21">
        <v>127</v>
      </c>
      <c r="C10" s="21"/>
      <c r="D10" s="467"/>
      <c r="E10" s="115"/>
      <c r="F10" s="1"/>
      <c r="G10" s="1" t="s">
        <v>480</v>
      </c>
      <c r="H10" s="1"/>
      <c r="I10" s="1"/>
      <c r="J10" s="1"/>
      <c r="K10" s="1"/>
      <c r="L10" s="1"/>
      <c r="M10" s="1"/>
      <c r="N10" s="1"/>
      <c r="O10" s="1"/>
      <c r="P10" s="1"/>
      <c r="Q10" s="269"/>
      <c r="R10" s="269"/>
      <c r="S10" s="269"/>
      <c r="T10" s="115">
        <f>(T17/$B$10)/12</f>
        <v>1092.4429141183336</v>
      </c>
      <c r="V10" s="115">
        <f>(V17/$B$10)/12</f>
        <v>1242.1260472440947</v>
      </c>
      <c r="W10" s="34"/>
      <c r="X10" s="115">
        <f>(X17/$B$10)/12</f>
        <v>1279.3898286614174</v>
      </c>
      <c r="Y10" s="34"/>
      <c r="Z10" s="115">
        <f>(Z17/$B$10)/12</f>
        <v>1317.77152352126</v>
      </c>
      <c r="AA10" s="34"/>
      <c r="AB10" s="115">
        <f>(AB17/$B$10)/12</f>
        <v>1357.3046692268974</v>
      </c>
      <c r="AC10" s="34"/>
      <c r="AD10" s="1"/>
      <c r="AE10" s="280" t="s">
        <v>496</v>
      </c>
      <c r="AF10" s="283">
        <f>-AF30-AG32</f>
        <v>3568460.4948161375</v>
      </c>
      <c r="AG10" s="1"/>
      <c r="AH10" s="233" t="s">
        <v>716</v>
      </c>
      <c r="AL10" s="301">
        <f>AH37</f>
        <v>0</v>
      </c>
      <c r="AM10" s="21"/>
      <c r="AN10" s="94"/>
      <c r="AS10" s="1" t="s">
        <v>487</v>
      </c>
      <c r="AT10" s="117">
        <f t="shared" ref="AT10:BB10" si="1">SUM(AT11:AT13)</f>
        <v>-33231</v>
      </c>
      <c r="AU10" s="117">
        <f t="shared" si="1"/>
        <v>-31462.9</v>
      </c>
      <c r="AV10" s="117">
        <f t="shared" si="1"/>
        <v>-13600</v>
      </c>
      <c r="AW10" s="117">
        <f t="shared" si="1"/>
        <v>-20106.11</v>
      </c>
      <c r="AX10" s="117">
        <f t="shared" si="1"/>
        <v>-13412</v>
      </c>
      <c r="AY10" s="117">
        <f t="shared" si="1"/>
        <v>-13412</v>
      </c>
      <c r="AZ10" s="117">
        <f t="shared" si="1"/>
        <v>-11412</v>
      </c>
      <c r="BA10" s="117">
        <f t="shared" si="1"/>
        <v>-8412</v>
      </c>
      <c r="BB10" s="117">
        <f t="shared" si="1"/>
        <v>-6412</v>
      </c>
    </row>
    <row r="11" spans="1:54" ht="15" customHeight="1">
      <c r="A11" s="233" t="s">
        <v>697</v>
      </c>
      <c r="B11">
        <v>1.25</v>
      </c>
      <c r="D11" s="467" t="s">
        <v>743</v>
      </c>
      <c r="E11" s="470">
        <f>E4*12</f>
        <v>420</v>
      </c>
      <c r="F11" s="1"/>
      <c r="G11" s="1" t="s">
        <v>483</v>
      </c>
      <c r="H11" s="416">
        <f>'Budget 2026'!B2</f>
        <v>159666</v>
      </c>
      <c r="I11" s="416">
        <f>'Budget 2026'!C2</f>
        <v>159666</v>
      </c>
      <c r="J11" s="416">
        <f>'Budget 2026'!D2</f>
        <v>159666</v>
      </c>
      <c r="K11" s="416">
        <f>'Budget 2026'!E2</f>
        <v>159666</v>
      </c>
      <c r="L11" s="416">
        <f>'Budget 2026'!F2</f>
        <v>159666</v>
      </c>
      <c r="M11" s="416">
        <f>'Budget 2026'!G2</f>
        <v>159666</v>
      </c>
      <c r="N11" s="416">
        <f>'Budget 2026'!H2</f>
        <v>159666</v>
      </c>
      <c r="O11" s="416">
        <f>'Budget 2026'!I2</f>
        <v>159666</v>
      </c>
      <c r="P11" s="416">
        <f>'Budget 2026'!J2</f>
        <v>159666</v>
      </c>
      <c r="Q11" s="421">
        <f>'Budget 2026'!K2</f>
        <v>159666</v>
      </c>
      <c r="R11" s="421">
        <f>'Budget 2026'!L2</f>
        <v>159666</v>
      </c>
      <c r="S11" s="421">
        <f>'Budget 2026'!M2</f>
        <v>159666</v>
      </c>
      <c r="T11" s="422">
        <f t="shared" ref="T11:T19" si="2">SUM(H11:S11)</f>
        <v>1915992</v>
      </c>
      <c r="V11" s="115">
        <f>T11*(1+V6)</f>
        <v>1992631.6800000002</v>
      </c>
      <c r="W11" s="1"/>
      <c r="X11" s="115">
        <f>V11*(1+X6)</f>
        <v>2052410.6304000001</v>
      </c>
      <c r="Y11" s="1"/>
      <c r="Z11" s="115">
        <f>X11*(1+Z6)</f>
        <v>2113982.9493120001</v>
      </c>
      <c r="AA11" s="1"/>
      <c r="AB11" s="115">
        <f>Z11*(1+AB6)</f>
        <v>2177402.4377913601</v>
      </c>
      <c r="AC11" s="1"/>
      <c r="AD11" s="1"/>
      <c r="AE11" s="284"/>
      <c r="AF11" s="285"/>
      <c r="AG11" s="1"/>
      <c r="AH11" s="233" t="s">
        <v>717</v>
      </c>
      <c r="AL11" s="244">
        <f>AI37</f>
        <v>1621350.1521347943</v>
      </c>
      <c r="AN11" s="31"/>
      <c r="AS11" s="1" t="s">
        <v>489</v>
      </c>
      <c r="AT11" s="117">
        <v>-17426</v>
      </c>
      <c r="AU11" s="117">
        <f>-(19220+410)</f>
        <v>-19630</v>
      </c>
      <c r="AV11" s="117">
        <f>-(11590+310)</f>
        <v>-11900</v>
      </c>
      <c r="AW11" s="117">
        <v>-919</v>
      </c>
      <c r="AX11" s="117">
        <v>-1712</v>
      </c>
      <c r="AY11" s="117">
        <v>-1712</v>
      </c>
      <c r="AZ11" s="117">
        <v>-1712</v>
      </c>
      <c r="BA11" s="117">
        <v>-1712</v>
      </c>
      <c r="BB11" s="117">
        <v>-1712</v>
      </c>
    </row>
    <row r="12" spans="1:54" ht="15" customHeight="1">
      <c r="A12" s="28" t="s">
        <v>205</v>
      </c>
      <c r="B12" s="114">
        <v>0.75</v>
      </c>
      <c r="C12" s="114"/>
      <c r="D12" s="467"/>
      <c r="E12" s="1"/>
      <c r="F12" s="1"/>
      <c r="G12" s="1" t="s">
        <v>485</v>
      </c>
      <c r="H12" s="417">
        <f>'Budget 2026'!B7</f>
        <v>-14165.28</v>
      </c>
      <c r="I12" s="417">
        <f>'Budget 2026'!C7</f>
        <v>-9443.52</v>
      </c>
      <c r="J12" s="417">
        <f>'Budget 2026'!D7</f>
        <v>-4733.5644000000002</v>
      </c>
      <c r="K12" s="417">
        <f>'Budget 2026'!E7</f>
        <v>-4739.7180337200007</v>
      </c>
      <c r="L12" s="417">
        <f>'Budget 2026'!F7</f>
        <v>-4745.8796671638374</v>
      </c>
      <c r="M12" s="417">
        <f>'Budget 2026'!G7</f>
        <v>-4752.0493107311504</v>
      </c>
      <c r="N12" s="417">
        <f>'Budget 2026'!H7</f>
        <v>-4760.6029994904666</v>
      </c>
      <c r="O12" s="417">
        <f>'Budget 2026'!I7</f>
        <v>-4769.1720848895493</v>
      </c>
      <c r="P12" s="417">
        <f>'Budget 2026'!J7</f>
        <v>-3583.3174459817633</v>
      </c>
      <c r="Q12" s="423">
        <f>'Budget 2026'!K7</f>
        <v>-3585.4674364493521</v>
      </c>
      <c r="R12" s="423">
        <f>'Budget 2026'!L7</f>
        <v>-3587.6187169112209</v>
      </c>
      <c r="S12" s="423">
        <f>'Budget 2026'!M7</f>
        <v>-3589.7712881413672</v>
      </c>
      <c r="T12" s="422">
        <f t="shared" si="2"/>
        <v>-66455.961383478716</v>
      </c>
      <c r="U12" s="243">
        <f>ABS(T12/$T$11)</f>
        <v>3.4684884583797176E-2</v>
      </c>
      <c r="V12" s="117">
        <f>-V11*W12</f>
        <v>-19926.316800000001</v>
      </c>
      <c r="W12" s="111">
        <v>0.01</v>
      </c>
      <c r="X12" s="117">
        <f>-X11*Y12</f>
        <v>-41048.212608000002</v>
      </c>
      <c r="Y12" s="111">
        <v>0.02</v>
      </c>
      <c r="Z12" s="117">
        <f>-Z11*AA12</f>
        <v>-42279.65898624</v>
      </c>
      <c r="AA12" s="111">
        <v>0.02</v>
      </c>
      <c r="AB12" s="117">
        <f>-AB11*AC12</f>
        <v>-43548.0487558272</v>
      </c>
      <c r="AC12" s="111">
        <v>0.02</v>
      </c>
      <c r="AD12" s="1"/>
      <c r="AE12" s="280" t="s">
        <v>488</v>
      </c>
      <c r="AF12" s="286">
        <f>AF7/AF8</f>
        <v>21797853.554389715</v>
      </c>
      <c r="AG12" s="431">
        <f>AF12/B10</f>
        <v>171636.64216054894</v>
      </c>
      <c r="AH12" s="233" t="s">
        <v>701</v>
      </c>
      <c r="AL12" s="244">
        <f>AK36</f>
        <v>2136890.7202052535</v>
      </c>
      <c r="AM12" s="21"/>
      <c r="AS12" s="1" t="s">
        <v>490</v>
      </c>
      <c r="AT12" s="117">
        <f>856</f>
        <v>856</v>
      </c>
      <c r="AU12" s="117">
        <v>-158.9</v>
      </c>
      <c r="AV12" s="117">
        <v>-1700</v>
      </c>
      <c r="AW12" s="117">
        <v>-4847.1099999999997</v>
      </c>
      <c r="AX12" s="117">
        <v>-1700</v>
      </c>
      <c r="AY12" s="117">
        <v>-1700</v>
      </c>
      <c r="AZ12" s="117">
        <v>-1700</v>
      </c>
      <c r="BA12" s="117">
        <v>-1700</v>
      </c>
      <c r="BB12" s="117">
        <v>-1700</v>
      </c>
    </row>
    <row r="13" spans="1:54" ht="15" customHeight="1" thickBot="1">
      <c r="A13" s="28" t="s">
        <v>206</v>
      </c>
      <c r="B13" s="111">
        <f>B7</f>
        <v>5.2699999999999997E-2</v>
      </c>
      <c r="C13" s="111"/>
      <c r="D13" s="467"/>
      <c r="E13" s="242"/>
      <c r="F13" s="1"/>
      <c r="G13" s="1" t="s">
        <v>487</v>
      </c>
      <c r="H13" s="1"/>
      <c r="I13" s="1"/>
      <c r="J13" s="1"/>
      <c r="K13" s="1"/>
      <c r="L13" s="1"/>
      <c r="M13" s="1"/>
      <c r="N13" s="1"/>
      <c r="O13" s="1"/>
      <c r="P13" s="1"/>
      <c r="Q13" s="337"/>
      <c r="R13" s="337"/>
      <c r="S13" s="337"/>
      <c r="T13" s="422">
        <f t="shared" si="2"/>
        <v>0</v>
      </c>
      <c r="U13" s="243"/>
      <c r="V13" s="254">
        <f>-V11*W13</f>
        <v>-79705.267200000002</v>
      </c>
      <c r="W13" s="253">
        <v>0.04</v>
      </c>
      <c r="X13" s="254">
        <f>-X11*Y13</f>
        <v>-61572.318912000002</v>
      </c>
      <c r="Y13" s="253">
        <v>0.03</v>
      </c>
      <c r="Z13" s="254">
        <f>-Z11*AA13</f>
        <v>-63419.488479359999</v>
      </c>
      <c r="AA13" s="253">
        <v>0.03</v>
      </c>
      <c r="AB13" s="254">
        <f>-AB11*AC13</f>
        <v>-65322.0731337408</v>
      </c>
      <c r="AC13" s="253">
        <v>0.03</v>
      </c>
      <c r="AD13" s="1"/>
      <c r="AE13" s="280" t="s">
        <v>486</v>
      </c>
      <c r="AF13" s="283">
        <f>SUM(T45:AB45)</f>
        <v>180000</v>
      </c>
      <c r="AG13" s="445">
        <f>AF13/B10</f>
        <v>1417.3228346456692</v>
      </c>
      <c r="AH13" s="22" t="s">
        <v>718</v>
      </c>
      <c r="AI13" s="235"/>
      <c r="AJ13" s="235"/>
      <c r="AK13" s="235"/>
      <c r="AL13" s="302">
        <f>SUM(AL9:AL12)</f>
        <v>9805740.8723400477</v>
      </c>
      <c r="AM13" s="21"/>
      <c r="AN13" s="21"/>
      <c r="AS13" s="1" t="s">
        <v>491</v>
      </c>
      <c r="AT13" s="117">
        <v>-16661</v>
      </c>
      <c r="AU13" s="117">
        <v>-11674</v>
      </c>
      <c r="AV13" s="117">
        <v>0</v>
      </c>
      <c r="AW13" s="117">
        <v>-14340</v>
      </c>
      <c r="AX13" s="117">
        <v>-10000</v>
      </c>
      <c r="AY13" s="117">
        <v>-10000</v>
      </c>
      <c r="AZ13" s="117">
        <v>-8000</v>
      </c>
      <c r="BA13" s="117">
        <v>-5000</v>
      </c>
      <c r="BB13" s="117">
        <v>-3000</v>
      </c>
    </row>
    <row r="14" spans="1:54" ht="15" customHeight="1" outlineLevel="1" thickTop="1">
      <c r="A14" s="28" t="s">
        <v>207</v>
      </c>
      <c r="B14" s="111">
        <v>6.5000000000000002E-2</v>
      </c>
      <c r="C14" s="111"/>
      <c r="D14" s="1"/>
      <c r="E14" s="115"/>
      <c r="F14" s="1"/>
      <c r="G14" s="1" t="s">
        <v>489</v>
      </c>
      <c r="H14" s="417">
        <f>SUM('Budget 2026'!B4:B6)</f>
        <v>-310</v>
      </c>
      <c r="I14" s="417">
        <f>SUM('Budget 2026'!C4:C6)</f>
        <v>-3851.32</v>
      </c>
      <c r="J14" s="417">
        <f>SUM('Budget 2026'!D4:D6)</f>
        <v>-10072.976575000001</v>
      </c>
      <c r="K14" s="417">
        <f>SUM('Budget 2026'!E4:E6)</f>
        <v>-2087.3942626450003</v>
      </c>
      <c r="L14" s="417">
        <f>SUM('Budget 2026'!F4:F6)</f>
        <v>-2979.5573127796588</v>
      </c>
      <c r="M14" s="417">
        <f>SUM('Budget 2026'!G4:G6)</f>
        <v>-2983.027737286272</v>
      </c>
      <c r="N14" s="417">
        <f>SUM('Budget 2026'!H4:H6)</f>
        <v>-2095.2261248089249</v>
      </c>
      <c r="O14" s="417">
        <f>SUM('Budget 2026'!I4:I6)</f>
        <v>-2098.439531833581</v>
      </c>
      <c r="P14" s="417">
        <f>SUM('Budget 2026'!J4:J6)</f>
        <v>-2101.6587229908819</v>
      </c>
      <c r="Q14" s="423">
        <f>SUM('Budget 2026'!K4:K6)</f>
        <v>-1206.366859112338</v>
      </c>
      <c r="R14" s="423">
        <f>SUM('Budget 2026'!L4:L6)</f>
        <v>-1206.9046792278052</v>
      </c>
      <c r="S14" s="423">
        <f>SUM('Budget 2026'!M4:M6)</f>
        <v>-1207.4428220353418</v>
      </c>
      <c r="T14" s="422">
        <f t="shared" si="2"/>
        <v>-32200.314627719807</v>
      </c>
      <c r="U14" s="243">
        <f>ABS(T14/$T$11)</f>
        <v>1.680607989371553E-2</v>
      </c>
      <c r="V14" s="117"/>
      <c r="W14" s="111"/>
      <c r="X14" s="117"/>
      <c r="Y14" s="111"/>
      <c r="Z14" s="117"/>
      <c r="AA14" s="111"/>
      <c r="AB14" s="117"/>
      <c r="AC14" s="111"/>
      <c r="AD14" s="1"/>
      <c r="AE14" s="280" t="s">
        <v>612</v>
      </c>
      <c r="AF14" s="286">
        <f>-B62</f>
        <v>0</v>
      </c>
      <c r="AG14" s="1"/>
      <c r="AM14" s="21"/>
      <c r="AS14" s="27" t="s">
        <v>492</v>
      </c>
      <c r="AT14" s="119">
        <f t="shared" ref="AT14:BB14" si="3">SUM(AT8:AT10)</f>
        <v>85548.199999999983</v>
      </c>
      <c r="AU14" s="119">
        <f t="shared" si="3"/>
        <v>102981.35</v>
      </c>
      <c r="AV14" s="119">
        <f t="shared" si="3"/>
        <v>121043.93</v>
      </c>
      <c r="AW14" s="119">
        <f t="shared" si="3"/>
        <v>116656.74999999999</v>
      </c>
      <c r="AX14" s="119">
        <f t="shared" si="3"/>
        <v>126573</v>
      </c>
      <c r="AY14" s="119">
        <f t="shared" si="3"/>
        <v>126573</v>
      </c>
      <c r="AZ14" s="119">
        <f t="shared" si="3"/>
        <v>128573</v>
      </c>
      <c r="BA14" s="119">
        <f t="shared" si="3"/>
        <v>131573</v>
      </c>
      <c r="BB14" s="119">
        <f t="shared" si="3"/>
        <v>133573</v>
      </c>
    </row>
    <row r="15" spans="1:54" ht="15" customHeight="1" outlineLevel="1">
      <c r="A15" s="28" t="s">
        <v>706</v>
      </c>
      <c r="B15" s="115">
        <f>SUM(L19:N19)*4</f>
        <v>1926748.8565415265</v>
      </c>
      <c r="C15" s="115"/>
      <c r="D15" s="28" t="s">
        <v>706</v>
      </c>
      <c r="E15" s="115">
        <f>T19</f>
        <v>1879089.6011163406</v>
      </c>
      <c r="F15" s="1"/>
      <c r="G15" s="1" t="s">
        <v>490</v>
      </c>
      <c r="H15" s="417">
        <f>'Budget 2026'!B3</f>
        <v>-9750.1199999999862</v>
      </c>
      <c r="I15" s="417">
        <f>'Budget 2026'!C3</f>
        <v>-9750.1199999999862</v>
      </c>
      <c r="J15" s="417">
        <f>'Budget 2026'!D3</f>
        <v>-9375.3302999999869</v>
      </c>
      <c r="K15" s="417">
        <f>'Budget 2026'!E3</f>
        <v>-9179.9524293899722</v>
      </c>
      <c r="L15" s="417">
        <f>'Budget 2026'!F3</f>
        <v>-8984.3205675481549</v>
      </c>
      <c r="M15" s="417">
        <f>'Budget 2026'!G3</f>
        <v>-8788.4343842859689</v>
      </c>
      <c r="N15" s="417">
        <f>'Budget 2026'!H3</f>
        <v>-8516.8547661776793</v>
      </c>
      <c r="O15" s="417">
        <f>'Budget 2026'!I3</f>
        <v>-8244.7863047568044</v>
      </c>
      <c r="P15" s="417">
        <f>'Budget 2026'!J3</f>
        <v>-7972.2281201053484</v>
      </c>
      <c r="Q15" s="423">
        <f>'Budget 2026'!K3</f>
        <v>-7881.2118569774302</v>
      </c>
      <c r="R15" s="423">
        <f>'Budget 2026'!L3</f>
        <v>-7790.140984091634</v>
      </c>
      <c r="S15" s="423">
        <f>'Budget 2026'!M3</f>
        <v>-7699.0154686821052</v>
      </c>
      <c r="T15" s="422">
        <f t="shared" si="2"/>
        <v>-103932.51518201506</v>
      </c>
      <c r="U15" s="243">
        <f>ABS(T15/$T$11)</f>
        <v>5.4244754248459842E-2</v>
      </c>
      <c r="V15" s="117"/>
      <c r="W15" s="111"/>
      <c r="X15" s="117"/>
      <c r="Y15" s="111"/>
      <c r="Z15" s="117"/>
      <c r="AA15" s="111"/>
      <c r="AB15" s="117"/>
      <c r="AC15" s="111"/>
      <c r="AD15" s="1"/>
      <c r="AE15" s="280" t="s">
        <v>614</v>
      </c>
      <c r="AF15" s="286">
        <f>-B68*3</f>
        <v>0</v>
      </c>
      <c r="AG15" s="1"/>
      <c r="AH15" s="298" t="s">
        <v>622</v>
      </c>
      <c r="AI15" s="298"/>
      <c r="AJ15" s="298"/>
      <c r="AK15" s="298"/>
      <c r="AL15" s="298"/>
      <c r="AM15" s="21"/>
      <c r="AS15" s="27" t="s">
        <v>301</v>
      </c>
      <c r="AT15" s="122">
        <v>13112.8</v>
      </c>
      <c r="AU15" s="122">
        <v>13988.72</v>
      </c>
      <c r="AV15" s="122">
        <v>17456.189999999999</v>
      </c>
      <c r="AW15" s="122">
        <v>13773.1</v>
      </c>
      <c r="AX15" s="122">
        <v>14839</v>
      </c>
      <c r="AY15" s="122">
        <v>14839</v>
      </c>
      <c r="AZ15" s="122">
        <v>14839</v>
      </c>
      <c r="BA15" s="122">
        <v>14839</v>
      </c>
      <c r="BB15" s="122">
        <v>14839</v>
      </c>
    </row>
    <row r="16" spans="1:54" ht="15" customHeight="1" outlineLevel="1" thickBot="1">
      <c r="A16" s="28" t="s">
        <v>705</v>
      </c>
      <c r="B16" s="115">
        <f>SUM(L32:N32)*4</f>
        <v>709184.38569624582</v>
      </c>
      <c r="C16" s="115"/>
      <c r="D16" s="28" t="s">
        <v>705</v>
      </c>
      <c r="E16" s="115">
        <f>T32</f>
        <v>734656.40550074016</v>
      </c>
      <c r="F16" s="1"/>
      <c r="G16" s="1" t="s">
        <v>491</v>
      </c>
      <c r="H16" s="417">
        <f>'Budget 2026'!B8</f>
        <v>-11804.400000000001</v>
      </c>
      <c r="I16" s="417">
        <f>'Budget 2026'!C8</f>
        <v>-11804.400000000001</v>
      </c>
      <c r="J16" s="417">
        <f>'Budget 2026'!D8</f>
        <v>-15384.0843</v>
      </c>
      <c r="K16" s="417">
        <f>'Budget 2026'!E8</f>
        <v>-1184.9295084300002</v>
      </c>
      <c r="L16" s="417">
        <f>'Budget 2026'!F8</f>
        <v>-1186.4699167909594</v>
      </c>
      <c r="M16" s="417">
        <f>'Budget 2026'!G8</f>
        <v>-1188.0123276827876</v>
      </c>
      <c r="N16" s="417">
        <f>'Budget 2026'!H8</f>
        <v>-1190.1507498726166</v>
      </c>
      <c r="O16" s="417">
        <f>'Budget 2026'!I8</f>
        <v>-1192.2930212223873</v>
      </c>
      <c r="P16" s="417">
        <f>'Budget 2026'!J8</f>
        <v>-1194.4391486605878</v>
      </c>
      <c r="Q16" s="423">
        <f>'Budget 2026'!K8</f>
        <v>-1195.155812149784</v>
      </c>
      <c r="R16" s="423">
        <f>'Budget 2026'!L8</f>
        <v>-1195.8729056370737</v>
      </c>
      <c r="S16" s="423">
        <f>'Budget 2026'!M8</f>
        <v>0</v>
      </c>
      <c r="T16" s="422">
        <f t="shared" si="2"/>
        <v>-48520.207690446201</v>
      </c>
      <c r="U16" s="243">
        <f>ABS(T16/$T$11)</f>
        <v>2.5323804948270245E-2</v>
      </c>
      <c r="V16" s="117"/>
      <c r="W16" s="111"/>
      <c r="X16" s="117"/>
      <c r="Y16" s="111"/>
      <c r="Z16" s="117"/>
      <c r="AA16" s="111"/>
      <c r="AB16" s="117"/>
      <c r="AC16" s="111"/>
      <c r="AD16" s="1"/>
      <c r="AE16" s="280" t="s">
        <v>493</v>
      </c>
      <c r="AF16" s="286">
        <f>-AF12*4%</f>
        <v>-871914.14217558864</v>
      </c>
      <c r="AG16" s="431">
        <f>AF16/B10</f>
        <v>-6865.4656864219578</v>
      </c>
      <c r="AH16" s="21" t="s">
        <v>620</v>
      </c>
      <c r="AL16" s="304">
        <f>(AL13/AL7)</f>
        <v>1.6214536374270438</v>
      </c>
      <c r="AM16" s="21"/>
      <c r="AS16" s="124" t="s">
        <v>495</v>
      </c>
      <c r="AT16" s="125">
        <f t="shared" ref="AT16:BB16" si="4">SUM(AT14:AT15)</f>
        <v>98660.999999999985</v>
      </c>
      <c r="AU16" s="125">
        <f t="shared" si="4"/>
        <v>116970.07</v>
      </c>
      <c r="AV16" s="125">
        <f t="shared" si="4"/>
        <v>138500.12</v>
      </c>
      <c r="AW16" s="125">
        <f t="shared" si="4"/>
        <v>130429.84999999999</v>
      </c>
      <c r="AX16" s="125">
        <f t="shared" si="4"/>
        <v>141412</v>
      </c>
      <c r="AY16" s="125">
        <f t="shared" si="4"/>
        <v>141412</v>
      </c>
      <c r="AZ16" s="125">
        <f t="shared" si="4"/>
        <v>143412</v>
      </c>
      <c r="BA16" s="125">
        <f t="shared" si="4"/>
        <v>146412</v>
      </c>
      <c r="BB16" s="125">
        <f t="shared" si="4"/>
        <v>148412</v>
      </c>
    </row>
    <row r="17" spans="1:54" ht="15" customHeight="1" thickTop="1">
      <c r="A17" s="28" t="s">
        <v>209</v>
      </c>
      <c r="B17" s="118">
        <f>B15-B16</f>
        <v>1217564.4708452807</v>
      </c>
      <c r="C17" s="118"/>
      <c r="D17" s="28" t="s">
        <v>209</v>
      </c>
      <c r="E17" s="118">
        <f>E15-E16</f>
        <v>1144433.1956156003</v>
      </c>
      <c r="F17" s="1"/>
      <c r="G17" s="27" t="s">
        <v>492</v>
      </c>
      <c r="H17" s="120">
        <f>SUM(H11:H16)</f>
        <v>123636.20000000001</v>
      </c>
      <c r="I17" s="120">
        <f t="shared" ref="I17:S17" si="5">SUM(I11:I16)</f>
        <v>124816.64000000001</v>
      </c>
      <c r="J17" s="120">
        <f t="shared" si="5"/>
        <v>120100.04442500001</v>
      </c>
      <c r="K17" s="120">
        <f t="shared" si="5"/>
        <v>142474.00576581503</v>
      </c>
      <c r="L17" s="120">
        <f t="shared" si="5"/>
        <v>141769.77253571741</v>
      </c>
      <c r="M17" s="120">
        <f t="shared" si="5"/>
        <v>141954.47624001384</v>
      </c>
      <c r="N17" s="120">
        <f t="shared" si="5"/>
        <v>143103.16535965033</v>
      </c>
      <c r="O17" s="120">
        <f t="shared" si="5"/>
        <v>143361.30905729771</v>
      </c>
      <c r="P17" s="120">
        <f t="shared" si="5"/>
        <v>144814.35656226144</v>
      </c>
      <c r="Q17" s="120">
        <f t="shared" si="5"/>
        <v>145797.79803531111</v>
      </c>
      <c r="R17" s="120">
        <f t="shared" si="5"/>
        <v>145885.46271413227</v>
      </c>
      <c r="S17" s="120">
        <f t="shared" si="5"/>
        <v>147169.77042114118</v>
      </c>
      <c r="T17" s="428">
        <f t="shared" si="2"/>
        <v>1664883.0011163405</v>
      </c>
      <c r="U17" s="243">
        <f>ABS(T17/$T$11)</f>
        <v>0.86894047632575733</v>
      </c>
      <c r="V17" s="121">
        <f>SUM(V11:V13)</f>
        <v>1893000.0960000004</v>
      </c>
      <c r="W17" s="437">
        <f>V17/V11</f>
        <v>0.95000000000000007</v>
      </c>
      <c r="X17" s="121">
        <f>SUM(X11:X13)</f>
        <v>1949790.0988800002</v>
      </c>
      <c r="Y17" s="437">
        <f>X17/X11</f>
        <v>0.95000000000000007</v>
      </c>
      <c r="Z17" s="121">
        <f>SUM(Z11:Z13)</f>
        <v>2008283.8018464001</v>
      </c>
      <c r="AA17" s="437">
        <f>Z17/Z11</f>
        <v>0.95000000000000007</v>
      </c>
      <c r="AB17" s="121">
        <f>SUM(AB11:AB13)</f>
        <v>2068532.3159017919</v>
      </c>
      <c r="AC17" s="437">
        <f>AB17/AB11</f>
        <v>0.95</v>
      </c>
      <c r="AD17" s="1"/>
      <c r="AE17" s="280" t="s">
        <v>494</v>
      </c>
      <c r="AF17" s="286">
        <f>-B20</f>
        <v>-14048820.817445546</v>
      </c>
      <c r="AG17" s="431">
        <f>AF17/B10</f>
        <v>-110620.63635783894</v>
      </c>
      <c r="AH17" s="21" t="s">
        <v>616</v>
      </c>
      <c r="AL17" s="303">
        <f>AJ37</f>
        <v>3.8300363837117928E-2</v>
      </c>
      <c r="AM17" s="21"/>
      <c r="AN17" s="21"/>
      <c r="AT17" s="22" t="s">
        <v>463</v>
      </c>
      <c r="BB17" s="1"/>
    </row>
    <row r="18" spans="1:54" ht="15" customHeight="1">
      <c r="A18" s="28" t="s">
        <v>727</v>
      </c>
      <c r="B18" s="242">
        <f>B16/B15</f>
        <v>0.36807307983522919</v>
      </c>
      <c r="C18" s="242"/>
      <c r="F18" s="1"/>
      <c r="G18" s="27" t="s">
        <v>301</v>
      </c>
      <c r="H18" s="36">
        <f>'Budget 2026'!B44</f>
        <v>16410</v>
      </c>
      <c r="I18" s="36">
        <f>'Budget 2026'!C44</f>
        <v>16593.2</v>
      </c>
      <c r="J18" s="36">
        <f>'Budget 2026'!D44</f>
        <v>16273</v>
      </c>
      <c r="K18" s="36">
        <f>'Budget 2026'!E44</f>
        <v>18286.599999999999</v>
      </c>
      <c r="L18" s="36">
        <f>'Budget 2026'!F44</f>
        <v>18286.599999999999</v>
      </c>
      <c r="M18" s="36">
        <f>'Budget 2026'!G44</f>
        <v>18286.599999999999</v>
      </c>
      <c r="N18" s="36">
        <f>'Budget 2026'!H44</f>
        <v>18286.599999999999</v>
      </c>
      <c r="O18" s="36">
        <f>'Budget 2026'!I44</f>
        <v>18286.599999999999</v>
      </c>
      <c r="P18" s="36">
        <f>'Budget 2026'!J44</f>
        <v>18332.400000000001</v>
      </c>
      <c r="Q18" s="36">
        <f>'Budget 2026'!K44</f>
        <v>18332.400000000001</v>
      </c>
      <c r="R18" s="36">
        <f>'Budget 2026'!L44</f>
        <v>18332.400000000001</v>
      </c>
      <c r="S18" s="36">
        <f>'Budget 2026'!M44</f>
        <v>18500.2</v>
      </c>
      <c r="T18" s="428">
        <f t="shared" si="2"/>
        <v>214206.6</v>
      </c>
      <c r="U18" s="243">
        <f>ABS(T18/$T$11)</f>
        <v>0.1117993185775306</v>
      </c>
      <c r="V18" s="122">
        <f>T18*(1+V6)</f>
        <v>222774.864</v>
      </c>
      <c r="W18" s="123">
        <f>V18/V11</f>
        <v>0.11179931857753059</v>
      </c>
      <c r="X18" s="122">
        <f>V18*(1+X6)</f>
        <v>229458.10992000002</v>
      </c>
      <c r="Y18" s="123">
        <f>X18/X11</f>
        <v>0.1117993185775306</v>
      </c>
      <c r="Z18" s="122">
        <f>X18*(1+Z6)</f>
        <v>236341.85321760003</v>
      </c>
      <c r="AA18" s="123">
        <f>Z18/Z11</f>
        <v>0.1117993185775306</v>
      </c>
      <c r="AB18" s="122">
        <f>Z18*(1+AB6)</f>
        <v>243432.10881412803</v>
      </c>
      <c r="AC18" s="123">
        <f>AB18/AB11</f>
        <v>0.1117993185775306</v>
      </c>
      <c r="AD18" s="1"/>
      <c r="AE18" s="280" t="s">
        <v>613</v>
      </c>
      <c r="AF18" s="286">
        <f>-AF10</f>
        <v>-3568460.4948161375</v>
      </c>
      <c r="AG18" s="1"/>
      <c r="AH18" s="21" t="s">
        <v>621</v>
      </c>
      <c r="AL18" s="243">
        <f>(AL13/AL7)/7</f>
        <v>0.23163623391814911</v>
      </c>
      <c r="AM18" s="21"/>
      <c r="AN18" s="21"/>
      <c r="AT18" s="106" t="s">
        <v>464</v>
      </c>
      <c r="BB18" s="1"/>
    </row>
    <row r="19" spans="1:54" ht="15" customHeight="1" thickBot="1">
      <c r="A19" s="1" t="s">
        <v>208</v>
      </c>
      <c r="B19" s="115">
        <f>B17/B14</f>
        <v>18731761.089927394</v>
      </c>
      <c r="C19" s="115"/>
      <c r="F19" s="1"/>
      <c r="G19" s="124" t="s">
        <v>495</v>
      </c>
      <c r="H19" s="418">
        <f>SUM(H17:H18)</f>
        <v>140046.20000000001</v>
      </c>
      <c r="I19" s="418">
        <f t="shared" ref="I19:S19" si="6">SUM(I17:I18)</f>
        <v>141409.84000000003</v>
      </c>
      <c r="J19" s="418">
        <f t="shared" si="6"/>
        <v>136373.04442500003</v>
      </c>
      <c r="K19" s="418">
        <f t="shared" si="6"/>
        <v>160760.60576581504</v>
      </c>
      <c r="L19" s="418">
        <f t="shared" si="6"/>
        <v>160056.37253571741</v>
      </c>
      <c r="M19" s="418">
        <f t="shared" si="6"/>
        <v>160241.07624001385</v>
      </c>
      <c r="N19" s="418">
        <f t="shared" si="6"/>
        <v>161389.76535965034</v>
      </c>
      <c r="O19" s="418">
        <f t="shared" si="6"/>
        <v>161647.90905729771</v>
      </c>
      <c r="P19" s="418">
        <f t="shared" si="6"/>
        <v>163146.75656226143</v>
      </c>
      <c r="Q19" s="418">
        <f t="shared" si="6"/>
        <v>164130.1980353111</v>
      </c>
      <c r="R19" s="418">
        <f t="shared" si="6"/>
        <v>164217.86271413226</v>
      </c>
      <c r="S19" s="418">
        <f t="shared" si="6"/>
        <v>165669.97042114119</v>
      </c>
      <c r="T19" s="418">
        <f t="shared" si="2"/>
        <v>1879089.6011163406</v>
      </c>
      <c r="U19" s="243"/>
      <c r="V19" s="127">
        <f>SUM(V17:V18)</f>
        <v>2115774.9600000004</v>
      </c>
      <c r="W19" s="126"/>
      <c r="X19" s="127">
        <f>SUM(X17:X18)</f>
        <v>2179248.2088000001</v>
      </c>
      <c r="Y19" s="126"/>
      <c r="Z19" s="127">
        <f>SUM(Z17:Z18)</f>
        <v>2244625.6550640003</v>
      </c>
      <c r="AA19" s="126"/>
      <c r="AB19" s="127">
        <f>SUM(AB17:AB18)</f>
        <v>2311964.4247159199</v>
      </c>
      <c r="AC19" s="126"/>
      <c r="AD19" s="1"/>
      <c r="AE19" s="287" t="s">
        <v>519</v>
      </c>
      <c r="AF19" s="286">
        <f>-X51</f>
        <v>0</v>
      </c>
      <c r="AG19" s="1"/>
      <c r="AH19" s="21" t="s">
        <v>595</v>
      </c>
      <c r="AL19" s="303">
        <f>AL38</f>
        <v>0.11192712187767029</v>
      </c>
      <c r="AN19" s="21"/>
      <c r="AS19" s="112" t="s">
        <v>244</v>
      </c>
      <c r="AT19" s="112" t="s">
        <v>497</v>
      </c>
      <c r="AU19" s="113"/>
      <c r="AV19" s="113"/>
      <c r="BB19" s="1"/>
    </row>
    <row r="20" spans="1:54" ht="15" customHeight="1" thickTop="1" thickBot="1">
      <c r="A20" s="28" t="s">
        <v>698</v>
      </c>
      <c r="B20" s="119">
        <f>MIN(
B19*B12,
PV(B13/12,30*12,-(B17/B11)/12)
)</f>
        <v>14048820.817445546</v>
      </c>
      <c r="C20" s="269"/>
      <c r="D20" s="469" t="s">
        <v>739</v>
      </c>
      <c r="E20" s="320">
        <f>MIN(
  PV($E$3/12,$E$11,-($B$17/$E$5)/12),
  $B$19*$E$6
)</f>
        <v>14696323.975930158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68"/>
      <c r="R20" s="268"/>
      <c r="S20" s="268"/>
      <c r="T20" s="268"/>
      <c r="U20" s="1"/>
      <c r="V20" s="1"/>
      <c r="W20" s="1"/>
      <c r="X20" s="1"/>
      <c r="Y20" s="1"/>
      <c r="Z20" s="1"/>
      <c r="AA20" s="1"/>
      <c r="AB20" s="1"/>
      <c r="AC20" s="1"/>
      <c r="AD20" s="1"/>
      <c r="AE20" s="280" t="s">
        <v>692</v>
      </c>
      <c r="AF20" s="290">
        <f>SUM(AF12:AF19)</f>
        <v>3488658.0999524426</v>
      </c>
      <c r="AG20" s="1"/>
      <c r="AL20" s="244"/>
      <c r="AS20" s="1" t="s">
        <v>194</v>
      </c>
      <c r="AT20" s="130">
        <v>31392.720000000001</v>
      </c>
      <c r="AU20" s="131"/>
      <c r="AV20" s="131"/>
      <c r="BB20" s="1"/>
    </row>
    <row r="21" spans="1:54" ht="15" customHeight="1">
      <c r="A21" s="132" t="s">
        <v>709</v>
      </c>
      <c r="B21" s="132"/>
      <c r="C21" s="132"/>
      <c r="D21" s="467"/>
      <c r="F21" s="1"/>
      <c r="G21" s="112" t="s">
        <v>244</v>
      </c>
      <c r="H21" s="112"/>
      <c r="I21" s="112"/>
      <c r="J21" s="112"/>
      <c r="K21" s="112"/>
      <c r="L21" s="112"/>
      <c r="M21" s="112"/>
      <c r="N21" s="112"/>
      <c r="O21" s="112"/>
      <c r="P21" s="112"/>
      <c r="Q21" s="336"/>
      <c r="R21" s="336"/>
      <c r="S21" s="336"/>
      <c r="T21" s="345"/>
      <c r="U21" s="113"/>
      <c r="V21" s="113"/>
      <c r="W21" s="113"/>
      <c r="X21" s="113"/>
      <c r="Y21" s="113"/>
      <c r="Z21" s="113"/>
      <c r="AA21" s="113"/>
      <c r="AB21" s="113"/>
      <c r="AC21" s="113"/>
      <c r="AD21" s="1"/>
      <c r="AE21" s="280" t="s">
        <v>712</v>
      </c>
      <c r="AF21" s="286">
        <f>-AF12*2%</f>
        <v>-435957.07108779432</v>
      </c>
      <c r="AG21" s="1"/>
      <c r="AS21" s="1" t="s">
        <v>197</v>
      </c>
      <c r="AT21" s="130">
        <v>66947.02</v>
      </c>
      <c r="AU21" s="131"/>
      <c r="AV21" s="131"/>
      <c r="BB21" s="1"/>
    </row>
    <row r="22" spans="1:54" ht="15" customHeight="1">
      <c r="A22" s="28" t="s">
        <v>210</v>
      </c>
      <c r="B22" s="128">
        <v>-10899999</v>
      </c>
      <c r="C22" s="128"/>
      <c r="D22" s="467" t="str">
        <f>A22</f>
        <v>Existing loan payoff</v>
      </c>
      <c r="E22" s="471">
        <f>$B$22</f>
        <v>-10899999</v>
      </c>
      <c r="F22" s="1"/>
      <c r="G22" s="1" t="s">
        <v>294</v>
      </c>
      <c r="H22" s="26">
        <f>'Budget 2026'!B51</f>
        <v>4500</v>
      </c>
      <c r="I22" s="26">
        <f>'Budget 2026'!C51</f>
        <v>4500</v>
      </c>
      <c r="J22" s="26">
        <f>'Budget 2026'!D51</f>
        <v>4500</v>
      </c>
      <c r="K22" s="26">
        <f>'Budget 2026'!E51</f>
        <v>4822.818172974451</v>
      </c>
      <c r="L22" s="26">
        <f>'Budget 2026'!F51</f>
        <v>4801.691176071522</v>
      </c>
      <c r="M22" s="26">
        <f>'Budget 2026'!G51</f>
        <v>4807.2322872004152</v>
      </c>
      <c r="N22" s="26">
        <f>'Budget 2026'!H51</f>
        <v>4841.6929607895099</v>
      </c>
      <c r="O22" s="26">
        <f>'Budget 2026'!I51</f>
        <v>4849.4372717189317</v>
      </c>
      <c r="P22" s="26">
        <f>'Budget 2026'!J51</f>
        <v>4894.4026968678427</v>
      </c>
      <c r="Q22" s="424">
        <f>'Budget 2026'!K51</f>
        <v>4923.9059410593327</v>
      </c>
      <c r="R22" s="424">
        <f>'Budget 2026'!L51</f>
        <v>4926.535881423968</v>
      </c>
      <c r="S22" s="424">
        <f>'Budget 2026'!M51</f>
        <v>4970.0991126342351</v>
      </c>
      <c r="T22" s="425">
        <f>'Budget 2026'!N51</f>
        <v>57337.815500740209</v>
      </c>
      <c r="U22" s="111">
        <f t="shared" ref="U22:U32" si="7">T22/$T$19</f>
        <v>3.0513614394266576E-2</v>
      </c>
      <c r="V22" s="257">
        <f>V19*3%</f>
        <v>63473.248800000008</v>
      </c>
      <c r="W22" s="111">
        <f t="shared" ref="W22:W31" si="8">V22/V$17</f>
        <v>3.3530504797185175E-2</v>
      </c>
      <c r="X22" s="115">
        <f>V22*(1+$X$7)</f>
        <v>64742.713776000011</v>
      </c>
      <c r="Y22" s="111">
        <f>X22/X$17</f>
        <v>3.3204965915659107E-2</v>
      </c>
      <c r="Z22" s="115">
        <f>X22*(1+$X$7)</f>
        <v>66037.568051520007</v>
      </c>
      <c r="AA22" s="111">
        <f>Z22/Z$17</f>
        <v>3.288258760579834E-2</v>
      </c>
      <c r="AB22" s="115">
        <f>Z22*(1+$X$7)</f>
        <v>67358.319412550409</v>
      </c>
      <c r="AC22" s="111">
        <f>AB22/AB$17</f>
        <v>3.256333918244108E-2</v>
      </c>
      <c r="AD22" s="1"/>
      <c r="AE22" s="280" t="s">
        <v>713</v>
      </c>
      <c r="AF22" s="411">
        <f>SUM(AF20:AF21)</f>
        <v>3052701.0288646482</v>
      </c>
      <c r="AG22" s="1"/>
      <c r="AS22" s="1" t="s">
        <v>276</v>
      </c>
      <c r="AT22" s="130">
        <v>66031.47</v>
      </c>
      <c r="AU22" s="131"/>
      <c r="AV22" s="131"/>
      <c r="BB22" s="1"/>
    </row>
    <row r="23" spans="1:54" ht="15" customHeight="1">
      <c r="A23" s="28" t="s">
        <v>708</v>
      </c>
      <c r="B23" s="128">
        <f>-B20*1.5%</f>
        <v>-210732.3122616832</v>
      </c>
      <c r="C23" s="128"/>
      <c r="D23" s="467" t="s">
        <v>740</v>
      </c>
      <c r="E23" s="232">
        <f>-$E$20*$E$9</f>
        <v>-587852.95903720637</v>
      </c>
      <c r="F23" s="1"/>
      <c r="G23" s="1" t="s">
        <v>194</v>
      </c>
      <c r="H23" s="26">
        <f>'Budget 2026'!B96</f>
        <v>3562</v>
      </c>
      <c r="I23" s="26">
        <f>'Budget 2026'!C77</f>
        <v>3093.77</v>
      </c>
      <c r="J23" s="26">
        <f>'Budget 2026'!D77</f>
        <v>2297.0500000000002</v>
      </c>
      <c r="K23" s="26">
        <f>'Budget 2026'!E77</f>
        <v>7597.05</v>
      </c>
      <c r="L23" s="26">
        <f>'Budget 2026'!F77</f>
        <v>2997.3999999999996</v>
      </c>
      <c r="M23" s="26">
        <f>'Budget 2026'!G77</f>
        <v>2297.0500000000002</v>
      </c>
      <c r="N23" s="26">
        <f>'Budget 2026'!H77</f>
        <v>2297.0500000000002</v>
      </c>
      <c r="O23" s="26">
        <f>'Budget 2026'!I77</f>
        <v>4497.0499999999993</v>
      </c>
      <c r="P23" s="26">
        <f>'Budget 2026'!J77</f>
        <v>2597.0500000000002</v>
      </c>
      <c r="Q23" s="424">
        <f>'Budget 2026'!K77</f>
        <v>2297.0500000000002</v>
      </c>
      <c r="R23" s="424">
        <f>'Budget 2026'!L77</f>
        <v>2723.1499999999996</v>
      </c>
      <c r="S23" s="424">
        <f>'Budget 2026'!M77</f>
        <v>2297.0500000000002</v>
      </c>
      <c r="T23" s="425">
        <f>'Budget 2026'!N77</f>
        <v>37771.769999999997</v>
      </c>
      <c r="U23" s="111">
        <f t="shared" si="7"/>
        <v>2.0101101074456652E-2</v>
      </c>
      <c r="V23" s="257">
        <f t="shared" ref="V23:V31" si="9">T23*(1+V$7)</f>
        <v>38527.205399999999</v>
      </c>
      <c r="W23" s="111">
        <f t="shared" si="8"/>
        <v>2.0352458238861067E-2</v>
      </c>
      <c r="X23" s="115">
        <f t="shared" ref="X23:X27" si="10">V23*(1+$X$7)</f>
        <v>39297.749508000001</v>
      </c>
      <c r="Y23" s="111">
        <f t="shared" ref="Y23:AA31" si="11">X23/X$17</f>
        <v>2.015486155693038E-2</v>
      </c>
      <c r="Z23" s="115">
        <f t="shared" ref="Z23:Z27" si="12">X23*(1+$X$7)</f>
        <v>40083.704498160005</v>
      </c>
      <c r="AA23" s="111">
        <f t="shared" si="11"/>
        <v>1.995918328938737E-2</v>
      </c>
      <c r="AB23" s="115">
        <f t="shared" ref="AB23:AB27" si="13">Z23*(1+$X$7)</f>
        <v>40885.378588123203</v>
      </c>
      <c r="AC23" s="111">
        <f t="shared" ref="AC23:AC31" si="14">AB23/AB$17</f>
        <v>1.9765404810849631E-2</v>
      </c>
      <c r="AD23" s="1"/>
      <c r="AE23" s="280" t="s">
        <v>714</v>
      </c>
      <c r="AF23" s="283">
        <f>SUM(AF20:AF21)*70%</f>
        <v>2136890.7202052535</v>
      </c>
      <c r="AG23" s="1"/>
      <c r="AS23" s="1" t="s">
        <v>278</v>
      </c>
      <c r="AT23" s="130">
        <v>40300.19</v>
      </c>
      <c r="AU23" s="131"/>
      <c r="AV23" s="131"/>
      <c r="BB23" s="1"/>
    </row>
    <row r="24" spans="1:54" ht="15" customHeight="1">
      <c r="A24" s="28" t="s">
        <v>707</v>
      </c>
      <c r="B24" s="128">
        <f>-(B10*300)/2</f>
        <v>-19050</v>
      </c>
      <c r="C24" s="128"/>
      <c r="D24" s="469" t="s">
        <v>741</v>
      </c>
      <c r="E24" s="319">
        <f>-( $B$10 * $E$7 * $E$8 / 12 )</f>
        <v>-44450</v>
      </c>
      <c r="F24" s="1"/>
      <c r="G24" s="1" t="s">
        <v>197</v>
      </c>
      <c r="H24" s="26">
        <f>'Budget 2026'!B122</f>
        <v>5573.66</v>
      </c>
      <c r="I24" s="26">
        <f>'Budget 2026'!C122</f>
        <v>4898.0400000000009</v>
      </c>
      <c r="J24" s="26">
        <f>'Budget 2026'!D122</f>
        <v>4898.0400000000009</v>
      </c>
      <c r="K24" s="26">
        <f>'Budget 2026'!E122</f>
        <v>5573.66</v>
      </c>
      <c r="L24" s="26">
        <f>'Budget 2026'!F122</f>
        <v>4898.0400000000009</v>
      </c>
      <c r="M24" s="26">
        <f>'Budget 2026'!G122</f>
        <v>4898.0400000000009</v>
      </c>
      <c r="N24" s="26">
        <f>'Budget 2026'!H122</f>
        <v>5573.66</v>
      </c>
      <c r="O24" s="26">
        <f>'Budget 2026'!I122</f>
        <v>4898.0400000000009</v>
      </c>
      <c r="P24" s="26">
        <f>'Budget 2026'!J122</f>
        <v>4898.0400000000009</v>
      </c>
      <c r="Q24" s="424">
        <f>'Budget 2026'!K122</f>
        <v>5573.66</v>
      </c>
      <c r="R24" s="424">
        <f>'Budget 2026'!L122</f>
        <v>6973.17</v>
      </c>
      <c r="S24" s="424">
        <f>'Budget 2026'!M122</f>
        <v>4898.0400000000009</v>
      </c>
      <c r="T24" s="425">
        <f>SUM(H24:S24)</f>
        <v>63554.090000000004</v>
      </c>
      <c r="U24" s="111">
        <f t="shared" si="7"/>
        <v>3.382174536128741E-2</v>
      </c>
      <c r="V24" s="257">
        <f t="shared" si="9"/>
        <v>64825.171800000004</v>
      </c>
      <c r="W24" s="111">
        <f t="shared" si="8"/>
        <v>3.4244674333075147E-2</v>
      </c>
      <c r="X24" s="115">
        <f t="shared" si="10"/>
        <v>66121.67523600001</v>
      </c>
      <c r="Y24" s="111">
        <f t="shared" si="11"/>
        <v>3.3912201766734616E-2</v>
      </c>
      <c r="Z24" s="115">
        <f t="shared" si="12"/>
        <v>67444.10874072001</v>
      </c>
      <c r="AA24" s="111">
        <f t="shared" si="11"/>
        <v>3.3582957089387681E-2</v>
      </c>
      <c r="AB24" s="115">
        <f t="shared" si="13"/>
        <v>68792.990915534407</v>
      </c>
      <c r="AC24" s="111">
        <f t="shared" si="14"/>
        <v>3.325690896230625E-2</v>
      </c>
      <c r="AD24" s="1"/>
      <c r="AE24" s="288" t="s">
        <v>715</v>
      </c>
      <c r="AF24" s="289">
        <f>SUM(AF20:AF21)*30%</f>
        <v>915810.30865939439</v>
      </c>
      <c r="AG24" s="1"/>
      <c r="AS24" s="1" t="s">
        <v>49</v>
      </c>
      <c r="AT24" s="134"/>
      <c r="AU24" s="131"/>
      <c r="AV24" s="131"/>
      <c r="BB24" s="1"/>
    </row>
    <row r="25" spans="1:54" ht="15" customHeight="1">
      <c r="D25" s="467"/>
      <c r="F25" s="1"/>
      <c r="G25" s="1" t="s">
        <v>276</v>
      </c>
      <c r="H25" s="26">
        <f>'Budget 2026'!B110</f>
        <v>3327</v>
      </c>
      <c r="I25" s="26">
        <f>'Budget 2026'!C110</f>
        <v>3327</v>
      </c>
      <c r="J25" s="26">
        <f>'Budget 2026'!D110</f>
        <v>3327</v>
      </c>
      <c r="K25" s="26">
        <f>'Budget 2026'!E110</f>
        <v>3327</v>
      </c>
      <c r="L25" s="26">
        <f>'Budget 2026'!F110</f>
        <v>3327</v>
      </c>
      <c r="M25" s="26">
        <f>'Budget 2026'!G110</f>
        <v>3327</v>
      </c>
      <c r="N25" s="26">
        <f>'Budget 2026'!H110</f>
        <v>3327</v>
      </c>
      <c r="O25" s="26">
        <f>'Budget 2026'!I110</f>
        <v>3327</v>
      </c>
      <c r="P25" s="26">
        <f>'Budget 2026'!J110</f>
        <v>3327</v>
      </c>
      <c r="Q25" s="424">
        <f>'Budget 2026'!K110</f>
        <v>3327</v>
      </c>
      <c r="R25" s="424">
        <f>'Budget 2026'!L110</f>
        <v>3327</v>
      </c>
      <c r="S25" s="424">
        <f>'Budget 2026'!M110</f>
        <v>3327</v>
      </c>
      <c r="T25" s="425">
        <f>SUM(H25:S25)</f>
        <v>39924</v>
      </c>
      <c r="U25" s="111">
        <f t="shared" si="7"/>
        <v>2.1246458910890526E-2</v>
      </c>
      <c r="V25" s="257">
        <f t="shared" si="9"/>
        <v>40722.480000000003</v>
      </c>
      <c r="W25" s="111">
        <f t="shared" si="8"/>
        <v>2.1512138370224358E-2</v>
      </c>
      <c r="X25" s="115">
        <f t="shared" si="10"/>
        <v>41536.929600000003</v>
      </c>
      <c r="Y25" s="111">
        <f t="shared" si="11"/>
        <v>2.1303282657892084E-2</v>
      </c>
      <c r="Z25" s="115">
        <f t="shared" si="12"/>
        <v>42367.668192000005</v>
      </c>
      <c r="AA25" s="111">
        <f t="shared" si="11"/>
        <v>2.1096454670922259E-2</v>
      </c>
      <c r="AB25" s="115">
        <f t="shared" si="13"/>
        <v>43215.021555840009</v>
      </c>
      <c r="AC25" s="111">
        <f t="shared" si="14"/>
        <v>2.0891634722660885E-2</v>
      </c>
      <c r="AD25" s="1"/>
      <c r="AS25" s="1" t="s">
        <v>280</v>
      </c>
      <c r="AT25" s="135">
        <v>34323.46</v>
      </c>
      <c r="AU25" s="131"/>
      <c r="AV25" s="131"/>
      <c r="BB25" s="1"/>
    </row>
    <row r="26" spans="1:54" ht="15" customHeight="1">
      <c r="D26" s="467"/>
      <c r="E26" s="233"/>
      <c r="F26" s="1"/>
      <c r="G26" s="1" t="s">
        <v>278</v>
      </c>
      <c r="H26" s="26">
        <f>'Budget 2026'!B86</f>
        <v>2210</v>
      </c>
      <c r="I26" s="26">
        <f>'Budget 2026'!C86</f>
        <v>2210</v>
      </c>
      <c r="J26" s="26">
        <f>'Budget 2026'!D86</f>
        <v>1610</v>
      </c>
      <c r="K26" s="26">
        <f>'Budget 2026'!E86</f>
        <v>3110</v>
      </c>
      <c r="L26" s="26">
        <f>'Budget 2026'!F86</f>
        <v>1910</v>
      </c>
      <c r="M26" s="26">
        <f>'Budget 2026'!G86</f>
        <v>1910</v>
      </c>
      <c r="N26" s="26">
        <f>'Budget 2026'!H86</f>
        <v>2510</v>
      </c>
      <c r="O26" s="26">
        <f>'Budget 2026'!I86</f>
        <v>5210</v>
      </c>
      <c r="P26" s="26">
        <f>'Budget 2026'!J86</f>
        <v>2810</v>
      </c>
      <c r="Q26" s="424">
        <f>'Budget 2026'!K86</f>
        <v>2760</v>
      </c>
      <c r="R26" s="424">
        <f>'Budget 2026'!L86</f>
        <v>2510</v>
      </c>
      <c r="S26" s="424">
        <f>'Budget 2026'!M86</f>
        <v>3110</v>
      </c>
      <c r="T26" s="425">
        <f t="shared" ref="T26:T31" si="15">SUM(H26:S26)</f>
        <v>31870</v>
      </c>
      <c r="U26" s="111">
        <f t="shared" si="7"/>
        <v>1.6960340784743039E-2</v>
      </c>
      <c r="V26" s="257">
        <f t="shared" si="9"/>
        <v>32507.4</v>
      </c>
      <c r="W26" s="111">
        <f t="shared" si="8"/>
        <v>1.7172423851794669E-2</v>
      </c>
      <c r="X26" s="115">
        <f t="shared" si="10"/>
        <v>33157.548000000003</v>
      </c>
      <c r="Y26" s="111">
        <f t="shared" si="11"/>
        <v>1.7005701290126761E-2</v>
      </c>
      <c r="Z26" s="115">
        <f t="shared" si="12"/>
        <v>33820.698960000002</v>
      </c>
      <c r="AA26" s="111">
        <f t="shared" si="11"/>
        <v>1.6840597394106111E-2</v>
      </c>
      <c r="AB26" s="115">
        <f t="shared" si="13"/>
        <v>34497.1129392</v>
      </c>
      <c r="AC26" s="111">
        <f t="shared" si="14"/>
        <v>1.6677096448532266E-2</v>
      </c>
      <c r="AD26" s="1"/>
      <c r="AS26" s="1" t="s">
        <v>282</v>
      </c>
      <c r="AT26" s="135"/>
      <c r="AU26" s="131"/>
      <c r="AV26" s="131"/>
      <c r="BB26" s="1"/>
    </row>
    <row r="27" spans="1:54" ht="15" customHeight="1">
      <c r="D27" s="467"/>
      <c r="E27" s="1"/>
      <c r="F27" s="1"/>
      <c r="G27" s="1" t="s">
        <v>49</v>
      </c>
      <c r="H27" s="26">
        <f>'Budget 2026'!B131</f>
        <v>5028.88</v>
      </c>
      <c r="I27" s="26">
        <f>'Budget 2026'!C131</f>
        <v>5028.88</v>
      </c>
      <c r="J27" s="26">
        <f>'Budget 2026'!D131</f>
        <v>5028.88</v>
      </c>
      <c r="K27" s="26">
        <f>'Budget 2026'!E131</f>
        <v>5028.88</v>
      </c>
      <c r="L27" s="26">
        <f>'Budget 2026'!F131</f>
        <v>5028.88</v>
      </c>
      <c r="M27" s="26">
        <f>'Budget 2026'!G131</f>
        <v>5028.88</v>
      </c>
      <c r="N27" s="26">
        <f>'Budget 2026'!H131</f>
        <v>5028.88</v>
      </c>
      <c r="O27" s="26">
        <f>'Budget 2026'!I131</f>
        <v>5028.88</v>
      </c>
      <c r="P27" s="26">
        <f>'Budget 2026'!J131</f>
        <v>5028.88</v>
      </c>
      <c r="Q27" s="424">
        <f>'Budget 2026'!K131</f>
        <v>5028.88</v>
      </c>
      <c r="R27" s="424">
        <f>'Budget 2026'!L131</f>
        <v>5028.88</v>
      </c>
      <c r="S27" s="424">
        <f>'Budget 2026'!M131</f>
        <v>5028.88</v>
      </c>
      <c r="T27" s="425">
        <f t="shared" si="15"/>
        <v>60346.55999999999</v>
      </c>
      <c r="U27" s="111">
        <f t="shared" si="7"/>
        <v>3.2114785779320448E-2</v>
      </c>
      <c r="V27" s="257">
        <f t="shared" si="9"/>
        <v>61553.491199999989</v>
      </c>
      <c r="W27" s="111">
        <f t="shared" si="8"/>
        <v>3.2516369824843357E-2</v>
      </c>
      <c r="X27" s="115">
        <f t="shared" si="10"/>
        <v>62784.561023999988</v>
      </c>
      <c r="Y27" s="111">
        <f t="shared" si="11"/>
        <v>3.2200676913922553E-2</v>
      </c>
      <c r="Z27" s="115">
        <f t="shared" si="12"/>
        <v>64040.252244479991</v>
      </c>
      <c r="AA27" s="111">
        <f t="shared" si="11"/>
        <v>3.1888048982719422E-2</v>
      </c>
      <c r="AB27" s="115">
        <f t="shared" si="13"/>
        <v>65321.057289369593</v>
      </c>
      <c r="AC27" s="111">
        <f t="shared" si="14"/>
        <v>3.1578456274149333E-2</v>
      </c>
      <c r="AD27" s="1"/>
      <c r="AS27" s="1" t="s">
        <v>284</v>
      </c>
      <c r="AT27" s="135">
        <v>41380.97</v>
      </c>
      <c r="AU27" s="131"/>
      <c r="AV27" s="131"/>
      <c r="BB27" s="1"/>
    </row>
    <row r="28" spans="1:54" ht="15" customHeight="1">
      <c r="A28" s="28" t="s">
        <v>611</v>
      </c>
      <c r="B28" s="274">
        <f>SUM(B22:B26)</f>
        <v>-11129781.312261684</v>
      </c>
      <c r="C28" s="274"/>
      <c r="D28" s="469" t="s">
        <v>611</v>
      </c>
      <c r="E28" s="24">
        <f>SUM($E$22:$E$24)</f>
        <v>-11532301.959037207</v>
      </c>
      <c r="F28" s="1"/>
      <c r="G28" s="1" t="s">
        <v>286</v>
      </c>
      <c r="H28" s="26">
        <f>'Budget 2026'!B77</f>
        <v>2781.05</v>
      </c>
      <c r="I28" s="26">
        <f>'Budget 2026'!C77</f>
        <v>3093.77</v>
      </c>
      <c r="J28" s="26">
        <f>'Budget 2026'!D77</f>
        <v>2297.0500000000002</v>
      </c>
      <c r="K28" s="26">
        <f>'Budget 2026'!E77</f>
        <v>7597.05</v>
      </c>
      <c r="L28" s="26">
        <f>'Budget 2026'!F77</f>
        <v>2997.3999999999996</v>
      </c>
      <c r="M28" s="26">
        <f>'Budget 2026'!G77</f>
        <v>2297.0500000000002</v>
      </c>
      <c r="N28" s="26">
        <f>'Budget 2026'!H77</f>
        <v>2297.0500000000002</v>
      </c>
      <c r="O28" s="26">
        <f>'Budget 2026'!I77</f>
        <v>4497.0499999999993</v>
      </c>
      <c r="P28" s="26">
        <f>'Budget 2026'!J77</f>
        <v>2597.0500000000002</v>
      </c>
      <c r="Q28" s="424">
        <f>'Budget 2026'!K77</f>
        <v>2297.0500000000002</v>
      </c>
      <c r="R28" s="424">
        <f>'Budget 2026'!L77</f>
        <v>2723.1499999999996</v>
      </c>
      <c r="S28" s="424">
        <f>'Budget 2026'!M77</f>
        <v>2297.0500000000002</v>
      </c>
      <c r="T28" s="425">
        <f t="shared" si="15"/>
        <v>37771.769999999997</v>
      </c>
      <c r="U28" s="111">
        <f t="shared" si="7"/>
        <v>2.0101101074456652E-2</v>
      </c>
      <c r="V28" s="257">
        <f t="shared" si="9"/>
        <v>38527.205399999999</v>
      </c>
      <c r="W28" s="111">
        <f t="shared" si="8"/>
        <v>2.0352458238861067E-2</v>
      </c>
      <c r="X28" s="115">
        <f>V28*(1+$X$7)</f>
        <v>39297.749508000001</v>
      </c>
      <c r="Y28" s="111">
        <f t="shared" si="11"/>
        <v>2.015486155693038E-2</v>
      </c>
      <c r="Z28" s="115">
        <f>X28*(1+$X$7)</f>
        <v>40083.704498160005</v>
      </c>
      <c r="AA28" s="111">
        <f t="shared" si="11"/>
        <v>1.995918328938737E-2</v>
      </c>
      <c r="AB28" s="115">
        <f>Z28*(1+$X$7)</f>
        <v>40885.378588123203</v>
      </c>
      <c r="AC28" s="111">
        <f t="shared" si="14"/>
        <v>1.9765404810849631E-2</v>
      </c>
      <c r="AD28" s="1"/>
      <c r="AS28" s="1" t="s">
        <v>286</v>
      </c>
      <c r="AT28" s="130">
        <v>52530.159999999996</v>
      </c>
      <c r="AU28" s="131"/>
      <c r="AV28" s="131"/>
      <c r="BB28" s="1"/>
    </row>
    <row r="29" spans="1:54" ht="16" thickBot="1">
      <c r="A29" s="28" t="s">
        <v>600</v>
      </c>
      <c r="B29" s="129">
        <f>SUM(B20:B26)</f>
        <v>2919039.505183863</v>
      </c>
      <c r="C29" s="456"/>
      <c r="D29" s="467" t="s">
        <v>742</v>
      </c>
      <c r="E29" s="433">
        <f>$E$20+$E$28</f>
        <v>3164022.016892951</v>
      </c>
      <c r="F29" s="1"/>
      <c r="G29" s="1" t="s">
        <v>245</v>
      </c>
      <c r="H29" s="26">
        <f>'Budget 2026'!B133</f>
        <v>8500</v>
      </c>
      <c r="I29" s="26">
        <f>'Budget 2026'!C133</f>
        <v>8500</v>
      </c>
      <c r="J29" s="26">
        <f>'Budget 2026'!D133</f>
        <v>8500</v>
      </c>
      <c r="K29" s="26">
        <f>'Budget 2026'!E133</f>
        <v>8500</v>
      </c>
      <c r="L29" s="26">
        <f>'Budget 2026'!F133</f>
        <v>8500</v>
      </c>
      <c r="M29" s="26">
        <f>'Budget 2026'!G133</f>
        <v>8500</v>
      </c>
      <c r="N29" s="26">
        <f>'Budget 2026'!H133</f>
        <v>8500</v>
      </c>
      <c r="O29" s="26">
        <f>'Budget 2026'!I133</f>
        <v>8500</v>
      </c>
      <c r="P29" s="26">
        <f>'Budget 2026'!J133</f>
        <v>8500</v>
      </c>
      <c r="Q29" s="424">
        <f>'Budget 2026'!K133</f>
        <v>8500</v>
      </c>
      <c r="R29" s="424">
        <f>'Budget 2026'!L133</f>
        <v>8500</v>
      </c>
      <c r="S29" s="424">
        <f>'Budget 2026'!M133</f>
        <v>8500</v>
      </c>
      <c r="T29" s="425">
        <f t="shared" si="15"/>
        <v>102000</v>
      </c>
      <c r="U29" s="111">
        <f t="shared" si="7"/>
        <v>5.4281605272789142E-2</v>
      </c>
      <c r="V29" s="257">
        <f t="shared" si="9"/>
        <v>104040</v>
      </c>
      <c r="W29" s="111">
        <f t="shared" si="8"/>
        <v>5.4960377561438845E-2</v>
      </c>
      <c r="X29" s="115">
        <f>V29*(1+$X$7)</f>
        <v>106120.8</v>
      </c>
      <c r="Y29" s="111">
        <f t="shared" si="11"/>
        <v>5.4426781662784106E-2</v>
      </c>
      <c r="Z29" s="115">
        <f>X29*(1+$X$7)</f>
        <v>108243.216</v>
      </c>
      <c r="AA29" s="111">
        <f t="shared" si="11"/>
        <v>5.3898366306834748E-2</v>
      </c>
      <c r="AB29" s="115">
        <f>Z29*(1+$X$7)</f>
        <v>110408.08032000001</v>
      </c>
      <c r="AC29" s="111">
        <f t="shared" si="14"/>
        <v>5.3375081197059658E-2</v>
      </c>
      <c r="AD29" s="1"/>
      <c r="AE29" s="293" t="s">
        <v>503</v>
      </c>
      <c r="AF29" s="294" t="s">
        <v>702</v>
      </c>
      <c r="AG29" s="294" t="s">
        <v>504</v>
      </c>
      <c r="AH29" s="294" t="s">
        <v>505</v>
      </c>
      <c r="AI29" s="294" t="s">
        <v>506</v>
      </c>
      <c r="AJ29" s="294" t="s">
        <v>616</v>
      </c>
      <c r="AK29" s="294" t="s">
        <v>619</v>
      </c>
      <c r="AL29" s="295" t="s">
        <v>5</v>
      </c>
      <c r="AS29" s="1" t="s">
        <v>245</v>
      </c>
      <c r="AT29" s="130">
        <v>206902.04</v>
      </c>
      <c r="AU29" s="131"/>
      <c r="AV29" s="131"/>
      <c r="BB29" s="1"/>
    </row>
    <row r="30" spans="1:54" ht="15" customHeight="1" thickTop="1">
      <c r="A30" s="132" t="s">
        <v>498</v>
      </c>
      <c r="B30" s="133"/>
      <c r="C30" s="133"/>
      <c r="D30" s="467"/>
      <c r="E30" s="1"/>
      <c r="F30" s="1"/>
      <c r="G30" s="1" t="s">
        <v>289</v>
      </c>
      <c r="H30" s="26">
        <f>'Budget 2026'!B134</f>
        <v>12640</v>
      </c>
      <c r="I30" s="26">
        <f>'Budget 2026'!C134</f>
        <v>12640</v>
      </c>
      <c r="J30" s="26">
        <f>'Budget 2026'!D134</f>
        <v>12640</v>
      </c>
      <c r="K30" s="26">
        <f>'Budget 2026'!E134</f>
        <v>12640</v>
      </c>
      <c r="L30" s="26">
        <f>'Budget 2026'!F134</f>
        <v>12640</v>
      </c>
      <c r="M30" s="26">
        <f>'Budget 2026'!G134</f>
        <v>12640</v>
      </c>
      <c r="N30" s="26">
        <f>'Budget 2026'!H134</f>
        <v>12640</v>
      </c>
      <c r="O30" s="26">
        <f>'Budget 2026'!I134</f>
        <v>12640</v>
      </c>
      <c r="P30" s="26">
        <f>'Budget 2026'!J134</f>
        <v>12640</v>
      </c>
      <c r="Q30" s="424">
        <f>'Budget 2026'!K134</f>
        <v>12640</v>
      </c>
      <c r="R30" s="424">
        <f>'Budget 2026'!L134</f>
        <v>12640</v>
      </c>
      <c r="S30" s="424">
        <f>'Budget 2026'!M134</f>
        <v>12640</v>
      </c>
      <c r="T30" s="425">
        <f t="shared" si="15"/>
        <v>151680</v>
      </c>
      <c r="U30" s="111">
        <f t="shared" si="7"/>
        <v>8.0719940076241739E-2</v>
      </c>
      <c r="V30" s="257">
        <f t="shared" si="9"/>
        <v>154713.60000000001</v>
      </c>
      <c r="W30" s="111">
        <f t="shared" si="8"/>
        <v>8.1729314397245539E-2</v>
      </c>
      <c r="X30" s="115">
        <f>V30*(1+$X$7)</f>
        <v>157807.872</v>
      </c>
      <c r="Y30" s="111">
        <f t="shared" si="11"/>
        <v>8.0935825907951897E-2</v>
      </c>
      <c r="Z30" s="115">
        <f>X30*(1+$X$7)</f>
        <v>160964.02944000001</v>
      </c>
      <c r="AA30" s="111">
        <f t="shared" si="11"/>
        <v>8.0150041190398966E-2</v>
      </c>
      <c r="AB30" s="115">
        <f>Z30*(1+$X$7)</f>
        <v>164183.31002880001</v>
      </c>
      <c r="AC30" s="111">
        <f t="shared" si="14"/>
        <v>7.9371885450686366E-2</v>
      </c>
      <c r="AD30" s="1"/>
      <c r="AE30" s="450">
        <v>45292</v>
      </c>
      <c r="AF30" s="269">
        <v>-6047500</v>
      </c>
      <c r="AG30" s="275">
        <v>0</v>
      </c>
      <c r="AH30" s="275">
        <v>0</v>
      </c>
      <c r="AI30" s="427">
        <v>0</v>
      </c>
      <c r="AJ30" s="296">
        <v>0</v>
      </c>
      <c r="AK30" s="275"/>
      <c r="AL30" s="283">
        <f>AF30</f>
        <v>-6047500</v>
      </c>
      <c r="AS30" s="1" t="s">
        <v>289</v>
      </c>
      <c r="AT30" s="130">
        <v>164042.76</v>
      </c>
      <c r="AU30" s="131"/>
      <c r="AV30" s="131"/>
      <c r="BB30" s="1"/>
    </row>
    <row r="31" spans="1:54" ht="15" customHeight="1">
      <c r="A31" s="28" t="s">
        <v>499</v>
      </c>
      <c r="B31" s="117">
        <f>PMT(B13/12,30*12,B20)*12</f>
        <v>-933026.76822215924</v>
      </c>
      <c r="C31" s="117"/>
      <c r="D31" s="468" t="s">
        <v>499</v>
      </c>
      <c r="E31" s="472">
        <f>PMT($E$3/12,$E$11,$E$20)*12</f>
        <v>-1035343.9377936035</v>
      </c>
      <c r="F31" s="1"/>
      <c r="G31" s="1" t="s">
        <v>201</v>
      </c>
      <c r="H31" s="26">
        <f>'Budget 2026'!B151</f>
        <v>12241.7</v>
      </c>
      <c r="I31" s="26">
        <f>'Budget 2026'!C151</f>
        <v>12241.7</v>
      </c>
      <c r="J31" s="26">
        <f>'Budget 2026'!D151</f>
        <v>12991.7</v>
      </c>
      <c r="K31" s="26">
        <f>'Budget 2026'!E151</f>
        <v>12241.7</v>
      </c>
      <c r="L31" s="26">
        <f>'Budget 2026'!F151</f>
        <v>12241.7</v>
      </c>
      <c r="M31" s="26">
        <f>'Budget 2026'!G151</f>
        <v>12991.7</v>
      </c>
      <c r="N31" s="26">
        <f>'Budget 2026'!H151</f>
        <v>12241.7</v>
      </c>
      <c r="O31" s="26">
        <f>'Budget 2026'!I151</f>
        <v>12241.7</v>
      </c>
      <c r="P31" s="26">
        <f>'Budget 2026'!J151</f>
        <v>12991.7</v>
      </c>
      <c r="Q31" s="424">
        <f>'Budget 2026'!K151</f>
        <v>12241.7</v>
      </c>
      <c r="R31" s="424">
        <f>'Budget 2026'!L151</f>
        <v>12241.7</v>
      </c>
      <c r="S31" s="424">
        <f>'Budget 2026'!M151</f>
        <v>15491.7</v>
      </c>
      <c r="T31" s="425">
        <f t="shared" si="15"/>
        <v>152400.4</v>
      </c>
      <c r="U31" s="111">
        <f t="shared" si="7"/>
        <v>8.1103317217795817E-2</v>
      </c>
      <c r="V31" s="257">
        <f t="shared" si="9"/>
        <v>155448.408</v>
      </c>
      <c r="W31" s="111">
        <f t="shared" si="8"/>
        <v>8.2117485534453957E-2</v>
      </c>
      <c r="X31" s="115">
        <f>V31*(1+$X$7)</f>
        <v>158557.37615999999</v>
      </c>
      <c r="Y31" s="111">
        <f t="shared" si="11"/>
        <v>8.1320228393342769E-2</v>
      </c>
      <c r="Z31" s="115">
        <f>X31*(1+$X$7)</f>
        <v>161728.52368319998</v>
      </c>
      <c r="AA31" s="111">
        <f t="shared" si="11"/>
        <v>8.0530711612824865E-2</v>
      </c>
      <c r="AB31" s="115">
        <f>Z31*(1+$X$7)</f>
        <v>164963.09415686398</v>
      </c>
      <c r="AC31" s="111">
        <f t="shared" si="14"/>
        <v>7.9748860043768327E-2</v>
      </c>
      <c r="AD31" s="1"/>
      <c r="AE31" s="450">
        <v>45658</v>
      </c>
      <c r="AF31" s="268"/>
      <c r="AG31" s="275">
        <v>0</v>
      </c>
      <c r="AH31" s="275">
        <v>0</v>
      </c>
      <c r="AI31" s="427">
        <v>0</v>
      </c>
      <c r="AJ31" s="296">
        <v>0</v>
      </c>
      <c r="AK31" s="275"/>
      <c r="AL31" s="286">
        <v>0</v>
      </c>
      <c r="AM31" s="1"/>
      <c r="AS31" s="1" t="s">
        <v>291</v>
      </c>
      <c r="AT31" s="130">
        <v>3951.5</v>
      </c>
      <c r="AU31" s="131"/>
      <c r="AV31" s="131"/>
      <c r="BB31" s="1"/>
    </row>
    <row r="32" spans="1:54" ht="15" customHeight="1" thickBot="1">
      <c r="A32" s="28" t="s">
        <v>500</v>
      </c>
      <c r="B32" s="117">
        <f>B31/12</f>
        <v>-77752.230685179937</v>
      </c>
      <c r="C32" s="117"/>
      <c r="D32" s="467" t="str">
        <f>A32</f>
        <v>Monthly Debt Service</v>
      </c>
      <c r="E32" s="255">
        <f>PMT($E$3/12,$E$11,$E$20)</f>
        <v>-86278.661482800293</v>
      </c>
      <c r="F32" s="1"/>
      <c r="G32" s="124" t="s">
        <v>510</v>
      </c>
      <c r="H32" s="419">
        <f t="shared" ref="H32:T32" si="16">SUM(H22:H31)</f>
        <v>60364.289999999994</v>
      </c>
      <c r="I32" s="419">
        <f t="shared" si="16"/>
        <v>59533.16</v>
      </c>
      <c r="J32" s="419">
        <f t="shared" si="16"/>
        <v>58089.72</v>
      </c>
      <c r="K32" s="419">
        <f t="shared" si="16"/>
        <v>70438.15817297445</v>
      </c>
      <c r="L32" s="419">
        <f t="shared" si="16"/>
        <v>59342.111176071528</v>
      </c>
      <c r="M32" s="419">
        <f t="shared" si="16"/>
        <v>58696.952287200416</v>
      </c>
      <c r="N32" s="419">
        <f t="shared" si="16"/>
        <v>59257.032960789511</v>
      </c>
      <c r="O32" s="419">
        <f t="shared" si="16"/>
        <v>65689.157271718926</v>
      </c>
      <c r="P32" s="419">
        <f t="shared" si="16"/>
        <v>60284.122696867838</v>
      </c>
      <c r="Q32" s="419">
        <f t="shared" si="16"/>
        <v>59589.245941059329</v>
      </c>
      <c r="R32" s="419">
        <f t="shared" si="16"/>
        <v>61593.585881423962</v>
      </c>
      <c r="S32" s="419">
        <f t="shared" si="16"/>
        <v>62559.819112634243</v>
      </c>
      <c r="T32" s="419">
        <f t="shared" si="16"/>
        <v>734656.40550074016</v>
      </c>
      <c r="U32" s="429">
        <f t="shared" si="7"/>
        <v>0.39096400994624797</v>
      </c>
      <c r="V32" s="125">
        <f>SUM(V23:V31)</f>
        <v>690864.96179999993</v>
      </c>
      <c r="W32" s="140">
        <f>V32/V19</f>
        <v>0.32653045567757349</v>
      </c>
      <c r="X32" s="125">
        <f>SUM(X23:X31)</f>
        <v>704682.26103599998</v>
      </c>
      <c r="Y32" s="140">
        <f>X32/X$17</f>
        <v>0.36141442170661553</v>
      </c>
      <c r="Z32" s="125">
        <f>SUM(Z23:Z31)</f>
        <v>718775.90625672007</v>
      </c>
      <c r="AA32" s="140">
        <f>Z32/Z$17</f>
        <v>0.35790554382596884</v>
      </c>
      <c r="AB32" s="125">
        <f>SUM(AB23:AB31)</f>
        <v>733151.42438185436</v>
      </c>
      <c r="AC32" s="140">
        <f>AB32/AB$17</f>
        <v>0.35443073272086234</v>
      </c>
      <c r="AD32" s="1"/>
      <c r="AE32" s="450">
        <v>46023</v>
      </c>
      <c r="AF32" s="268"/>
      <c r="AG32" s="275">
        <f>B58</f>
        <v>2479039.5051838625</v>
      </c>
      <c r="AH32" s="275">
        <v>0</v>
      </c>
      <c r="AI32" s="427">
        <f>T57</f>
        <v>136219.65086343596</v>
      </c>
      <c r="AJ32" s="296">
        <f>AI32/$AG$37</f>
        <v>2.2524952602469776E-2</v>
      </c>
      <c r="AK32" s="296"/>
      <c r="AL32" s="286">
        <f t="shared" ref="AL32:AL34" si="17">SUM(AG32:AI32)</f>
        <v>2615259.1560472986</v>
      </c>
      <c r="AM32" s="1"/>
      <c r="AS32" s="1" t="s">
        <v>201</v>
      </c>
      <c r="AT32" s="130">
        <v>96128.709999999992</v>
      </c>
      <c r="AU32" s="131"/>
      <c r="AV32" s="131"/>
      <c r="BB32" s="1"/>
    </row>
    <row r="33" spans="1:54" ht="15" customHeight="1" thickTop="1">
      <c r="A33" s="1" t="s">
        <v>507</v>
      </c>
      <c r="B33" s="111">
        <f>B20/B19</f>
        <v>0.75</v>
      </c>
      <c r="C33" s="111"/>
      <c r="D33" s="467" t="str">
        <f>A33</f>
        <v>Effective LTV</v>
      </c>
      <c r="E33" s="473">
        <f>$E$20/$B$19</f>
        <v>0.78456712667730921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68"/>
      <c r="R33" s="268"/>
      <c r="S33" s="268"/>
      <c r="T33" s="268"/>
      <c r="U33" s="1"/>
      <c r="V33" s="1"/>
      <c r="W33" s="1"/>
      <c r="X33" s="1"/>
      <c r="Y33" s="1"/>
      <c r="Z33" s="1"/>
      <c r="AA33" s="1"/>
      <c r="AB33" s="1"/>
      <c r="AC33" s="1"/>
      <c r="AD33" s="1"/>
      <c r="AE33" s="450">
        <v>46388</v>
      </c>
      <c r="AF33" s="268"/>
      <c r="AG33" s="275">
        <v>0</v>
      </c>
      <c r="AH33" s="275">
        <f>V52</f>
        <v>0</v>
      </c>
      <c r="AI33" s="427">
        <f>V57</f>
        <v>319355.14934443403</v>
      </c>
      <c r="AJ33" s="296">
        <f>AI33/$AG$37</f>
        <v>5.2807796501766688E-2</v>
      </c>
      <c r="AK33" s="296"/>
      <c r="AL33" s="286">
        <f t="shared" si="17"/>
        <v>319355.14934443403</v>
      </c>
      <c r="AM33" s="1"/>
      <c r="AS33" s="1" t="s">
        <v>294</v>
      </c>
      <c r="AT33" s="130">
        <v>126907.18</v>
      </c>
      <c r="AU33" s="131"/>
      <c r="AV33" s="131"/>
      <c r="BB33" s="1"/>
    </row>
    <row r="34" spans="1:54" ht="15" customHeight="1">
      <c r="A34" s="28" t="s">
        <v>647</v>
      </c>
      <c r="B34" s="351">
        <f>B17/B20</f>
        <v>8.666666666666667E-2</v>
      </c>
      <c r="C34" s="351"/>
      <c r="D34" s="467" t="str">
        <f>A34</f>
        <v>Debt Yield</v>
      </c>
      <c r="E34" s="351">
        <f>$B$17/$E$20</f>
        <v>8.2848232853292056E-2</v>
      </c>
      <c r="F34" s="1"/>
      <c r="G34" s="112" t="s">
        <v>204</v>
      </c>
      <c r="H34" s="420">
        <f>H19-H32</f>
        <v>79681.910000000018</v>
      </c>
      <c r="I34" s="420">
        <f>I19-I32</f>
        <v>81876.680000000022</v>
      </c>
      <c r="J34" s="420">
        <f t="shared" ref="J34:S34" si="18">J19-J32</f>
        <v>78283.324425000028</v>
      </c>
      <c r="K34" s="420">
        <f t="shared" si="18"/>
        <v>90322.447592840588</v>
      </c>
      <c r="L34" s="420">
        <f t="shared" si="18"/>
        <v>100714.26135964588</v>
      </c>
      <c r="M34" s="420">
        <f t="shared" si="18"/>
        <v>101544.12395281343</v>
      </c>
      <c r="N34" s="420">
        <f t="shared" si="18"/>
        <v>102132.73239886083</v>
      </c>
      <c r="O34" s="420">
        <f t="shared" si="18"/>
        <v>95958.751785578788</v>
      </c>
      <c r="P34" s="420">
        <f t="shared" si="18"/>
        <v>102862.6338653936</v>
      </c>
      <c r="Q34" s="426">
        <f t="shared" si="18"/>
        <v>104540.95209425177</v>
      </c>
      <c r="R34" s="426">
        <f t="shared" si="18"/>
        <v>102624.2768327083</v>
      </c>
      <c r="S34" s="426">
        <f t="shared" si="18"/>
        <v>103110.15130850695</v>
      </c>
      <c r="T34" s="338">
        <f>T19-T32</f>
        <v>1144433.1956156003</v>
      </c>
      <c r="U34" s="430">
        <f>T34/T19</f>
        <v>0.60903599005375197</v>
      </c>
      <c r="V34" s="144">
        <f>V19-V32</f>
        <v>1424909.9982000005</v>
      </c>
      <c r="W34" s="430">
        <f>V34/V19</f>
        <v>0.67346954432242656</v>
      </c>
      <c r="X34" s="144">
        <f>X19-X32</f>
        <v>1474565.9477640002</v>
      </c>
      <c r="Y34" s="430">
        <f>X34/X19</f>
        <v>0.67663974292123785</v>
      </c>
      <c r="Z34" s="144">
        <f>Z19-Z32</f>
        <v>1525849.7488072803</v>
      </c>
      <c r="AA34" s="430">
        <f>Z34/Z19</f>
        <v>0.67977916289287632</v>
      </c>
      <c r="AB34" s="144">
        <f>AB19-AB32</f>
        <v>1578813.0003340654</v>
      </c>
      <c r="AC34" s="430">
        <f>AB34/AB19</f>
        <v>0.68288810305896486</v>
      </c>
      <c r="AD34" s="1"/>
      <c r="AE34" s="450">
        <v>46753</v>
      </c>
      <c r="AF34" s="268"/>
      <c r="AG34" s="275">
        <v>0</v>
      </c>
      <c r="AH34" s="275">
        <f>X52</f>
        <v>0</v>
      </c>
      <c r="AI34" s="427">
        <f>X57</f>
        <v>353225.68855603389</v>
      </c>
      <c r="AJ34" s="296">
        <f>AI34/$AG$37</f>
        <v>5.8408547094838177E-2</v>
      </c>
      <c r="AK34" s="296"/>
      <c r="AL34" s="286">
        <f t="shared" si="17"/>
        <v>353225.68855603389</v>
      </c>
      <c r="AM34" s="34"/>
      <c r="AS34" s="27" t="s">
        <v>295</v>
      </c>
      <c r="AT34" s="134">
        <v>0</v>
      </c>
      <c r="AU34" s="141"/>
      <c r="AV34" s="141"/>
      <c r="BB34" s="1"/>
    </row>
    <row r="35" spans="1:54" ht="15" customHeight="1">
      <c r="A35" s="28" t="s">
        <v>274</v>
      </c>
      <c r="B35" s="352">
        <f>B17/ABS(B31)</f>
        <v>1.304961992853962</v>
      </c>
      <c r="C35" s="1" t="str">
        <f>IF(B35&gt;=B11,"OK","DSCR FAIL")</f>
        <v>OK</v>
      </c>
      <c r="D35" s="467" t="str">
        <f>A35</f>
        <v>DSCR</v>
      </c>
      <c r="E35" s="1">
        <f>$B$17/ABS($E$31)</f>
        <v>1.1760000000000028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68"/>
      <c r="R35" s="268"/>
      <c r="S35" s="268"/>
      <c r="T35" s="268"/>
      <c r="U35" s="1"/>
      <c r="V35" s="1"/>
      <c r="W35" s="1"/>
      <c r="X35" s="1"/>
      <c r="Y35" s="1"/>
      <c r="Z35" s="1"/>
      <c r="AA35" s="1"/>
      <c r="AB35" s="1"/>
      <c r="AC35" s="1"/>
      <c r="AD35" s="1"/>
      <c r="AE35" s="450">
        <v>47119</v>
      </c>
      <c r="AF35" s="268"/>
      <c r="AG35" s="275">
        <v>0</v>
      </c>
      <c r="AH35" s="275">
        <v>0</v>
      </c>
      <c r="AI35" s="427">
        <f>Z57</f>
        <v>388209.065038634</v>
      </c>
      <c r="AJ35" s="296">
        <f>AI35/$AG$37</f>
        <v>6.4193313772407445E-2</v>
      </c>
      <c r="AK35" s="299"/>
      <c r="AL35" s="286">
        <f>AG35+AI35+AK35</f>
        <v>388209.065038634</v>
      </c>
      <c r="BB35" s="1"/>
    </row>
    <row r="36" spans="1:54" ht="15" customHeight="1">
      <c r="D36" s="467"/>
      <c r="E36" s="1"/>
      <c r="F36" s="1"/>
      <c r="G36" s="112" t="s">
        <v>511</v>
      </c>
      <c r="H36" s="112"/>
      <c r="I36" s="112"/>
      <c r="J36" s="112"/>
      <c r="K36" s="112"/>
      <c r="L36" s="112"/>
      <c r="M36" s="112"/>
      <c r="N36" s="112"/>
      <c r="O36" s="112"/>
      <c r="P36" s="112"/>
      <c r="Q36" s="338"/>
      <c r="R36" s="338"/>
      <c r="S36" s="338"/>
      <c r="T36" s="338"/>
      <c r="U36" s="113"/>
      <c r="V36" s="144"/>
      <c r="W36" s="113"/>
      <c r="X36" s="144"/>
      <c r="Y36" s="113"/>
      <c r="Z36" s="144"/>
      <c r="AA36" s="113"/>
      <c r="AB36" s="144"/>
      <c r="AC36" s="113"/>
      <c r="AD36" s="1"/>
      <c r="AE36" s="450">
        <v>47484</v>
      </c>
      <c r="AG36" s="411">
        <f>AF10</f>
        <v>3568460.4948161375</v>
      </c>
      <c r="AH36" s="275">
        <v>0</v>
      </c>
      <c r="AI36" s="231">
        <f>AB57</f>
        <v>424340.59833225666</v>
      </c>
      <c r="AJ36" s="296">
        <f>AI36/$AG$37</f>
        <v>7.0167936888343385E-2</v>
      </c>
      <c r="AK36" s="411">
        <f>AF23</f>
        <v>2136890.7202052535</v>
      </c>
      <c r="AL36" s="286">
        <f>AG36+AI36+AK36</f>
        <v>6129691.8133536475</v>
      </c>
      <c r="AM36" s="1"/>
      <c r="BB36" s="1"/>
    </row>
    <row r="37" spans="1:54" ht="15" customHeight="1">
      <c r="A37" s="381" t="s">
        <v>596</v>
      </c>
      <c r="B37" s="381"/>
      <c r="C37" s="381"/>
      <c r="D37" s="467"/>
      <c r="E37" s="1"/>
      <c r="F37" s="1"/>
      <c r="G37" s="268" t="s">
        <v>605</v>
      </c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1"/>
      <c r="AE37" s="451"/>
      <c r="AF37" s="291"/>
      <c r="AG37" s="452">
        <f>SUM(AG30:AG36)</f>
        <v>6047500</v>
      </c>
      <c r="AH37" s="452">
        <f>SUM(AH30:AH35)</f>
        <v>0</v>
      </c>
      <c r="AI37" s="436">
        <f>SUM(AI30:AI36)</f>
        <v>1621350.1521347943</v>
      </c>
      <c r="AJ37" s="297">
        <f>AVERAGE(AJ30:AJ36)</f>
        <v>3.8300363837117928E-2</v>
      </c>
      <c r="AK37" s="300"/>
      <c r="AL37" s="292">
        <f>AG37+AH37+AK37</f>
        <v>6047500</v>
      </c>
      <c r="AM37" s="1"/>
      <c r="BB37" s="1"/>
    </row>
    <row r="38" spans="1:54" ht="15" customHeight="1">
      <c r="A38" s="1" t="s">
        <v>501</v>
      </c>
      <c r="B38" s="115">
        <f>-B20*B13</f>
        <v>-740372.85707938031</v>
      </c>
      <c r="C38" s="115"/>
      <c r="D38" s="467"/>
      <c r="E38" s="1"/>
      <c r="F38" s="1"/>
      <c r="G38" s="268" t="s">
        <v>606</v>
      </c>
      <c r="H38" s="421">
        <v>78585</v>
      </c>
      <c r="I38" s="421">
        <v>78585</v>
      </c>
      <c r="J38" s="421">
        <v>78585</v>
      </c>
      <c r="K38" s="421">
        <v>78585</v>
      </c>
      <c r="L38" s="421">
        <v>78585</v>
      </c>
      <c r="M38" s="421">
        <v>78585</v>
      </c>
      <c r="N38" s="421">
        <v>78585</v>
      </c>
      <c r="O38" s="421">
        <v>78585</v>
      </c>
      <c r="P38" s="421">
        <f>-$B$39</f>
        <v>61697.738089948361</v>
      </c>
      <c r="Q38" s="421">
        <f>-$B$39</f>
        <v>61697.738089948361</v>
      </c>
      <c r="R38" s="421">
        <f>-$B$39</f>
        <v>61697.738089948361</v>
      </c>
      <c r="S38" s="421">
        <f>-$B$39</f>
        <v>61697.738089948361</v>
      </c>
      <c r="T38" s="427">
        <f>SUM(H38:S38)</f>
        <v>875470.95235979324</v>
      </c>
      <c r="U38" s="268"/>
      <c r="V38" s="272">
        <f>-B39*12</f>
        <v>740372.85707938031</v>
      </c>
      <c r="W38" s="268"/>
      <c r="X38" s="272">
        <f>V38</f>
        <v>740372.85707938031</v>
      </c>
      <c r="Y38" s="268"/>
      <c r="Z38" s="272">
        <f>X38</f>
        <v>740372.85707938031</v>
      </c>
      <c r="AA38" s="268"/>
      <c r="AB38" s="272">
        <f>Z38</f>
        <v>740372.85707938031</v>
      </c>
      <c r="AC38" s="268"/>
      <c r="AD38" s="1"/>
      <c r="AE38" s="1"/>
      <c r="AF38" s="1"/>
      <c r="AG38" s="1"/>
      <c r="AH38" s="1"/>
      <c r="AJ38" s="4"/>
      <c r="AK38" s="4" t="s">
        <v>595</v>
      </c>
      <c r="AL38" s="253">
        <f>XIRR(AL30:AL36, AE30:AE36)</f>
        <v>0.11192712187767029</v>
      </c>
      <c r="AM38" s="1"/>
      <c r="AS38" s="233" t="s">
        <v>194</v>
      </c>
      <c r="AT38" s="390">
        <v>3631</v>
      </c>
      <c r="AU38" s="390">
        <v>3812</v>
      </c>
      <c r="AV38" s="390">
        <v>2936.62</v>
      </c>
      <c r="BB38" s="1"/>
    </row>
    <row r="39" spans="1:54" ht="15" customHeight="1">
      <c r="A39" s="1" t="s">
        <v>502</v>
      </c>
      <c r="B39" s="115">
        <f>B38/12</f>
        <v>-61697.738089948361</v>
      </c>
      <c r="C39" s="115"/>
      <c r="D39" s="467"/>
      <c r="E39" s="1"/>
      <c r="F39" s="1"/>
      <c r="G39" s="268" t="s">
        <v>607</v>
      </c>
      <c r="H39" s="421">
        <f>B67</f>
        <v>0</v>
      </c>
      <c r="I39" s="421">
        <f>D67</f>
        <v>0</v>
      </c>
      <c r="J39" s="421">
        <f t="shared" ref="J39:S39" si="19">G67</f>
        <v>0</v>
      </c>
      <c r="K39" s="421">
        <f t="shared" si="19"/>
        <v>0</v>
      </c>
      <c r="L39" s="421">
        <f t="shared" si="19"/>
        <v>0</v>
      </c>
      <c r="M39" s="421">
        <f t="shared" si="19"/>
        <v>0</v>
      </c>
      <c r="N39" s="421">
        <f t="shared" si="19"/>
        <v>0</v>
      </c>
      <c r="O39" s="421">
        <f t="shared" si="19"/>
        <v>0</v>
      </c>
      <c r="P39" s="421">
        <f t="shared" si="19"/>
        <v>0</v>
      </c>
      <c r="Q39" s="421">
        <f t="shared" si="19"/>
        <v>0</v>
      </c>
      <c r="R39" s="421">
        <f t="shared" si="19"/>
        <v>0</v>
      </c>
      <c r="S39" s="421">
        <f t="shared" si="19"/>
        <v>0</v>
      </c>
      <c r="T39" s="427">
        <f>SUM(H39:S39)</f>
        <v>0</v>
      </c>
      <c r="V39" s="272">
        <f>-B67</f>
        <v>0</v>
      </c>
      <c r="X39" s="272">
        <f>-B67</f>
        <v>0</v>
      </c>
      <c r="Z39" s="272">
        <f>-G61</f>
        <v>0</v>
      </c>
      <c r="AB39" s="272">
        <f>-I61</f>
        <v>0</v>
      </c>
      <c r="AD39" s="1"/>
      <c r="AM39" s="1"/>
      <c r="AS39" s="233" t="s">
        <v>197</v>
      </c>
      <c r="AT39" s="233">
        <v>0</v>
      </c>
      <c r="AU39" s="233">
        <v>0</v>
      </c>
      <c r="AV39" s="233">
        <v>0</v>
      </c>
      <c r="BB39" s="1"/>
    </row>
    <row r="40" spans="1:54" ht="15" customHeight="1">
      <c r="A40" s="1"/>
      <c r="B40" s="1"/>
      <c r="C40" s="1"/>
      <c r="D40" s="467"/>
      <c r="E40" s="1"/>
      <c r="F40" s="1"/>
      <c r="H40" s="244"/>
      <c r="I40" s="244"/>
      <c r="J40" s="244"/>
      <c r="K40" s="244"/>
      <c r="L40" s="244"/>
      <c r="M40" s="244"/>
      <c r="N40" s="244"/>
      <c r="O40" s="244"/>
      <c r="P40" s="244"/>
      <c r="Q40" s="432"/>
      <c r="R40" s="432"/>
      <c r="S40" s="432"/>
      <c r="T40" s="427"/>
      <c r="V40" s="272"/>
      <c r="X40" s="272"/>
      <c r="Z40" s="272"/>
      <c r="AB40" s="272"/>
      <c r="AD40" s="1"/>
      <c r="AE40" s="1"/>
      <c r="AF40" s="1"/>
      <c r="AG40" s="1"/>
      <c r="AH40" s="1"/>
      <c r="AI40" s="1"/>
      <c r="AJ40" s="1"/>
      <c r="AK40" s="1"/>
      <c r="AL40" s="1"/>
      <c r="AM40" s="1"/>
      <c r="AS40" s="233" t="s">
        <v>276</v>
      </c>
      <c r="AT40" s="390">
        <v>10385.34</v>
      </c>
      <c r="AU40" s="390">
        <v>9136.84</v>
      </c>
      <c r="AV40" s="390">
        <v>12365.79</v>
      </c>
      <c r="BB40" s="1"/>
    </row>
    <row r="41" spans="1:54" ht="15" customHeight="1" thickBot="1">
      <c r="A41" s="1"/>
      <c r="B41" s="1"/>
      <c r="C41" s="1"/>
      <c r="D41" s="467"/>
      <c r="E41" s="1"/>
      <c r="F41" s="1"/>
      <c r="G41" s="126" t="s">
        <v>514</v>
      </c>
      <c r="H41" s="238">
        <f t="shared" ref="H41:S41" si="20">SUM(H37:H40)</f>
        <v>78585</v>
      </c>
      <c r="I41" s="238">
        <f t="shared" si="20"/>
        <v>78585</v>
      </c>
      <c r="J41" s="238">
        <f t="shared" si="20"/>
        <v>78585</v>
      </c>
      <c r="K41" s="238">
        <f t="shared" si="20"/>
        <v>78585</v>
      </c>
      <c r="L41" s="238">
        <f t="shared" si="20"/>
        <v>78585</v>
      </c>
      <c r="M41" s="238">
        <f t="shared" si="20"/>
        <v>78585</v>
      </c>
      <c r="N41" s="238">
        <f t="shared" si="20"/>
        <v>78585</v>
      </c>
      <c r="O41" s="238">
        <f t="shared" si="20"/>
        <v>78585</v>
      </c>
      <c r="P41" s="238">
        <f t="shared" si="20"/>
        <v>61697.738089948361</v>
      </c>
      <c r="Q41" s="238">
        <f t="shared" si="20"/>
        <v>61697.738089948361</v>
      </c>
      <c r="R41" s="238">
        <f t="shared" si="20"/>
        <v>61697.738089948361</v>
      </c>
      <c r="S41" s="238">
        <f t="shared" si="20"/>
        <v>61697.738089948361</v>
      </c>
      <c r="T41" s="238">
        <f>SUM(T37:T40)</f>
        <v>875470.95235979324</v>
      </c>
      <c r="U41" s="126"/>
      <c r="V41" s="149">
        <f>SUM(V37:V40)</f>
        <v>740372.85707938031</v>
      </c>
      <c r="W41" s="126"/>
      <c r="X41" s="149">
        <f>SUM(X37:X40)</f>
        <v>740372.85707938031</v>
      </c>
      <c r="Y41" s="126"/>
      <c r="Z41" s="149">
        <f>SUM(Z37:Z40)</f>
        <v>740372.85707938031</v>
      </c>
      <c r="AA41" s="126"/>
      <c r="AB41" s="149">
        <f>SUM(AB37:AB40)</f>
        <v>740372.85707938031</v>
      </c>
      <c r="AC41" s="126"/>
      <c r="AD41" s="1"/>
      <c r="AE41" s="1"/>
      <c r="AF41" s="1"/>
      <c r="AG41" s="1"/>
      <c r="AH41" s="1"/>
      <c r="AI41" s="1"/>
      <c r="AJ41" s="1"/>
      <c r="AK41" s="1"/>
      <c r="AL41" s="1"/>
      <c r="AM41" s="1"/>
      <c r="AS41" s="233" t="s">
        <v>278</v>
      </c>
      <c r="AT41" s="233">
        <v>0</v>
      </c>
      <c r="AU41" s="233">
        <v>0</v>
      </c>
      <c r="AV41" s="233">
        <v>0</v>
      </c>
      <c r="BB41" s="1"/>
    </row>
    <row r="42" spans="1:54" ht="15" customHeight="1" thickTop="1">
      <c r="A42" s="136" t="s">
        <v>508</v>
      </c>
      <c r="B42" s="137"/>
      <c r="C42" s="457"/>
      <c r="D42" s="136" t="s">
        <v>508</v>
      </c>
      <c r="E42" s="13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68"/>
      <c r="R42" s="268"/>
      <c r="S42" s="268"/>
      <c r="T42" s="26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S42" s="233" t="s">
        <v>49</v>
      </c>
      <c r="AT42" s="390">
        <v>8844.7900000000009</v>
      </c>
      <c r="AU42" s="390">
        <v>7754.52</v>
      </c>
      <c r="AV42" s="390">
        <v>7885.53</v>
      </c>
      <c r="BB42" s="1"/>
    </row>
    <row r="43" spans="1:54" ht="15" customHeight="1">
      <c r="A43" s="138" t="s">
        <v>509</v>
      </c>
      <c r="B43" s="139"/>
      <c r="C43" s="272"/>
      <c r="D43" s="138" t="s">
        <v>509</v>
      </c>
      <c r="E43" s="139"/>
      <c r="F43" s="1"/>
      <c r="G43" s="1" t="s">
        <v>517</v>
      </c>
      <c r="H43" s="433">
        <f>H19*0.02</f>
        <v>2800.9240000000004</v>
      </c>
      <c r="I43" s="433">
        <f t="shared" ref="I43:S43" si="21">I19*0.02</f>
        <v>2828.1968000000006</v>
      </c>
      <c r="J43" s="433">
        <f t="shared" si="21"/>
        <v>2727.4608885000007</v>
      </c>
      <c r="K43" s="433">
        <f t="shared" si="21"/>
        <v>3215.2121153163007</v>
      </c>
      <c r="L43" s="433">
        <f t="shared" si="21"/>
        <v>3201.1274507143485</v>
      </c>
      <c r="M43" s="433">
        <f t="shared" si="21"/>
        <v>3204.8215248002771</v>
      </c>
      <c r="N43" s="433">
        <f t="shared" si="21"/>
        <v>3227.7953071930069</v>
      </c>
      <c r="O43" s="433">
        <f t="shared" si="21"/>
        <v>3232.9581811459543</v>
      </c>
      <c r="P43" s="433">
        <f t="shared" si="21"/>
        <v>3262.9351312452286</v>
      </c>
      <c r="Q43" s="433">
        <f t="shared" si="21"/>
        <v>3282.6039607062221</v>
      </c>
      <c r="R43" s="433">
        <f t="shared" si="21"/>
        <v>3284.3572542826455</v>
      </c>
      <c r="S43" s="433">
        <f t="shared" si="21"/>
        <v>3313.3994084228239</v>
      </c>
      <c r="T43" s="269">
        <f>SUM((H43:S43))</f>
        <v>37581.792022326808</v>
      </c>
      <c r="U43" s="1"/>
      <c r="V43" s="269">
        <f>V19*2%</f>
        <v>42315.499200000013</v>
      </c>
      <c r="W43" s="1"/>
      <c r="X43" s="269">
        <f>X19*2%</f>
        <v>43584.964176000001</v>
      </c>
      <c r="Y43" s="268"/>
      <c r="Z43" s="269">
        <f>Z19*2%</f>
        <v>44892.513101280005</v>
      </c>
      <c r="AA43" s="268"/>
      <c r="AB43" s="269">
        <f>AB19*2%</f>
        <v>46239.288494318396</v>
      </c>
      <c r="AC43" s="268"/>
      <c r="AD43" s="1"/>
      <c r="AE43" s="1"/>
      <c r="AF43" s="1"/>
      <c r="AG43" s="1"/>
      <c r="AH43" s="1"/>
      <c r="AI43" s="1"/>
      <c r="AJ43" s="1"/>
      <c r="AK43" s="1"/>
      <c r="AL43" s="1"/>
      <c r="AM43" s="1"/>
      <c r="AS43" s="233" t="s">
        <v>673</v>
      </c>
      <c r="AT43" s="390">
        <v>2899.94</v>
      </c>
      <c r="AU43" s="390">
        <v>1765.76</v>
      </c>
      <c r="AV43" s="390">
        <v>1965.88</v>
      </c>
      <c r="BB43" s="1"/>
    </row>
    <row r="44" spans="1:54" ht="15" customHeight="1">
      <c r="A44" s="233"/>
      <c r="B44" s="143"/>
      <c r="C44" s="458"/>
      <c r="D44" s="233"/>
      <c r="E44" s="143"/>
      <c r="F44" s="1"/>
      <c r="G44" s="1" t="s">
        <v>594</v>
      </c>
      <c r="H44" s="416"/>
      <c r="I44" s="416">
        <v>0</v>
      </c>
      <c r="J44" s="416">
        <v>0</v>
      </c>
      <c r="K44" s="416">
        <v>0</v>
      </c>
      <c r="L44" s="416">
        <v>0</v>
      </c>
      <c r="M44" s="416">
        <v>0</v>
      </c>
      <c r="N44" s="416">
        <v>0</v>
      </c>
      <c r="O44" s="416">
        <v>0</v>
      </c>
      <c r="P44" s="416">
        <v>0</v>
      </c>
      <c r="Q44" s="416">
        <v>0</v>
      </c>
      <c r="R44" s="416">
        <v>0</v>
      </c>
      <c r="S44" s="416">
        <v>0</v>
      </c>
      <c r="T44" s="269">
        <f>SUM((H44:S44))</f>
        <v>0</v>
      </c>
      <c r="V44" s="269">
        <v>150000</v>
      </c>
      <c r="X44" s="269">
        <v>150000</v>
      </c>
      <c r="Y44" s="273"/>
      <c r="Z44" s="269">
        <v>150000</v>
      </c>
      <c r="AA44" s="273"/>
      <c r="AB44" s="269">
        <v>150000</v>
      </c>
      <c r="AC44" s="273"/>
      <c r="AD44" s="1"/>
      <c r="AE44" s="1"/>
      <c r="AF44" s="1"/>
      <c r="AG44" s="1"/>
      <c r="AH44" s="1"/>
      <c r="AI44" s="1"/>
      <c r="AJ44" s="1"/>
      <c r="AK44" s="1"/>
      <c r="AL44" s="1"/>
      <c r="AM44" s="1"/>
      <c r="AS44" s="233" t="s">
        <v>674</v>
      </c>
      <c r="AT44" s="390">
        <v>8137.21</v>
      </c>
      <c r="AU44" s="390">
        <v>5762.21</v>
      </c>
      <c r="AV44" s="390">
        <v>28312.52</v>
      </c>
      <c r="BB44" s="1"/>
    </row>
    <row r="45" spans="1:54" ht="15" customHeight="1">
      <c r="A45" s="146" t="s">
        <v>610</v>
      </c>
      <c r="B45" s="322">
        <f>B20</f>
        <v>14048820.817445546</v>
      </c>
      <c r="C45" s="459"/>
      <c r="D45" s="146" t="s">
        <v>610</v>
      </c>
      <c r="E45" s="322">
        <f>E20</f>
        <v>14696323.975930158</v>
      </c>
      <c r="F45" s="1"/>
      <c r="G45" s="1" t="s">
        <v>691</v>
      </c>
      <c r="H45" s="244">
        <v>3000</v>
      </c>
      <c r="I45" s="244">
        <v>3000</v>
      </c>
      <c r="J45" s="244">
        <v>3000</v>
      </c>
      <c r="K45" s="244">
        <v>3000</v>
      </c>
      <c r="L45" s="244">
        <v>3000</v>
      </c>
      <c r="M45" s="244">
        <v>3000</v>
      </c>
      <c r="N45" s="244">
        <v>3000</v>
      </c>
      <c r="O45" s="244">
        <v>3000</v>
      </c>
      <c r="P45" s="244">
        <v>3000</v>
      </c>
      <c r="Q45" s="432">
        <v>3000</v>
      </c>
      <c r="R45" s="432">
        <v>3000</v>
      </c>
      <c r="S45" s="432">
        <v>3000</v>
      </c>
      <c r="T45" s="269">
        <f>SUM((H45:S45))</f>
        <v>36000</v>
      </c>
      <c r="V45" s="411">
        <f>T45</f>
        <v>36000</v>
      </c>
      <c r="X45" s="411">
        <f>T45</f>
        <v>36000</v>
      </c>
      <c r="Z45" s="411">
        <f>V45</f>
        <v>36000</v>
      </c>
      <c r="AB45" s="411">
        <f>X45</f>
        <v>36000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S45" s="233" t="s">
        <v>291</v>
      </c>
      <c r="AT45" s="233">
        <v>0</v>
      </c>
      <c r="AU45" s="233">
        <v>0</v>
      </c>
      <c r="AV45" s="233">
        <v>0</v>
      </c>
      <c r="BB45" s="1"/>
    </row>
    <row r="46" spans="1:54" ht="15" customHeight="1" thickBot="1">
      <c r="A46" s="146" t="s">
        <v>597</v>
      </c>
      <c r="B46" s="322">
        <f>B62</f>
        <v>0</v>
      </c>
      <c r="C46" s="459"/>
      <c r="D46" s="146" t="s">
        <v>597</v>
      </c>
      <c r="E46" s="322">
        <f>E62</f>
        <v>0</v>
      </c>
      <c r="F46" s="1"/>
      <c r="G46" s="124" t="s">
        <v>515</v>
      </c>
      <c r="H46" s="418">
        <f t="shared" ref="H46:S46" si="22">H34-(H41+SUM(H43:H45))</f>
        <v>-4704.013999999981</v>
      </c>
      <c r="I46" s="418">
        <f t="shared" si="22"/>
        <v>-2536.516799999983</v>
      </c>
      <c r="J46" s="418">
        <f t="shared" si="22"/>
        <v>-6029.1364634999773</v>
      </c>
      <c r="K46" s="418">
        <f t="shared" si="22"/>
        <v>5522.2354775242857</v>
      </c>
      <c r="L46" s="418">
        <f t="shared" si="22"/>
        <v>15928.13390893153</v>
      </c>
      <c r="M46" s="418">
        <f t="shared" si="22"/>
        <v>16754.30242801315</v>
      </c>
      <c r="N46" s="418">
        <f t="shared" si="22"/>
        <v>17319.937091667816</v>
      </c>
      <c r="O46" s="418">
        <f t="shared" si="22"/>
        <v>11140.793604432838</v>
      </c>
      <c r="P46" s="418">
        <f t="shared" si="22"/>
        <v>34901.960644200008</v>
      </c>
      <c r="Q46" s="418">
        <f t="shared" si="22"/>
        <v>36560.610043597189</v>
      </c>
      <c r="R46" s="418">
        <f t="shared" si="22"/>
        <v>34642.18148847729</v>
      </c>
      <c r="S46" s="418">
        <f t="shared" si="22"/>
        <v>35099.013810135759</v>
      </c>
      <c r="T46" s="434">
        <f>SUM(H46:S46)</f>
        <v>194599.50123347994</v>
      </c>
      <c r="U46" s="124"/>
      <c r="V46" s="418">
        <f>V34-(V41+SUM(V43:V45))</f>
        <v>456221.64192062011</v>
      </c>
      <c r="W46" s="124"/>
      <c r="X46" s="418">
        <f>X34-(X41+SUM(X43:X45))</f>
        <v>504608.12650861987</v>
      </c>
      <c r="Y46" s="124"/>
      <c r="Z46" s="418">
        <f>Z34-(Z41+SUM(Z43:Z45))</f>
        <v>554584.37862662005</v>
      </c>
      <c r="AA46" s="124"/>
      <c r="AB46" s="418">
        <f>AB34-(AB41+SUM(AB43:AB45))</f>
        <v>606200.85476036672</v>
      </c>
      <c r="AC46" s="124"/>
      <c r="AD46" s="1"/>
      <c r="AE46" s="1"/>
      <c r="AF46" s="1"/>
      <c r="AG46" s="1"/>
      <c r="AH46" s="1"/>
      <c r="AI46" s="1"/>
      <c r="AJ46" s="1"/>
      <c r="AK46" s="1"/>
      <c r="AL46" s="1"/>
      <c r="AM46" s="1"/>
      <c r="AS46" s="233" t="s">
        <v>201</v>
      </c>
      <c r="AT46" s="390">
        <v>40279.51</v>
      </c>
      <c r="AU46" s="390">
        <v>33188.81</v>
      </c>
      <c r="AV46" s="390">
        <v>20662.990000000002</v>
      </c>
      <c r="BB46" s="1"/>
    </row>
    <row r="47" spans="1:54" ht="15" customHeight="1" thickTop="1" thickBot="1">
      <c r="A47" s="138" t="s">
        <v>598</v>
      </c>
      <c r="B47" s="266">
        <f>SUM(B45:B46)</f>
        <v>14048820.817445546</v>
      </c>
      <c r="C47" s="460"/>
      <c r="D47" s="138" t="s">
        <v>598</v>
      </c>
      <c r="E47" s="266">
        <f>SUM(E45:E46)</f>
        <v>14696323.975930158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68"/>
      <c r="R47" s="268"/>
      <c r="S47" s="268"/>
      <c r="T47" s="26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S47" s="233" t="s">
        <v>294</v>
      </c>
      <c r="AT47" s="390">
        <v>4500</v>
      </c>
      <c r="AU47" s="390">
        <v>4500</v>
      </c>
      <c r="AV47" s="390">
        <v>4500</v>
      </c>
      <c r="BB47" s="1"/>
    </row>
    <row r="48" spans="1:54" ht="15" customHeight="1" thickTop="1">
      <c r="A48" s="146" t="s">
        <v>512</v>
      </c>
      <c r="B48" s="147"/>
      <c r="C48" s="461"/>
      <c r="D48" s="146" t="s">
        <v>512</v>
      </c>
      <c r="E48" s="147"/>
      <c r="F48" s="1"/>
      <c r="G48" s="112" t="s">
        <v>516</v>
      </c>
      <c r="H48" s="435">
        <f>IF(H46&gt;0, H46,0)</f>
        <v>0</v>
      </c>
      <c r="I48" s="435">
        <f t="shared" ref="I48:T48" si="23">IF(I46&gt;0, I46,0)</f>
        <v>0</v>
      </c>
      <c r="J48" s="435">
        <f t="shared" si="23"/>
        <v>0</v>
      </c>
      <c r="K48" s="435">
        <f t="shared" si="23"/>
        <v>5522.2354775242857</v>
      </c>
      <c r="L48" s="435">
        <f t="shared" si="23"/>
        <v>15928.13390893153</v>
      </c>
      <c r="M48" s="435">
        <f t="shared" si="23"/>
        <v>16754.30242801315</v>
      </c>
      <c r="N48" s="435">
        <f t="shared" si="23"/>
        <v>17319.937091667816</v>
      </c>
      <c r="O48" s="435">
        <f t="shared" si="23"/>
        <v>11140.793604432838</v>
      </c>
      <c r="P48" s="435">
        <f t="shared" si="23"/>
        <v>34901.960644200008</v>
      </c>
      <c r="Q48" s="435">
        <f t="shared" si="23"/>
        <v>36560.610043597189</v>
      </c>
      <c r="R48" s="435">
        <f t="shared" si="23"/>
        <v>34642.18148847729</v>
      </c>
      <c r="S48" s="435">
        <f t="shared" si="23"/>
        <v>35099.013810135759</v>
      </c>
      <c r="T48" s="435">
        <f t="shared" si="23"/>
        <v>194599.50123347994</v>
      </c>
      <c r="U48" s="113"/>
      <c r="V48" s="144"/>
      <c r="W48" s="113"/>
      <c r="X48" s="144"/>
      <c r="Y48" s="113"/>
      <c r="Z48" s="144"/>
      <c r="AA48" s="113"/>
      <c r="AB48" s="144"/>
      <c r="AC48" s="113"/>
      <c r="AD48" s="1"/>
      <c r="AE48" s="1"/>
      <c r="AF48" s="1"/>
      <c r="AG48" s="1"/>
      <c r="AH48" s="1"/>
      <c r="AI48" s="1"/>
      <c r="AJ48" s="1"/>
      <c r="AK48" s="1"/>
      <c r="AL48" s="1"/>
      <c r="AM48" s="1"/>
      <c r="AS48" s="233" t="s">
        <v>295</v>
      </c>
      <c r="AT48" s="233">
        <v>0</v>
      </c>
      <c r="AU48" s="233">
        <v>0</v>
      </c>
      <c r="AV48" s="233">
        <v>0</v>
      </c>
      <c r="BB48" s="1"/>
    </row>
    <row r="49" spans="1:54" ht="15" customHeight="1">
      <c r="A49" s="142" t="s">
        <v>513</v>
      </c>
      <c r="B49" s="148">
        <f>B22</f>
        <v>-10899999</v>
      </c>
      <c r="C49" s="462"/>
      <c r="D49" s="142" t="s">
        <v>513</v>
      </c>
      <c r="E49" s="148">
        <f>E22</f>
        <v>-10899999</v>
      </c>
      <c r="F49" s="1"/>
      <c r="Q49" s="273"/>
      <c r="R49" s="273"/>
      <c r="S49" s="273"/>
      <c r="T49" s="273"/>
      <c r="AD49" s="1"/>
      <c r="AE49" s="1"/>
      <c r="AF49" s="1"/>
      <c r="AG49" s="1"/>
      <c r="AH49" s="1"/>
      <c r="AI49" s="1"/>
      <c r="AJ49" s="1"/>
      <c r="AK49" s="1"/>
      <c r="AL49" s="1"/>
      <c r="AM49" s="1"/>
      <c r="BB49" s="1"/>
    </row>
    <row r="50" spans="1:54" ht="15" customHeight="1">
      <c r="A50" s="142" t="str">
        <f>A21</f>
        <v>Closing Charges</v>
      </c>
      <c r="B50" s="139">
        <f>B23+B24</f>
        <v>-229782.3122616832</v>
      </c>
      <c r="C50" s="272"/>
      <c r="D50" s="142" t="s">
        <v>709</v>
      </c>
      <c r="E50" s="139">
        <f>E23+E24</f>
        <v>-632302.95903720637</v>
      </c>
      <c r="F50" s="1"/>
      <c r="G50" s="1" t="s">
        <v>518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339">
        <f>SUM(H50:S50)</f>
        <v>0</v>
      </c>
      <c r="U50" s="1"/>
      <c r="V50" s="1">
        <v>0</v>
      </c>
      <c r="W50" s="1"/>
      <c r="X50" s="1">
        <v>0</v>
      </c>
      <c r="Y50" s="1"/>
      <c r="Z50" s="1">
        <v>0</v>
      </c>
      <c r="AA50" s="1"/>
      <c r="AB50" s="1">
        <v>0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BB50" s="1"/>
    </row>
    <row r="51" spans="1:54" ht="15" customHeight="1">
      <c r="A51" s="145" t="s">
        <v>601</v>
      </c>
      <c r="B51" s="139">
        <v>-150000</v>
      </c>
      <c r="C51" s="272"/>
      <c r="D51" s="145" t="s">
        <v>601</v>
      </c>
      <c r="E51" s="139">
        <v>-150000</v>
      </c>
      <c r="F51" s="1"/>
      <c r="G51" s="1" t="s">
        <v>519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339">
        <f>SUM(H51:S51)</f>
        <v>0</v>
      </c>
      <c r="U51" s="1"/>
      <c r="V51" s="1">
        <v>0</v>
      </c>
      <c r="W51" s="1"/>
      <c r="X51" s="1">
        <v>0</v>
      </c>
      <c r="Y51" s="1"/>
      <c r="Z51" s="1">
        <v>0</v>
      </c>
      <c r="AA51" s="1"/>
      <c r="AB51" s="1">
        <v>0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BB51" s="1"/>
    </row>
    <row r="52" spans="1:54" ht="15" customHeight="1">
      <c r="A52" s="116" t="s">
        <v>602</v>
      </c>
      <c r="B52" s="139">
        <v>-90000</v>
      </c>
      <c r="C52" s="272"/>
      <c r="D52" s="116" t="s">
        <v>602</v>
      </c>
      <c r="E52" s="139">
        <v>-90000</v>
      </c>
      <c r="F52" s="1"/>
      <c r="G52" s="1" t="s">
        <v>521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339">
        <f>SUM(H52:S52)</f>
        <v>0</v>
      </c>
      <c r="U52" s="1"/>
      <c r="V52" s="1">
        <v>0</v>
      </c>
      <c r="W52" s="1"/>
      <c r="X52" s="1">
        <v>0</v>
      </c>
      <c r="Y52" s="1"/>
      <c r="Z52" s="1">
        <v>0</v>
      </c>
      <c r="AA52" s="1"/>
      <c r="AB52" s="1">
        <v>0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BB52" s="1"/>
    </row>
    <row r="53" spans="1:54" ht="15" customHeight="1">
      <c r="A53" s="145" t="s">
        <v>603</v>
      </c>
      <c r="B53" s="139">
        <v>0</v>
      </c>
      <c r="C53" s="272"/>
      <c r="D53" s="145" t="s">
        <v>603</v>
      </c>
      <c r="E53" s="139">
        <v>0</v>
      </c>
      <c r="F53" s="1"/>
      <c r="G53" s="1" t="s">
        <v>593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339">
        <f>SUM(H53:S53)</f>
        <v>0</v>
      </c>
      <c r="U53" s="1"/>
      <c r="V53" s="1">
        <v>0</v>
      </c>
      <c r="W53" s="1"/>
      <c r="X53" s="1">
        <v>0</v>
      </c>
      <c r="Y53" s="1"/>
      <c r="Z53" s="1">
        <v>0</v>
      </c>
      <c r="AA53" s="1"/>
      <c r="AB53" s="1">
        <v>0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BB53" s="1"/>
    </row>
    <row r="54" spans="1:54" ht="15" customHeight="1">
      <c r="A54" s="116" t="s">
        <v>604</v>
      </c>
      <c r="B54" s="139">
        <v>0</v>
      </c>
      <c r="C54" s="272"/>
      <c r="D54" s="116" t="s">
        <v>604</v>
      </c>
      <c r="E54" s="139">
        <v>0</v>
      </c>
      <c r="F54" s="1"/>
      <c r="Q54" s="273"/>
      <c r="R54" s="273"/>
      <c r="S54" s="273"/>
      <c r="T54" s="273"/>
      <c r="AD54" s="1"/>
      <c r="AE54" s="1"/>
      <c r="AF54" s="1"/>
      <c r="AG54" s="1"/>
      <c r="AH54" s="1"/>
      <c r="AI54" s="1"/>
      <c r="AJ54" s="1"/>
      <c r="AK54" s="1"/>
      <c r="AL54" s="1"/>
      <c r="AM54" s="1"/>
      <c r="BB54" s="1"/>
    </row>
    <row r="55" spans="1:54" ht="15" customHeight="1">
      <c r="A55" s="145" t="s">
        <v>615</v>
      </c>
      <c r="B55" s="139">
        <v>-200000</v>
      </c>
      <c r="C55" s="272"/>
      <c r="D55" s="145" t="s">
        <v>615</v>
      </c>
      <c r="E55" s="139">
        <v>-200000</v>
      </c>
      <c r="F55" s="1"/>
      <c r="Q55" s="273"/>
      <c r="R55" s="273"/>
      <c r="S55" s="273"/>
      <c r="T55" s="273"/>
      <c r="AD55" s="1"/>
      <c r="AE55" s="1"/>
      <c r="AF55" s="1"/>
      <c r="AG55" s="1"/>
      <c r="AH55" s="1"/>
      <c r="AI55" s="1"/>
      <c r="AJ55" s="1"/>
      <c r="AK55" s="1"/>
      <c r="AL55" s="1"/>
      <c r="AM55" s="1"/>
      <c r="BB55" s="1"/>
    </row>
    <row r="56" spans="1:54" ht="15" customHeight="1" thickBot="1">
      <c r="A56" s="146" t="s">
        <v>599</v>
      </c>
      <c r="B56" s="267">
        <f>SUM(B49:B55)</f>
        <v>-11569781.312261684</v>
      </c>
      <c r="C56" s="463"/>
      <c r="D56" s="146" t="s">
        <v>599</v>
      </c>
      <c r="E56" s="267">
        <f>SUM(E49:E55)</f>
        <v>-11972301.959037207</v>
      </c>
      <c r="F56" s="1"/>
      <c r="G56" s="438" t="s">
        <v>645</v>
      </c>
      <c r="H56" s="439">
        <f t="shared" ref="H56:T56" si="24">H46</f>
        <v>-4704.013999999981</v>
      </c>
      <c r="I56" s="439">
        <f t="shared" si="24"/>
        <v>-2536.516799999983</v>
      </c>
      <c r="J56" s="439">
        <f t="shared" si="24"/>
        <v>-6029.1364634999773</v>
      </c>
      <c r="K56" s="439">
        <f t="shared" si="24"/>
        <v>5522.2354775242857</v>
      </c>
      <c r="L56" s="439">
        <f t="shared" si="24"/>
        <v>15928.13390893153</v>
      </c>
      <c r="M56" s="439">
        <f t="shared" si="24"/>
        <v>16754.30242801315</v>
      </c>
      <c r="N56" s="439">
        <f t="shared" si="24"/>
        <v>17319.937091667816</v>
      </c>
      <c r="O56" s="439">
        <f t="shared" si="24"/>
        <v>11140.793604432838</v>
      </c>
      <c r="P56" s="439">
        <f t="shared" si="24"/>
        <v>34901.960644200008</v>
      </c>
      <c r="Q56" s="439">
        <f t="shared" si="24"/>
        <v>36560.610043597189</v>
      </c>
      <c r="R56" s="439">
        <f t="shared" si="24"/>
        <v>34642.18148847729</v>
      </c>
      <c r="S56" s="439">
        <f t="shared" si="24"/>
        <v>35099.013810135759</v>
      </c>
      <c r="T56" s="439">
        <f t="shared" si="24"/>
        <v>194599.50123347994</v>
      </c>
      <c r="U56" s="440"/>
      <c r="V56" s="439">
        <f>V46</f>
        <v>456221.64192062011</v>
      </c>
      <c r="W56" s="440"/>
      <c r="X56" s="439">
        <f>X46</f>
        <v>504608.12650861987</v>
      </c>
      <c r="Y56" s="441"/>
      <c r="Z56" s="439">
        <f>Z46</f>
        <v>554584.37862662005</v>
      </c>
      <c r="AA56" s="441"/>
      <c r="AB56" s="439">
        <f>AB46</f>
        <v>606200.85476036672</v>
      </c>
      <c r="AC56" s="441"/>
      <c r="AD56" s="1"/>
      <c r="AE56" s="1"/>
      <c r="AF56" s="1"/>
      <c r="AG56" s="1"/>
      <c r="AH56" s="1"/>
      <c r="AI56" s="1"/>
      <c r="AJ56" s="1"/>
      <c r="AK56" s="1"/>
      <c r="AL56" s="1"/>
      <c r="AM56" s="1"/>
      <c r="BB56" s="1"/>
    </row>
    <row r="57" spans="1:54" ht="15" customHeight="1" thickTop="1">
      <c r="A57" s="142"/>
      <c r="B57" s="147"/>
      <c r="C57" s="461"/>
      <c r="D57" s="142"/>
      <c r="E57" s="147"/>
      <c r="F57" s="1"/>
      <c r="G57" s="280" t="s">
        <v>693</v>
      </c>
      <c r="H57" s="421">
        <f>IF(H$46&gt;0, H$46*0.7, 0)</f>
        <v>0</v>
      </c>
      <c r="I57" s="421">
        <f t="shared" ref="I57:T57" si="25">IF(I$46&gt;0, I$46*0.7, 0)</f>
        <v>0</v>
      </c>
      <c r="J57" s="421">
        <f t="shared" si="25"/>
        <v>0</v>
      </c>
      <c r="K57" s="421">
        <f t="shared" si="25"/>
        <v>3865.5648342669997</v>
      </c>
      <c r="L57" s="421">
        <f t="shared" si="25"/>
        <v>11149.693736252069</v>
      </c>
      <c r="M57" s="421">
        <f t="shared" si="25"/>
        <v>11728.011699609204</v>
      </c>
      <c r="N57" s="421">
        <f t="shared" si="25"/>
        <v>12123.955964167471</v>
      </c>
      <c r="O57" s="421">
        <f t="shared" si="25"/>
        <v>7798.5555231029857</v>
      </c>
      <c r="P57" s="421">
        <f t="shared" si="25"/>
        <v>24431.372450940005</v>
      </c>
      <c r="Q57" s="421">
        <f t="shared" si="25"/>
        <v>25592.427030518033</v>
      </c>
      <c r="R57" s="421">
        <f t="shared" si="25"/>
        <v>24249.527041934103</v>
      </c>
      <c r="S57" s="421">
        <f t="shared" si="25"/>
        <v>24569.309667095029</v>
      </c>
      <c r="T57" s="421">
        <f t="shared" si="25"/>
        <v>136219.65086343596</v>
      </c>
      <c r="U57" s="268"/>
      <c r="V57" s="421">
        <f t="shared" ref="V57" si="26">IF(V$46&gt;0, V$46*0.7, 0)</f>
        <v>319355.14934443403</v>
      </c>
      <c r="W57" s="268"/>
      <c r="X57" s="421">
        <f t="shared" ref="X57:AB57" si="27">IF(X$46&gt;0, X$46*0.7, 0)</f>
        <v>353225.68855603389</v>
      </c>
      <c r="Y57" s="442"/>
      <c r="Z57" s="421">
        <f t="shared" si="27"/>
        <v>388209.065038634</v>
      </c>
      <c r="AA57" s="442"/>
      <c r="AB57" s="421">
        <f t="shared" si="27"/>
        <v>424340.59833225666</v>
      </c>
      <c r="AC57" s="442"/>
      <c r="AD57" s="1"/>
      <c r="AE57" s="1"/>
      <c r="AF57" s="1"/>
      <c r="AG57" s="1"/>
      <c r="AH57" s="1"/>
      <c r="AI57" s="1"/>
      <c r="AJ57" s="1"/>
      <c r="AK57" s="1"/>
      <c r="AL57" s="1"/>
      <c r="AM57" s="1"/>
      <c r="BB57" s="1"/>
    </row>
    <row r="58" spans="1:54" ht="15" customHeight="1">
      <c r="A58" s="150" t="s">
        <v>520</v>
      </c>
      <c r="B58" s="151">
        <f>IF(B47&gt;B56, B47+B56, 0)</f>
        <v>2479039.5051838625</v>
      </c>
      <c r="C58" s="464"/>
      <c r="D58" s="150" t="s">
        <v>520</v>
      </c>
      <c r="E58" s="151">
        <f>IF(E47&gt;E56, E47+E56, 0)</f>
        <v>2724022.016892951</v>
      </c>
      <c r="F58" s="1"/>
      <c r="G58" s="288" t="s">
        <v>694</v>
      </c>
      <c r="H58" s="443">
        <f>IF(H$46&gt;0, H$46*0.3, 0)</f>
        <v>0</v>
      </c>
      <c r="I58" s="443">
        <f t="shared" ref="I58:T58" si="28">IF(I$46&gt;0, I$46*0.3, 0)</f>
        <v>0</v>
      </c>
      <c r="J58" s="443">
        <f t="shared" si="28"/>
        <v>0</v>
      </c>
      <c r="K58" s="443">
        <f t="shared" si="28"/>
        <v>1656.6706432572857</v>
      </c>
      <c r="L58" s="443">
        <f t="shared" si="28"/>
        <v>4778.4401726794586</v>
      </c>
      <c r="M58" s="443">
        <f t="shared" si="28"/>
        <v>5026.2907284039447</v>
      </c>
      <c r="N58" s="443">
        <f t="shared" si="28"/>
        <v>5195.9811275003449</v>
      </c>
      <c r="O58" s="443">
        <f t="shared" si="28"/>
        <v>3342.2380813298514</v>
      </c>
      <c r="P58" s="443">
        <f t="shared" si="28"/>
        <v>10470.588193260002</v>
      </c>
      <c r="Q58" s="443">
        <f t="shared" si="28"/>
        <v>10968.183013079157</v>
      </c>
      <c r="R58" s="443">
        <f t="shared" si="28"/>
        <v>10392.654446543187</v>
      </c>
      <c r="S58" s="443">
        <f t="shared" si="28"/>
        <v>10529.704143040728</v>
      </c>
      <c r="T58" s="443">
        <f t="shared" si="28"/>
        <v>58379.850370043983</v>
      </c>
      <c r="U58" s="291"/>
      <c r="V58" s="443">
        <f t="shared" ref="V58" si="29">IF(V$46&gt;0, V$46*0.3, 0)</f>
        <v>136866.49257618602</v>
      </c>
      <c r="W58" s="291"/>
      <c r="X58" s="443">
        <f t="shared" ref="X58:AB58" si="30">IF(X$46&gt;0, X$46*0.3, 0)</f>
        <v>151382.43795258595</v>
      </c>
      <c r="Y58" s="444"/>
      <c r="Z58" s="443">
        <f t="shared" si="30"/>
        <v>166375.31358798602</v>
      </c>
      <c r="AA58" s="444"/>
      <c r="AB58" s="443">
        <f t="shared" si="30"/>
        <v>181860.25642811001</v>
      </c>
      <c r="AC58" s="444"/>
      <c r="AD58" s="1"/>
      <c r="AE58" s="1"/>
      <c r="AF58" s="1"/>
      <c r="AG58" s="1"/>
      <c r="AH58" s="1"/>
      <c r="AI58" s="1"/>
      <c r="AJ58" s="1"/>
      <c r="AK58" s="1"/>
      <c r="AL58" s="1"/>
      <c r="AM58" s="1"/>
      <c r="BB58" s="1"/>
    </row>
    <row r="59" spans="1:54" ht="14">
      <c r="A59" s="1"/>
      <c r="B59" s="1"/>
      <c r="C59" s="1"/>
      <c r="D59" s="1"/>
      <c r="E59" s="1"/>
      <c r="F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BB59" s="1"/>
    </row>
    <row r="60" spans="1:54" ht="14">
      <c r="A60" s="112" t="s">
        <v>522</v>
      </c>
      <c r="B60" s="113"/>
      <c r="C60" s="113"/>
      <c r="D60" s="1"/>
      <c r="E60" s="1"/>
      <c r="F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BB60" s="1"/>
    </row>
    <row r="61" spans="1:54" ht="14">
      <c r="A61" s="1" t="s">
        <v>523</v>
      </c>
      <c r="B61" s="1"/>
      <c r="C61" s="1"/>
      <c r="D61" s="1"/>
      <c r="E61" s="1"/>
      <c r="F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BB61" s="1"/>
    </row>
    <row r="62" spans="1:54" ht="14">
      <c r="A62" s="1" t="s">
        <v>524</v>
      </c>
      <c r="B62" s="118">
        <f>IF(ABS(B56)&gt;B45, ABS(B56+B45), 0)</f>
        <v>0</v>
      </c>
      <c r="C62" s="118"/>
      <c r="D62" s="1"/>
      <c r="E62" s="1"/>
      <c r="F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BB62" s="1"/>
    </row>
    <row r="63" spans="1:54" ht="14">
      <c r="A63" s="1" t="s">
        <v>525</v>
      </c>
      <c r="B63" s="115">
        <f>B62*2.5%</f>
        <v>0</v>
      </c>
      <c r="C63" s="115"/>
      <c r="BB63" s="1"/>
    </row>
    <row r="64" spans="1:54" ht="14">
      <c r="A64" s="1" t="s">
        <v>526</v>
      </c>
      <c r="B64" s="115">
        <f>B62*1%</f>
        <v>0</v>
      </c>
      <c r="C64" s="115"/>
      <c r="BB64" s="1"/>
    </row>
    <row r="65" spans="1:54" ht="14">
      <c r="A65" s="1" t="s">
        <v>527</v>
      </c>
      <c r="B65" s="114">
        <v>0.08</v>
      </c>
      <c r="C65" s="114"/>
      <c r="BB65" s="1"/>
    </row>
    <row r="66" spans="1:54" ht="14">
      <c r="A66" s="1" t="s">
        <v>528</v>
      </c>
      <c r="B66" s="35">
        <v>0.06</v>
      </c>
      <c r="C66" s="35"/>
      <c r="BB66" s="1"/>
    </row>
    <row r="67" spans="1:54" ht="14">
      <c r="A67" s="1" t="s">
        <v>608</v>
      </c>
      <c r="B67" s="34">
        <f>B62*B65</f>
        <v>0</v>
      </c>
      <c r="C67" s="34"/>
      <c r="BB67" s="1"/>
    </row>
    <row r="68" spans="1:54" ht="14">
      <c r="A68" s="1" t="s">
        <v>609</v>
      </c>
      <c r="B68" s="34">
        <f>B62*B66</f>
        <v>0</v>
      </c>
      <c r="C68" s="34"/>
      <c r="BB68" s="1"/>
    </row>
    <row r="69" spans="1:54" thickBot="1">
      <c r="A69" s="270"/>
      <c r="B69" s="271"/>
      <c r="C69" s="465"/>
      <c r="BB69" s="1"/>
    </row>
    <row r="70" spans="1:54" thickTop="1">
      <c r="BB70" s="1"/>
    </row>
    <row r="71" spans="1:54" ht="14">
      <c r="BB71" s="1"/>
    </row>
    <row r="72" spans="1:54" ht="14">
      <c r="BB72" s="1"/>
    </row>
    <row r="73" spans="1:54" ht="14">
      <c r="BB73" s="1"/>
    </row>
    <row r="74" spans="1:54" ht="14">
      <c r="BB74" s="1"/>
    </row>
    <row r="75" spans="1:54" ht="14">
      <c r="BB75" s="1"/>
    </row>
    <row r="76" spans="1:54" ht="14">
      <c r="BB76" s="1"/>
    </row>
    <row r="77" spans="1:54" ht="14">
      <c r="BB77" s="1"/>
    </row>
    <row r="78" spans="1:54" ht="14">
      <c r="BB78" s="1"/>
    </row>
    <row r="79" spans="1:54" ht="14">
      <c r="BB79" s="1"/>
    </row>
    <row r="80" spans="1:54" ht="14">
      <c r="BB80" s="1"/>
    </row>
    <row r="81" spans="54:54" ht="14">
      <c r="BB81" s="1"/>
    </row>
    <row r="82" spans="54:54" ht="14">
      <c r="BB82" s="1"/>
    </row>
    <row r="83" spans="54:54" ht="14">
      <c r="BB83" s="1"/>
    </row>
    <row r="84" spans="54:54" ht="14">
      <c r="BB84" s="1"/>
    </row>
    <row r="85" spans="54:54" ht="14">
      <c r="BB85" s="1"/>
    </row>
    <row r="86" spans="54:54" ht="14">
      <c r="BB86" s="1"/>
    </row>
    <row r="87" spans="54:54" ht="14">
      <c r="BB87" s="1"/>
    </row>
    <row r="88" spans="54:54" ht="14">
      <c r="BB88" s="1"/>
    </row>
    <row r="89" spans="54:54" ht="14">
      <c r="BB89" s="1"/>
    </row>
    <row r="90" spans="54:54" ht="14">
      <c r="BB90" s="1"/>
    </row>
    <row r="91" spans="54:54" ht="14">
      <c r="BB91" s="1"/>
    </row>
    <row r="92" spans="54:54" ht="14">
      <c r="BB92" s="1"/>
    </row>
    <row r="93" spans="54:54" ht="14">
      <c r="BB93" s="1"/>
    </row>
    <row r="94" spans="54:54" ht="14">
      <c r="BB94" s="1"/>
    </row>
    <row r="95" spans="54:54" ht="14">
      <c r="BB95" s="1"/>
    </row>
    <row r="96" spans="54:54" ht="14">
      <c r="BB96" s="1"/>
    </row>
    <row r="97" spans="54:54" ht="14">
      <c r="BB97" s="1"/>
    </row>
    <row r="98" spans="54:54" ht="14">
      <c r="BB98" s="1"/>
    </row>
    <row r="99" spans="54:54" ht="14">
      <c r="BB99" s="1"/>
    </row>
    <row r="100" spans="54:54" ht="14">
      <c r="BB100" s="1"/>
    </row>
    <row r="101" spans="54:54" ht="14">
      <c r="BB101" s="1"/>
    </row>
    <row r="102" spans="54:54" ht="14">
      <c r="BB102" s="1"/>
    </row>
    <row r="103" spans="54:54" ht="14">
      <c r="BB103" s="1"/>
    </row>
    <row r="104" spans="54:54" ht="14">
      <c r="BB104" s="1"/>
    </row>
    <row r="105" spans="54:54" ht="14">
      <c r="BB105" s="1"/>
    </row>
    <row r="106" spans="54:54" ht="14">
      <c r="BB106" s="1"/>
    </row>
    <row r="107" spans="54:54" ht="14">
      <c r="BB107" s="1"/>
    </row>
    <row r="108" spans="54:54" ht="14">
      <c r="BB108" s="1"/>
    </row>
    <row r="109" spans="54:54" ht="14">
      <c r="BB109" s="1"/>
    </row>
    <row r="110" spans="54:54" ht="14">
      <c r="BB110" s="1"/>
    </row>
    <row r="111" spans="54:54" ht="14">
      <c r="BB111" s="1"/>
    </row>
    <row r="112" spans="54:54" ht="14">
      <c r="BB112" s="1"/>
    </row>
    <row r="113" spans="54:54" ht="14">
      <c r="BB113" s="1"/>
    </row>
    <row r="114" spans="54:54" ht="14">
      <c r="BB114" s="1"/>
    </row>
    <row r="115" spans="54:54" ht="14">
      <c r="BB115" s="1"/>
    </row>
    <row r="116" spans="54:54" ht="14">
      <c r="BB116" s="1"/>
    </row>
    <row r="117" spans="54:54" ht="14">
      <c r="BB117" s="1"/>
    </row>
    <row r="118" spans="54:54" ht="14">
      <c r="BB118" s="1"/>
    </row>
    <row r="119" spans="54:54" ht="14">
      <c r="BB119" s="1"/>
    </row>
    <row r="120" spans="54:54" ht="14">
      <c r="BB120" s="1"/>
    </row>
    <row r="121" spans="54:54" ht="14">
      <c r="BB121" s="1"/>
    </row>
    <row r="122" spans="54:54" ht="14">
      <c r="BB122" s="1"/>
    </row>
    <row r="123" spans="54:54" ht="14">
      <c r="BB123" s="1"/>
    </row>
    <row r="124" spans="54:54" ht="14">
      <c r="BB124" s="1"/>
    </row>
    <row r="125" spans="54:54" ht="14">
      <c r="BB125" s="1"/>
    </row>
    <row r="126" spans="54:54" ht="14">
      <c r="BB126" s="1"/>
    </row>
    <row r="127" spans="54:54" ht="14">
      <c r="BB127" s="1"/>
    </row>
    <row r="128" spans="54:54" ht="14">
      <c r="BB128" s="1"/>
    </row>
    <row r="129" spans="54:54" ht="14">
      <c r="BB129" s="1"/>
    </row>
    <row r="130" spans="54:54" ht="14">
      <c r="BB130" s="1"/>
    </row>
    <row r="131" spans="54:54" ht="14">
      <c r="BB131" s="1"/>
    </row>
    <row r="132" spans="54:54" ht="14">
      <c r="BB132" s="1"/>
    </row>
    <row r="133" spans="54:54" ht="14">
      <c r="BB133" s="1"/>
    </row>
    <row r="134" spans="54:54" ht="14">
      <c r="BB134" s="1"/>
    </row>
    <row r="135" spans="54:54" ht="14">
      <c r="BB135" s="1"/>
    </row>
    <row r="136" spans="54:54" ht="14">
      <c r="BB136" s="1"/>
    </row>
    <row r="137" spans="54:54" ht="14">
      <c r="BB137" s="1"/>
    </row>
    <row r="138" spans="54:54" ht="14">
      <c r="BB138" s="1"/>
    </row>
    <row r="139" spans="54:54" ht="14">
      <c r="BB139" s="1"/>
    </row>
    <row r="140" spans="54:54" ht="14">
      <c r="BB140" s="1"/>
    </row>
    <row r="141" spans="54:54" ht="14">
      <c r="BB141" s="1"/>
    </row>
    <row r="142" spans="54:54" ht="14">
      <c r="BB142" s="1"/>
    </row>
    <row r="143" spans="54:54" ht="14">
      <c r="BB143" s="1"/>
    </row>
    <row r="144" spans="54:54" ht="14">
      <c r="BB144" s="1"/>
    </row>
    <row r="145" spans="54:54" ht="14">
      <c r="BB145" s="1"/>
    </row>
    <row r="146" spans="54:54" ht="14">
      <c r="BB146" s="1"/>
    </row>
    <row r="147" spans="54:54" ht="14">
      <c r="BB147" s="1"/>
    </row>
    <row r="148" spans="54:54" ht="14">
      <c r="BB148" s="1"/>
    </row>
    <row r="149" spans="54:54" ht="14">
      <c r="BB149" s="1"/>
    </row>
    <row r="150" spans="54:54" ht="14">
      <c r="BB150" s="1"/>
    </row>
    <row r="151" spans="54:54" ht="14">
      <c r="BB151" s="1"/>
    </row>
    <row r="152" spans="54:54" ht="14">
      <c r="BB152" s="1"/>
    </row>
    <row r="153" spans="54:54" ht="14">
      <c r="BB153" s="1"/>
    </row>
    <row r="154" spans="54:54" ht="14">
      <c r="BB154" s="1"/>
    </row>
    <row r="155" spans="54:54" ht="14">
      <c r="BB155" s="1"/>
    </row>
    <row r="156" spans="54:54" ht="14">
      <c r="BB156" s="1"/>
    </row>
    <row r="157" spans="54:54" ht="14">
      <c r="BB157" s="1"/>
    </row>
    <row r="158" spans="54:54" ht="14">
      <c r="BB158" s="1"/>
    </row>
    <row r="159" spans="54:54" ht="14">
      <c r="BB159" s="1"/>
    </row>
    <row r="160" spans="54:54" ht="14">
      <c r="BB160" s="1"/>
    </row>
    <row r="161" spans="54:54" ht="14">
      <c r="BB161" s="1"/>
    </row>
    <row r="162" spans="54:54" ht="14">
      <c r="BB162" s="1"/>
    </row>
    <row r="163" spans="54:54" ht="14">
      <c r="BB163" s="1"/>
    </row>
    <row r="164" spans="54:54" ht="14">
      <c r="BB164" s="1"/>
    </row>
    <row r="165" spans="54:54" ht="14">
      <c r="BB165" s="1"/>
    </row>
    <row r="166" spans="54:54" ht="14">
      <c r="BB166" s="1"/>
    </row>
    <row r="167" spans="54:54" ht="14">
      <c r="BB167" s="1"/>
    </row>
    <row r="168" spans="54:54" ht="14">
      <c r="BB168" s="1"/>
    </row>
    <row r="169" spans="54:54" ht="14">
      <c r="BB169" s="1"/>
    </row>
    <row r="170" spans="54:54" ht="14">
      <c r="BB170" s="1"/>
    </row>
    <row r="171" spans="54:54" ht="14">
      <c r="BB171" s="1"/>
    </row>
    <row r="172" spans="54:54" ht="14">
      <c r="BB172" s="1"/>
    </row>
    <row r="173" spans="54:54" ht="14">
      <c r="BB173" s="1"/>
    </row>
    <row r="174" spans="54:54" ht="14">
      <c r="BB174" s="1"/>
    </row>
    <row r="175" spans="54:54" ht="14">
      <c r="BB175" s="1"/>
    </row>
    <row r="176" spans="54:54" ht="14">
      <c r="BB176" s="1"/>
    </row>
    <row r="177" spans="54:54" ht="14">
      <c r="BB177" s="1"/>
    </row>
    <row r="178" spans="54:54" ht="14">
      <c r="BB178" s="1"/>
    </row>
    <row r="179" spans="54:54" ht="14">
      <c r="BB179" s="1"/>
    </row>
    <row r="180" spans="54:54" ht="14">
      <c r="BB180" s="1"/>
    </row>
    <row r="181" spans="54:54" ht="14">
      <c r="BB181" s="1"/>
    </row>
    <row r="182" spans="54:54" ht="14">
      <c r="BB182" s="1"/>
    </row>
    <row r="183" spans="54:54" ht="14">
      <c r="BB183" s="1"/>
    </row>
    <row r="184" spans="54:54" ht="14">
      <c r="BB184" s="1"/>
    </row>
    <row r="185" spans="54:54" ht="14">
      <c r="BB185" s="1"/>
    </row>
    <row r="186" spans="54:54" ht="14">
      <c r="BB186" s="1"/>
    </row>
    <row r="187" spans="54:54" ht="14">
      <c r="BB187" s="1"/>
    </row>
    <row r="188" spans="54:54" ht="14">
      <c r="BB188" s="1"/>
    </row>
    <row r="189" spans="54:54" ht="14">
      <c r="BB189" s="1"/>
    </row>
    <row r="190" spans="54:54" ht="14">
      <c r="BB190" s="1"/>
    </row>
    <row r="191" spans="54:54" ht="14">
      <c r="BB191" s="1"/>
    </row>
    <row r="192" spans="54:54" ht="14">
      <c r="BB192" s="1"/>
    </row>
    <row r="193" spans="54:54" ht="14">
      <c r="BB193" s="1"/>
    </row>
    <row r="194" spans="54:54" ht="14">
      <c r="BB194" s="1"/>
    </row>
    <row r="195" spans="54:54" ht="14">
      <c r="BB195" s="1"/>
    </row>
    <row r="196" spans="54:54" ht="14">
      <c r="BB196" s="1"/>
    </row>
    <row r="197" spans="54:54" ht="14">
      <c r="BB197" s="1"/>
    </row>
    <row r="198" spans="54:54" ht="14">
      <c r="BB198" s="1"/>
    </row>
    <row r="199" spans="54:54" ht="14">
      <c r="BB199" s="1"/>
    </row>
    <row r="200" spans="54:54" ht="14">
      <c r="BB200" s="1"/>
    </row>
    <row r="201" spans="54:54" ht="14">
      <c r="BB201" s="1"/>
    </row>
    <row r="202" spans="54:54" ht="14">
      <c r="BB202" s="1"/>
    </row>
    <row r="203" spans="54:54" ht="14">
      <c r="BB203" s="1"/>
    </row>
    <row r="204" spans="54:54" ht="14">
      <c r="BB204" s="1"/>
    </row>
    <row r="205" spans="54:54" ht="14">
      <c r="BB205" s="1"/>
    </row>
    <row r="206" spans="54:54" ht="14">
      <c r="BB206" s="1"/>
    </row>
    <row r="207" spans="54:54" ht="14">
      <c r="BB207" s="1"/>
    </row>
    <row r="208" spans="54:54" ht="14">
      <c r="BB208" s="1"/>
    </row>
    <row r="209" spans="54:54" ht="14">
      <c r="BB209" s="1"/>
    </row>
    <row r="210" spans="54:54" ht="14">
      <c r="BB210" s="1"/>
    </row>
    <row r="211" spans="54:54" ht="14">
      <c r="BB211" s="1"/>
    </row>
    <row r="212" spans="54:54" ht="14">
      <c r="BB212" s="1"/>
    </row>
    <row r="213" spans="54:54" ht="14">
      <c r="BB213" s="1"/>
    </row>
    <row r="214" spans="54:54" ht="14">
      <c r="BB214" s="1"/>
    </row>
    <row r="215" spans="54:54" ht="14">
      <c r="BB215" s="1"/>
    </row>
    <row r="216" spans="54:54" ht="14">
      <c r="BB216" s="1"/>
    </row>
    <row r="217" spans="54:54" ht="14">
      <c r="BB217" s="1"/>
    </row>
    <row r="218" spans="54:54" ht="14">
      <c r="BB218" s="1"/>
    </row>
    <row r="219" spans="54:54" ht="14">
      <c r="BB219" s="1"/>
    </row>
    <row r="220" spans="54:54" ht="14">
      <c r="BB220" s="1"/>
    </row>
    <row r="221" spans="54:54" ht="14">
      <c r="BB221" s="1"/>
    </row>
    <row r="222" spans="54:54" ht="14">
      <c r="BB222" s="1"/>
    </row>
    <row r="223" spans="54:54" ht="14">
      <c r="BB223" s="1"/>
    </row>
    <row r="224" spans="54:54" ht="14">
      <c r="BB224" s="1"/>
    </row>
    <row r="225" spans="54:54" ht="14">
      <c r="BB225" s="1"/>
    </row>
    <row r="226" spans="54:54" ht="14">
      <c r="BB226" s="1"/>
    </row>
    <row r="227" spans="54:54" ht="14">
      <c r="BB227" s="1"/>
    </row>
    <row r="228" spans="54:54" ht="14">
      <c r="BB228" s="1"/>
    </row>
    <row r="229" spans="54:54" ht="14">
      <c r="BB229" s="1"/>
    </row>
    <row r="230" spans="54:54" ht="14">
      <c r="BB230" s="1"/>
    </row>
    <row r="231" spans="54:54" ht="14">
      <c r="BB231" s="1"/>
    </row>
    <row r="232" spans="54:54" ht="14">
      <c r="BB232" s="1"/>
    </row>
    <row r="233" spans="54:54" ht="14">
      <c r="BB233" s="1"/>
    </row>
    <row r="234" spans="54:54" ht="14">
      <c r="BB234" s="1"/>
    </row>
    <row r="235" spans="54:54" ht="14">
      <c r="BB235" s="1"/>
    </row>
    <row r="236" spans="54:54" ht="14">
      <c r="BB236" s="1"/>
    </row>
    <row r="237" spans="54:54" ht="14">
      <c r="BB237" s="1"/>
    </row>
    <row r="238" spans="54:54" ht="14">
      <c r="BB238" s="1"/>
    </row>
    <row r="239" spans="54:54" ht="14">
      <c r="BB239" s="1"/>
    </row>
    <row r="240" spans="54:54" ht="14">
      <c r="BB240" s="1"/>
    </row>
    <row r="241" spans="54:54" ht="14">
      <c r="BB241" s="1"/>
    </row>
    <row r="242" spans="54:54" ht="14">
      <c r="BB242" s="1"/>
    </row>
    <row r="243" spans="54:54" ht="14">
      <c r="BB243" s="1"/>
    </row>
    <row r="244" spans="54:54" ht="14">
      <c r="BB244" s="1"/>
    </row>
    <row r="245" spans="54:54" ht="14">
      <c r="BB245" s="1"/>
    </row>
    <row r="246" spans="54:54" ht="14">
      <c r="BB246" s="1"/>
    </row>
    <row r="247" spans="54:54" ht="14">
      <c r="BB247" s="1"/>
    </row>
    <row r="248" spans="54:54" ht="14">
      <c r="BB248" s="1"/>
    </row>
    <row r="249" spans="54:54" ht="14">
      <c r="BB249" s="1"/>
    </row>
    <row r="250" spans="54:54" ht="14">
      <c r="BB250" s="1"/>
    </row>
    <row r="251" spans="54:54" ht="14">
      <c r="BB251" s="1"/>
    </row>
    <row r="252" spans="54:54" ht="14">
      <c r="BB252" s="1"/>
    </row>
    <row r="253" spans="54:54" ht="14">
      <c r="BB253" s="1"/>
    </row>
    <row r="254" spans="54:54" ht="14">
      <c r="BB254" s="1"/>
    </row>
    <row r="255" spans="54:54" ht="14">
      <c r="BB255" s="1"/>
    </row>
    <row r="256" spans="54:54" ht="14">
      <c r="BB256" s="1"/>
    </row>
    <row r="257" spans="54:54" ht="14">
      <c r="BB257" s="1"/>
    </row>
    <row r="258" spans="54:54" ht="14">
      <c r="BB258" s="1"/>
    </row>
    <row r="259" spans="54:54" ht="14">
      <c r="BB259" s="1"/>
    </row>
    <row r="260" spans="54:54" ht="14">
      <c r="BB260" s="1"/>
    </row>
    <row r="261" spans="54:54" ht="14">
      <c r="BB261" s="1"/>
    </row>
    <row r="262" spans="54:54" ht="14">
      <c r="BB262" s="1"/>
    </row>
    <row r="263" spans="54:54" ht="14">
      <c r="BB263" s="1"/>
    </row>
    <row r="264" spans="54:54" ht="14">
      <c r="BB264" s="1"/>
    </row>
    <row r="265" spans="54:54" ht="14">
      <c r="BB265" s="1"/>
    </row>
    <row r="266" spans="54:54" ht="14">
      <c r="BB266" s="1"/>
    </row>
    <row r="267" spans="54:54" ht="14">
      <c r="BB267" s="1"/>
    </row>
    <row r="268" spans="54:54" ht="14">
      <c r="BB268" s="1"/>
    </row>
    <row r="269" spans="54:54" ht="14">
      <c r="BB269" s="1"/>
    </row>
    <row r="270" spans="54:54" ht="14">
      <c r="BB270" s="1"/>
    </row>
    <row r="271" spans="54:54" ht="14">
      <c r="BB271" s="1"/>
    </row>
    <row r="272" spans="54:54" ht="14">
      <c r="BB272" s="1"/>
    </row>
    <row r="273" spans="54:54" ht="14">
      <c r="BB273" s="1"/>
    </row>
    <row r="274" spans="54:54" ht="14">
      <c r="BB274" s="1"/>
    </row>
    <row r="275" spans="54:54" ht="14">
      <c r="BB275" s="1"/>
    </row>
    <row r="276" spans="54:54" ht="14">
      <c r="BB276" s="1"/>
    </row>
    <row r="277" spans="54:54" ht="14">
      <c r="BB277" s="1"/>
    </row>
    <row r="278" spans="54:54" ht="14">
      <c r="BB278" s="1"/>
    </row>
    <row r="279" spans="54:54" ht="14">
      <c r="BB279" s="1"/>
    </row>
    <row r="280" spans="54:54" ht="14">
      <c r="BB280" s="1"/>
    </row>
    <row r="281" spans="54:54" ht="14">
      <c r="BB281" s="1"/>
    </row>
    <row r="282" spans="54:54" ht="14">
      <c r="BB282" s="1"/>
    </row>
    <row r="283" spans="54:54" ht="14">
      <c r="BB283" s="1"/>
    </row>
    <row r="284" spans="54:54" ht="14">
      <c r="BB284" s="1"/>
    </row>
    <row r="285" spans="54:54" ht="14">
      <c r="BB285" s="1"/>
    </row>
    <row r="286" spans="54:54" ht="14">
      <c r="BB286" s="1"/>
    </row>
    <row r="287" spans="54:54" ht="14">
      <c r="BB287" s="1"/>
    </row>
    <row r="288" spans="54:54" ht="14">
      <c r="BB288" s="1"/>
    </row>
    <row r="289" spans="54:54" ht="14">
      <c r="BB289" s="1"/>
    </row>
    <row r="290" spans="54:54" ht="14">
      <c r="BB290" s="1"/>
    </row>
    <row r="291" spans="54:54" ht="14">
      <c r="BB291" s="1"/>
    </row>
    <row r="292" spans="54:54" ht="14">
      <c r="BB292" s="1"/>
    </row>
    <row r="293" spans="54:54" ht="14">
      <c r="BB293" s="1"/>
    </row>
    <row r="294" spans="54:54" ht="14">
      <c r="BB294" s="1"/>
    </row>
    <row r="295" spans="54:54" ht="14">
      <c r="BB295" s="1"/>
    </row>
    <row r="296" spans="54:54" ht="14">
      <c r="BB296" s="1"/>
    </row>
    <row r="297" spans="54:54" ht="14">
      <c r="BB297" s="1"/>
    </row>
    <row r="298" spans="54:54" ht="14">
      <c r="BB298" s="1"/>
    </row>
    <row r="299" spans="54:54" ht="14">
      <c r="BB299" s="1"/>
    </row>
    <row r="300" spans="54:54" ht="14">
      <c r="BB300" s="1"/>
    </row>
    <row r="301" spans="54:54" ht="14">
      <c r="BB301" s="1"/>
    </row>
    <row r="302" spans="54:54" ht="14">
      <c r="BB302" s="1"/>
    </row>
    <row r="303" spans="54:54" ht="14">
      <c r="BB303" s="1"/>
    </row>
    <row r="304" spans="54:54" ht="14">
      <c r="BB304" s="1"/>
    </row>
    <row r="305" spans="54:54" ht="14">
      <c r="BB305" s="1"/>
    </row>
    <row r="306" spans="54:54" ht="14">
      <c r="BB306" s="1"/>
    </row>
    <row r="307" spans="54:54" ht="14">
      <c r="BB307" s="1"/>
    </row>
    <row r="308" spans="54:54" ht="14">
      <c r="BB308" s="1"/>
    </row>
    <row r="309" spans="54:54" ht="14">
      <c r="BB309" s="1"/>
    </row>
    <row r="310" spans="54:54" ht="14">
      <c r="BB310" s="1"/>
    </row>
    <row r="311" spans="54:54" ht="14">
      <c r="BB311" s="1"/>
    </row>
    <row r="312" spans="54:54" ht="14">
      <c r="BB312" s="1"/>
    </row>
    <row r="313" spans="54:54" ht="14">
      <c r="BB313" s="1"/>
    </row>
    <row r="314" spans="54:54" ht="14">
      <c r="BB314" s="1"/>
    </row>
    <row r="315" spans="54:54" ht="14">
      <c r="BB315" s="1"/>
    </row>
    <row r="316" spans="54:54" ht="14">
      <c r="BB316" s="1"/>
    </row>
    <row r="317" spans="54:54" ht="14">
      <c r="BB317" s="1"/>
    </row>
    <row r="318" spans="54:54" ht="14">
      <c r="BB318" s="1"/>
    </row>
    <row r="319" spans="54:54" ht="14">
      <c r="BB319" s="1"/>
    </row>
    <row r="320" spans="54:54" ht="14">
      <c r="BB320" s="1"/>
    </row>
    <row r="321" spans="54:54" ht="14">
      <c r="BB321" s="1"/>
    </row>
    <row r="322" spans="54:54" ht="14">
      <c r="BB322" s="1"/>
    </row>
    <row r="323" spans="54:54" ht="14">
      <c r="BB323" s="1"/>
    </row>
    <row r="324" spans="54:54" ht="14">
      <c r="BB324" s="1"/>
    </row>
    <row r="325" spans="54:54" ht="14">
      <c r="BB325" s="1"/>
    </row>
    <row r="326" spans="54:54" ht="14">
      <c r="BB326" s="1"/>
    </row>
    <row r="327" spans="54:54" ht="14">
      <c r="BB327" s="1"/>
    </row>
    <row r="328" spans="54:54" ht="14">
      <c r="BB328" s="1"/>
    </row>
    <row r="329" spans="54:54" ht="14">
      <c r="BB329" s="1"/>
    </row>
    <row r="330" spans="54:54" ht="14">
      <c r="BB330" s="1"/>
    </row>
    <row r="331" spans="54:54" ht="14">
      <c r="BB331" s="1"/>
    </row>
    <row r="332" spans="54:54" ht="14">
      <c r="BB332" s="1"/>
    </row>
    <row r="333" spans="54:54" ht="14">
      <c r="BB333" s="1"/>
    </row>
    <row r="334" spans="54:54" ht="14">
      <c r="BB334" s="1"/>
    </row>
    <row r="335" spans="54:54" ht="14">
      <c r="BB335" s="1"/>
    </row>
    <row r="336" spans="54:54" ht="14">
      <c r="BB336" s="1"/>
    </row>
    <row r="337" spans="54:54" ht="14">
      <c r="BB337" s="1"/>
    </row>
    <row r="338" spans="54:54" ht="14">
      <c r="BB338" s="1"/>
    </row>
    <row r="339" spans="54:54" ht="14">
      <c r="BB339" s="1"/>
    </row>
    <row r="340" spans="54:54" ht="14">
      <c r="BB340" s="1"/>
    </row>
    <row r="341" spans="54:54" ht="14">
      <c r="BB341" s="1"/>
    </row>
    <row r="342" spans="54:54" ht="14">
      <c r="BB342" s="1"/>
    </row>
    <row r="343" spans="54:54" ht="14">
      <c r="BB343" s="1"/>
    </row>
    <row r="344" spans="54:54" ht="14">
      <c r="BB344" s="1"/>
    </row>
    <row r="345" spans="54:54" ht="14">
      <c r="BB345" s="1"/>
    </row>
    <row r="346" spans="54:54" ht="14">
      <c r="BB346" s="1"/>
    </row>
    <row r="347" spans="54:54" ht="14">
      <c r="BB347" s="1"/>
    </row>
    <row r="348" spans="54:54" ht="14">
      <c r="BB348" s="1"/>
    </row>
    <row r="349" spans="54:54" ht="14">
      <c r="BB349" s="1"/>
    </row>
    <row r="350" spans="54:54" ht="14">
      <c r="BB350" s="1"/>
    </row>
    <row r="351" spans="54:54" ht="14">
      <c r="BB351" s="1"/>
    </row>
    <row r="352" spans="54:54" ht="14">
      <c r="BB352" s="1"/>
    </row>
    <row r="353" spans="54:54" ht="14">
      <c r="BB353" s="1"/>
    </row>
    <row r="354" spans="54:54" ht="14">
      <c r="BB354" s="1"/>
    </row>
    <row r="355" spans="54:54" ht="14">
      <c r="BB355" s="1"/>
    </row>
    <row r="356" spans="54:54" ht="14">
      <c r="BB356" s="1"/>
    </row>
    <row r="357" spans="54:54" ht="14">
      <c r="BB357" s="1"/>
    </row>
    <row r="358" spans="54:54" ht="14">
      <c r="BB358" s="1"/>
    </row>
    <row r="359" spans="54:54" ht="14">
      <c r="BB359" s="1"/>
    </row>
    <row r="360" spans="54:54" ht="14">
      <c r="BB360" s="1"/>
    </row>
    <row r="361" spans="54:54" ht="14">
      <c r="BB361" s="1"/>
    </row>
    <row r="362" spans="54:54" ht="14">
      <c r="BB362" s="1"/>
    </row>
    <row r="363" spans="54:54" ht="14">
      <c r="BB363" s="1"/>
    </row>
    <row r="364" spans="54:54" ht="14">
      <c r="BB364" s="1"/>
    </row>
    <row r="365" spans="54:54" ht="14">
      <c r="BB365" s="1"/>
    </row>
    <row r="366" spans="54:54" ht="14">
      <c r="BB366" s="1"/>
    </row>
    <row r="367" spans="54:54" ht="14">
      <c r="BB367" s="1"/>
    </row>
    <row r="368" spans="54:54" ht="14">
      <c r="BB368" s="1"/>
    </row>
    <row r="369" spans="54:54" ht="14">
      <c r="BB369" s="1"/>
    </row>
    <row r="370" spans="54:54" ht="14">
      <c r="BB370" s="1"/>
    </row>
    <row r="371" spans="54:54" ht="14">
      <c r="BB371" s="1"/>
    </row>
    <row r="372" spans="54:54" ht="14">
      <c r="BB372" s="1"/>
    </row>
    <row r="373" spans="54:54" ht="14">
      <c r="BB373" s="1"/>
    </row>
    <row r="374" spans="54:54" ht="14">
      <c r="BB374" s="1"/>
    </row>
    <row r="375" spans="54:54" ht="14">
      <c r="BB375" s="1"/>
    </row>
    <row r="376" spans="54:54" ht="14">
      <c r="BB376" s="1"/>
    </row>
    <row r="377" spans="54:54" ht="14">
      <c r="BB377" s="1"/>
    </row>
    <row r="378" spans="54:54" ht="14">
      <c r="BB378" s="1"/>
    </row>
    <row r="379" spans="54:54" ht="14">
      <c r="BB379" s="1"/>
    </row>
    <row r="380" spans="54:54" ht="14">
      <c r="BB380" s="1"/>
    </row>
    <row r="381" spans="54:54" ht="14">
      <c r="BB381" s="1"/>
    </row>
    <row r="382" spans="54:54" ht="14">
      <c r="BB382" s="1"/>
    </row>
    <row r="383" spans="54:54" ht="14">
      <c r="BB383" s="1"/>
    </row>
    <row r="384" spans="54:54" ht="14">
      <c r="BB384" s="1"/>
    </row>
    <row r="385" spans="54:54" ht="14">
      <c r="BB385" s="1"/>
    </row>
    <row r="386" spans="54:54" ht="14">
      <c r="BB386" s="1"/>
    </row>
    <row r="387" spans="54:54" ht="14">
      <c r="BB387" s="1"/>
    </row>
    <row r="388" spans="54:54" ht="14">
      <c r="BB388" s="1"/>
    </row>
    <row r="389" spans="54:54" ht="14">
      <c r="BB389" s="1"/>
    </row>
    <row r="390" spans="54:54" ht="14">
      <c r="BB390" s="1"/>
    </row>
    <row r="391" spans="54:54" ht="14">
      <c r="BB391" s="1"/>
    </row>
    <row r="392" spans="54:54" ht="14">
      <c r="BB392" s="1"/>
    </row>
    <row r="393" spans="54:54" ht="14">
      <c r="BB393" s="1"/>
    </row>
    <row r="394" spans="54:54" ht="14">
      <c r="BB394" s="1"/>
    </row>
    <row r="395" spans="54:54" ht="14">
      <c r="BB395" s="1"/>
    </row>
    <row r="396" spans="54:54" ht="14">
      <c r="BB396" s="1"/>
    </row>
    <row r="397" spans="54:54" ht="14">
      <c r="BB397" s="1"/>
    </row>
    <row r="398" spans="54:54" ht="14">
      <c r="BB398" s="1"/>
    </row>
    <row r="399" spans="54:54" ht="14">
      <c r="BB399" s="1"/>
    </row>
    <row r="400" spans="54:54" ht="14">
      <c r="BB400" s="1"/>
    </row>
    <row r="401" spans="54:54" ht="14">
      <c r="BB401" s="1"/>
    </row>
    <row r="402" spans="54:54" ht="14">
      <c r="BB402" s="1"/>
    </row>
    <row r="403" spans="54:54" ht="14">
      <c r="BB403" s="1"/>
    </row>
    <row r="404" spans="54:54" ht="14">
      <c r="BB404" s="1"/>
    </row>
    <row r="405" spans="54:54" ht="14">
      <c r="BB405" s="1"/>
    </row>
    <row r="406" spans="54:54" ht="14">
      <c r="BB406" s="1"/>
    </row>
    <row r="407" spans="54:54" ht="14">
      <c r="BB407" s="1"/>
    </row>
    <row r="408" spans="54:54" ht="14">
      <c r="BB408" s="1"/>
    </row>
    <row r="409" spans="54:54" ht="14">
      <c r="BB409" s="1"/>
    </row>
    <row r="410" spans="54:54" ht="14">
      <c r="BB410" s="1"/>
    </row>
    <row r="411" spans="54:54" ht="14">
      <c r="BB411" s="1"/>
    </row>
    <row r="412" spans="54:54" ht="14">
      <c r="BB412" s="1"/>
    </row>
    <row r="413" spans="54:54" ht="14">
      <c r="BB413" s="1"/>
    </row>
    <row r="414" spans="54:54" ht="14">
      <c r="BB414" s="1"/>
    </row>
    <row r="415" spans="54:54" ht="14">
      <c r="BB415" s="1"/>
    </row>
    <row r="416" spans="54:54" ht="14">
      <c r="BB416" s="1"/>
    </row>
    <row r="417" spans="54:54" ht="14">
      <c r="BB417" s="1"/>
    </row>
    <row r="418" spans="54:54" ht="14">
      <c r="BB418" s="1"/>
    </row>
    <row r="419" spans="54:54" ht="14">
      <c r="BB419" s="1"/>
    </row>
    <row r="420" spans="54:54" ht="14">
      <c r="BB420" s="1"/>
    </row>
    <row r="421" spans="54:54" ht="14">
      <c r="BB421" s="1"/>
    </row>
    <row r="422" spans="54:54" ht="14">
      <c r="BB422" s="1"/>
    </row>
    <row r="423" spans="54:54" ht="14">
      <c r="BB423" s="1"/>
    </row>
    <row r="424" spans="54:54" ht="14">
      <c r="BB424" s="1"/>
    </row>
    <row r="425" spans="54:54" ht="14">
      <c r="BB425" s="1"/>
    </row>
    <row r="426" spans="54:54" ht="14">
      <c r="BB426" s="1"/>
    </row>
    <row r="427" spans="54:54" ht="14">
      <c r="BB427" s="1"/>
    </row>
    <row r="428" spans="54:54" ht="14">
      <c r="BB428" s="1"/>
    </row>
    <row r="429" spans="54:54" ht="14">
      <c r="BB429" s="1"/>
    </row>
    <row r="430" spans="54:54" ht="14">
      <c r="BB430" s="1"/>
    </row>
    <row r="431" spans="54:54" ht="14">
      <c r="BB431" s="1"/>
    </row>
    <row r="432" spans="54:54" ht="14">
      <c r="BB432" s="1"/>
    </row>
    <row r="433" spans="54:54" ht="14">
      <c r="BB433" s="1"/>
    </row>
    <row r="434" spans="54:54" ht="14">
      <c r="BB434" s="1"/>
    </row>
    <row r="435" spans="54:54" ht="14">
      <c r="BB435" s="1"/>
    </row>
    <row r="436" spans="54:54" ht="14">
      <c r="BB436" s="1"/>
    </row>
    <row r="437" spans="54:54" ht="14">
      <c r="BB437" s="1"/>
    </row>
    <row r="438" spans="54:54" ht="14">
      <c r="BB438" s="1"/>
    </row>
    <row r="439" spans="54:54" ht="14">
      <c r="BB439" s="1"/>
    </row>
    <row r="440" spans="54:54" ht="14">
      <c r="BB440" s="1"/>
    </row>
    <row r="441" spans="54:54" ht="14">
      <c r="BB441" s="1"/>
    </row>
    <row r="442" spans="54:54" ht="14">
      <c r="BB442" s="1"/>
    </row>
    <row r="443" spans="54:54" ht="14">
      <c r="BB443" s="1"/>
    </row>
    <row r="444" spans="54:54" ht="14">
      <c r="BB444" s="1"/>
    </row>
    <row r="445" spans="54:54" ht="14">
      <c r="BB445" s="1"/>
    </row>
    <row r="446" spans="54:54" ht="14">
      <c r="BB446" s="1"/>
    </row>
    <row r="447" spans="54:54" ht="14">
      <c r="BB447" s="1"/>
    </row>
    <row r="448" spans="54:54" ht="14">
      <c r="BB448" s="1"/>
    </row>
    <row r="449" spans="54:54" ht="14">
      <c r="BB449" s="1"/>
    </row>
    <row r="450" spans="54:54" ht="14">
      <c r="BB450" s="1"/>
    </row>
    <row r="451" spans="54:54" ht="14">
      <c r="BB451" s="1"/>
    </row>
    <row r="452" spans="54:54" ht="14">
      <c r="BB452" s="1"/>
    </row>
    <row r="453" spans="54:54" ht="14">
      <c r="BB453" s="1"/>
    </row>
    <row r="454" spans="54:54" ht="14">
      <c r="BB454" s="1"/>
    </row>
    <row r="455" spans="54:54" ht="14">
      <c r="BB455" s="1"/>
    </row>
    <row r="456" spans="54:54" ht="14">
      <c r="BB456" s="1"/>
    </row>
    <row r="457" spans="54:54" ht="14">
      <c r="BB457" s="1"/>
    </row>
    <row r="458" spans="54:54" ht="14">
      <c r="BB458" s="1"/>
    </row>
    <row r="459" spans="54:54" ht="14">
      <c r="BB459" s="1"/>
    </row>
    <row r="460" spans="54:54" ht="14">
      <c r="BB460" s="1"/>
    </row>
    <row r="461" spans="54:54" ht="14">
      <c r="BB461" s="1"/>
    </row>
    <row r="462" spans="54:54" ht="14">
      <c r="BB462" s="1"/>
    </row>
    <row r="463" spans="54:54" ht="14">
      <c r="BB463" s="1"/>
    </row>
    <row r="464" spans="54:54" ht="14">
      <c r="BB464" s="1"/>
    </row>
    <row r="465" spans="54:54" ht="14">
      <c r="BB465" s="1"/>
    </row>
    <row r="466" spans="54:54" ht="14">
      <c r="BB466" s="1"/>
    </row>
    <row r="467" spans="54:54" ht="14">
      <c r="BB467" s="1"/>
    </row>
    <row r="468" spans="54:54" ht="14">
      <c r="BB468" s="1"/>
    </row>
    <row r="469" spans="54:54" ht="14">
      <c r="BB469" s="1"/>
    </row>
    <row r="470" spans="54:54" ht="14">
      <c r="BB470" s="1"/>
    </row>
    <row r="471" spans="54:54" ht="14">
      <c r="BB471" s="1"/>
    </row>
    <row r="472" spans="54:54" ht="14">
      <c r="BB472" s="1"/>
    </row>
    <row r="473" spans="54:54" ht="14">
      <c r="BB473" s="1"/>
    </row>
    <row r="474" spans="54:54" ht="14">
      <c r="BB474" s="1"/>
    </row>
    <row r="475" spans="54:54" ht="14">
      <c r="BB475" s="1"/>
    </row>
    <row r="476" spans="54:54" ht="14">
      <c r="BB476" s="1"/>
    </row>
    <row r="477" spans="54:54" ht="14">
      <c r="BB477" s="1"/>
    </row>
    <row r="478" spans="54:54" ht="14">
      <c r="BB478" s="1"/>
    </row>
    <row r="479" spans="54:54" ht="14">
      <c r="BB479" s="1"/>
    </row>
    <row r="480" spans="54:54" ht="14">
      <c r="BB480" s="1"/>
    </row>
    <row r="481" spans="54:54" ht="14">
      <c r="BB481" s="1"/>
    </row>
    <row r="482" spans="54:54" ht="14">
      <c r="BB482" s="1"/>
    </row>
    <row r="483" spans="54:54" ht="14">
      <c r="BB483" s="1"/>
    </row>
    <row r="484" spans="54:54" ht="14">
      <c r="BB484" s="1"/>
    </row>
    <row r="485" spans="54:54" ht="14">
      <c r="BB485" s="1"/>
    </row>
    <row r="486" spans="54:54" ht="14">
      <c r="BB486" s="1"/>
    </row>
    <row r="487" spans="54:54" ht="14">
      <c r="BB487" s="1"/>
    </row>
    <row r="488" spans="54:54" ht="14">
      <c r="BB488" s="1"/>
    </row>
    <row r="489" spans="54:54" ht="14">
      <c r="BB489" s="1"/>
    </row>
    <row r="490" spans="54:54" ht="14">
      <c r="BB490" s="1"/>
    </row>
    <row r="491" spans="54:54" ht="14">
      <c r="BB491" s="1"/>
    </row>
    <row r="492" spans="54:54" ht="14">
      <c r="BB492" s="1"/>
    </row>
    <row r="493" spans="54:54" ht="14">
      <c r="BB493" s="1"/>
    </row>
    <row r="494" spans="54:54" ht="14">
      <c r="BB494" s="1"/>
    </row>
    <row r="495" spans="54:54" ht="14">
      <c r="BB495" s="1"/>
    </row>
    <row r="496" spans="54:54" ht="14">
      <c r="BB496" s="1"/>
    </row>
    <row r="497" spans="54:54" ht="14">
      <c r="BB497" s="1"/>
    </row>
    <row r="498" spans="54:54" ht="14">
      <c r="BB498" s="1"/>
    </row>
    <row r="499" spans="54:54" ht="14">
      <c r="BB499" s="1"/>
    </row>
    <row r="500" spans="54:54" ht="14">
      <c r="BB500" s="1"/>
    </row>
    <row r="501" spans="54:54" ht="14">
      <c r="BB501" s="1"/>
    </row>
    <row r="502" spans="54:54" ht="14">
      <c r="BB502" s="1"/>
    </row>
    <row r="503" spans="54:54" ht="14">
      <c r="BB503" s="1"/>
    </row>
    <row r="504" spans="54:54" ht="14">
      <c r="BB504" s="1"/>
    </row>
    <row r="505" spans="54:54" ht="14">
      <c r="BB505" s="1"/>
    </row>
    <row r="506" spans="54:54" ht="14">
      <c r="BB506" s="1"/>
    </row>
    <row r="507" spans="54:54" ht="14">
      <c r="BB507" s="1"/>
    </row>
    <row r="508" spans="54:54" ht="14">
      <c r="BB508" s="1"/>
    </row>
    <row r="509" spans="54:54" ht="14">
      <c r="BB509" s="1"/>
    </row>
    <row r="510" spans="54:54" ht="14">
      <c r="BB510" s="1"/>
    </row>
    <row r="511" spans="54:54" ht="14">
      <c r="BB511" s="1"/>
    </row>
    <row r="512" spans="54:54" ht="14">
      <c r="BB512" s="1"/>
    </row>
    <row r="513" spans="54:54" ht="14">
      <c r="BB513" s="1"/>
    </row>
    <row r="514" spans="54:54" ht="14">
      <c r="BB514" s="1"/>
    </row>
    <row r="515" spans="54:54" ht="14">
      <c r="BB515" s="1"/>
    </row>
    <row r="516" spans="54:54" ht="14">
      <c r="BB516" s="1"/>
    </row>
    <row r="517" spans="54:54" ht="14">
      <c r="BB517" s="1"/>
    </row>
    <row r="518" spans="54:54" ht="14">
      <c r="BB518" s="1"/>
    </row>
    <row r="519" spans="54:54" ht="14">
      <c r="BB519" s="1"/>
    </row>
    <row r="520" spans="54:54" ht="14">
      <c r="BB520" s="1"/>
    </row>
    <row r="521" spans="54:54" ht="14">
      <c r="BB521" s="1"/>
    </row>
    <row r="522" spans="54:54" ht="14">
      <c r="BB522" s="1"/>
    </row>
    <row r="523" spans="54:54" ht="14">
      <c r="BB523" s="1"/>
    </row>
    <row r="524" spans="54:54" ht="14">
      <c r="BB524" s="1"/>
    </row>
    <row r="525" spans="54:54" ht="14">
      <c r="BB525" s="1"/>
    </row>
    <row r="526" spans="54:54" ht="14">
      <c r="BB526" s="1"/>
    </row>
    <row r="527" spans="54:54" ht="14">
      <c r="BB527" s="1"/>
    </row>
    <row r="528" spans="54:54" ht="14">
      <c r="BB528" s="1"/>
    </row>
    <row r="529" spans="54:54" ht="14">
      <c r="BB529" s="1"/>
    </row>
    <row r="530" spans="54:54" ht="14">
      <c r="BB530" s="1"/>
    </row>
    <row r="531" spans="54:54" ht="14">
      <c r="BB531" s="1"/>
    </row>
    <row r="532" spans="54:54" ht="14">
      <c r="BB532" s="1"/>
    </row>
    <row r="533" spans="54:54" ht="14">
      <c r="BB533" s="1"/>
    </row>
    <row r="534" spans="54:54" ht="14">
      <c r="BB534" s="1"/>
    </row>
    <row r="535" spans="54:54" ht="14">
      <c r="BB535" s="1"/>
    </row>
    <row r="536" spans="54:54" ht="14">
      <c r="BB536" s="1"/>
    </row>
    <row r="537" spans="54:54" ht="14">
      <c r="BB537" s="1"/>
    </row>
    <row r="538" spans="54:54" ht="14">
      <c r="BB538" s="1"/>
    </row>
    <row r="539" spans="54:54" ht="14">
      <c r="BB539" s="1"/>
    </row>
    <row r="540" spans="54:54" ht="14">
      <c r="BB540" s="1"/>
    </row>
    <row r="541" spans="54:54" ht="14">
      <c r="BB541" s="1"/>
    </row>
    <row r="542" spans="54:54" ht="14">
      <c r="BB542" s="1"/>
    </row>
    <row r="543" spans="54:54" ht="14">
      <c r="BB543" s="1"/>
    </row>
    <row r="544" spans="54:54" ht="14">
      <c r="BB544" s="1"/>
    </row>
    <row r="545" spans="54:54" ht="14">
      <c r="BB545" s="1"/>
    </row>
    <row r="546" spans="54:54" ht="14">
      <c r="BB546" s="1"/>
    </row>
    <row r="547" spans="54:54" ht="14">
      <c r="BB547" s="1"/>
    </row>
    <row r="548" spans="54:54" ht="14">
      <c r="BB548" s="1"/>
    </row>
    <row r="549" spans="54:54" ht="14">
      <c r="BB549" s="1"/>
    </row>
    <row r="550" spans="54:54" ht="14">
      <c r="BB550" s="1"/>
    </row>
    <row r="551" spans="54:54" ht="14">
      <c r="BB551" s="1"/>
    </row>
    <row r="552" spans="54:54" ht="14">
      <c r="BB552" s="1"/>
    </row>
    <row r="553" spans="54:54" ht="14">
      <c r="BB553" s="1"/>
    </row>
    <row r="554" spans="54:54" ht="14">
      <c r="BB554" s="1"/>
    </row>
    <row r="555" spans="54:54" ht="14">
      <c r="BB555" s="1"/>
    </row>
    <row r="556" spans="54:54" ht="14">
      <c r="BB556" s="1"/>
    </row>
    <row r="557" spans="54:54" ht="14">
      <c r="BB557" s="1"/>
    </row>
    <row r="558" spans="54:54" ht="14">
      <c r="BB558" s="1"/>
    </row>
    <row r="559" spans="54:54" ht="14">
      <c r="BB559" s="1"/>
    </row>
    <row r="560" spans="54:54" ht="14">
      <c r="BB560" s="1"/>
    </row>
    <row r="561" spans="54:54" ht="14">
      <c r="BB561" s="1"/>
    </row>
    <row r="562" spans="54:54" ht="14">
      <c r="BB562" s="1"/>
    </row>
    <row r="563" spans="54:54" ht="14">
      <c r="BB563" s="1"/>
    </row>
    <row r="564" spans="54:54" ht="14">
      <c r="BB564" s="1"/>
    </row>
    <row r="565" spans="54:54" ht="14">
      <c r="BB565" s="1"/>
    </row>
    <row r="566" spans="54:54" ht="14">
      <c r="BB566" s="1"/>
    </row>
    <row r="567" spans="54:54" ht="14">
      <c r="BB567" s="1"/>
    </row>
    <row r="568" spans="54:54" ht="14">
      <c r="BB568" s="1"/>
    </row>
    <row r="569" spans="54:54" ht="14">
      <c r="BB569" s="1"/>
    </row>
    <row r="570" spans="54:54" ht="14">
      <c r="BB570" s="1"/>
    </row>
    <row r="571" spans="54:54" ht="14">
      <c r="BB571" s="1"/>
    </row>
    <row r="572" spans="54:54" ht="14">
      <c r="BB572" s="1"/>
    </row>
    <row r="573" spans="54:54" ht="14">
      <c r="BB573" s="1"/>
    </row>
    <row r="574" spans="54:54" ht="14">
      <c r="BB574" s="1"/>
    </row>
    <row r="575" spans="54:54" ht="14">
      <c r="BB575" s="1"/>
    </row>
    <row r="576" spans="54:54" ht="14">
      <c r="BB576" s="1"/>
    </row>
    <row r="577" spans="54:54" ht="14">
      <c r="BB577" s="1"/>
    </row>
    <row r="578" spans="54:54" ht="14">
      <c r="BB578" s="1"/>
    </row>
    <row r="579" spans="54:54" ht="14">
      <c r="BB579" s="1"/>
    </row>
    <row r="580" spans="54:54" ht="14">
      <c r="BB580" s="1"/>
    </row>
    <row r="581" spans="54:54" ht="14">
      <c r="BB581" s="1"/>
    </row>
    <row r="582" spans="54:54" ht="14">
      <c r="BB582" s="1"/>
    </row>
    <row r="583" spans="54:54" ht="14">
      <c r="BB583" s="1"/>
    </row>
    <row r="584" spans="54:54" ht="14">
      <c r="BB584" s="1"/>
    </row>
    <row r="585" spans="54:54" ht="14">
      <c r="BB585" s="1"/>
    </row>
    <row r="586" spans="54:54" ht="14">
      <c r="BB586" s="1"/>
    </row>
    <row r="587" spans="54:54" ht="14">
      <c r="BB587" s="1"/>
    </row>
    <row r="588" spans="54:54" ht="14">
      <c r="BB588" s="1"/>
    </row>
    <row r="589" spans="54:54" ht="14">
      <c r="BB589" s="1"/>
    </row>
    <row r="590" spans="54:54" ht="14">
      <c r="BB590" s="1"/>
    </row>
    <row r="591" spans="54:54" ht="14">
      <c r="BB591" s="1"/>
    </row>
    <row r="592" spans="54:54" ht="14">
      <c r="BB592" s="1"/>
    </row>
    <row r="593" spans="54:54" ht="14">
      <c r="BB593" s="1"/>
    </row>
    <row r="594" spans="54:54" ht="14">
      <c r="BB594" s="1"/>
    </row>
    <row r="595" spans="54:54" ht="14">
      <c r="BB595" s="1"/>
    </row>
    <row r="596" spans="54:54" ht="14">
      <c r="BB596" s="1"/>
    </row>
    <row r="597" spans="54:54" ht="14">
      <c r="BB597" s="1"/>
    </row>
    <row r="598" spans="54:54" ht="14">
      <c r="BB598" s="1"/>
    </row>
    <row r="599" spans="54:54" ht="14">
      <c r="BB599" s="1"/>
    </row>
    <row r="600" spans="54:54" ht="14">
      <c r="BB600" s="1"/>
    </row>
    <row r="601" spans="54:54" ht="14">
      <c r="BB601" s="1"/>
    </row>
    <row r="602" spans="54:54" ht="14">
      <c r="BB602" s="1"/>
    </row>
    <row r="603" spans="54:54" ht="14">
      <c r="BB603" s="1"/>
    </row>
    <row r="604" spans="54:54" ht="14">
      <c r="BB604" s="1"/>
    </row>
    <row r="605" spans="54:54" ht="14">
      <c r="BB605" s="1"/>
    </row>
    <row r="606" spans="54:54" ht="14">
      <c r="BB606" s="1"/>
    </row>
    <row r="607" spans="54:54" ht="14">
      <c r="BB607" s="1"/>
    </row>
    <row r="608" spans="54:54" ht="14">
      <c r="BB608" s="1"/>
    </row>
    <row r="609" spans="54:54" ht="14">
      <c r="BB609" s="1"/>
    </row>
    <row r="610" spans="54:54" ht="14">
      <c r="BB610" s="1"/>
    </row>
    <row r="611" spans="54:54" ht="14">
      <c r="BB611" s="1"/>
    </row>
    <row r="612" spans="54:54" ht="14">
      <c r="BB612" s="1"/>
    </row>
    <row r="613" spans="54:54" ht="14">
      <c r="BB613" s="1"/>
    </row>
    <row r="614" spans="54:54" ht="14">
      <c r="BB614" s="1"/>
    </row>
    <row r="615" spans="54:54" ht="14">
      <c r="BB615" s="1"/>
    </row>
    <row r="616" spans="54:54" ht="14">
      <c r="BB616" s="1"/>
    </row>
    <row r="617" spans="54:54" ht="14">
      <c r="BB617" s="1"/>
    </row>
    <row r="618" spans="54:54" ht="14">
      <c r="BB618" s="1"/>
    </row>
    <row r="619" spans="54:54" ht="14">
      <c r="BB619" s="1"/>
    </row>
    <row r="620" spans="54:54" ht="14">
      <c r="BB620" s="1"/>
    </row>
    <row r="621" spans="54:54" ht="14">
      <c r="BB621" s="1"/>
    </row>
    <row r="622" spans="54:54" ht="14">
      <c r="BB622" s="1"/>
    </row>
    <row r="623" spans="54:54" ht="14">
      <c r="BB623" s="1"/>
    </row>
    <row r="624" spans="54:54" ht="14">
      <c r="BB624" s="1"/>
    </row>
    <row r="625" spans="54:54" ht="14">
      <c r="BB625" s="1"/>
    </row>
    <row r="626" spans="54:54" ht="14">
      <c r="BB626" s="1"/>
    </row>
    <row r="627" spans="54:54" ht="14">
      <c r="BB627" s="1"/>
    </row>
    <row r="628" spans="54:54" ht="14">
      <c r="BB628" s="1"/>
    </row>
    <row r="629" spans="54:54" ht="14">
      <c r="BB629" s="1"/>
    </row>
    <row r="630" spans="54:54" ht="14">
      <c r="BB630" s="1"/>
    </row>
    <row r="631" spans="54:54" ht="14">
      <c r="BB631" s="1"/>
    </row>
    <row r="632" spans="54:54" ht="14">
      <c r="BB632" s="1"/>
    </row>
    <row r="633" spans="54:54" ht="14">
      <c r="BB633" s="1"/>
    </row>
    <row r="634" spans="54:54" ht="14">
      <c r="BB634" s="1"/>
    </row>
    <row r="635" spans="54:54" ht="14">
      <c r="BB635" s="1"/>
    </row>
    <row r="636" spans="54:54" ht="14">
      <c r="BB636" s="1"/>
    </row>
    <row r="637" spans="54:54" ht="14">
      <c r="BB637" s="1"/>
    </row>
    <row r="638" spans="54:54" ht="14">
      <c r="BB638" s="1"/>
    </row>
    <row r="639" spans="54:54" ht="14">
      <c r="BB639" s="1"/>
    </row>
    <row r="640" spans="54:54" ht="14">
      <c r="BB640" s="1"/>
    </row>
    <row r="641" spans="54:54" ht="14">
      <c r="BB641" s="1"/>
    </row>
    <row r="642" spans="54:54" ht="14">
      <c r="BB642" s="1"/>
    </row>
    <row r="643" spans="54:54" ht="14">
      <c r="BB643" s="1"/>
    </row>
    <row r="644" spans="54:54" ht="14">
      <c r="BB644" s="1"/>
    </row>
    <row r="645" spans="54:54" ht="14">
      <c r="BB645" s="1"/>
    </row>
    <row r="646" spans="54:54" ht="14">
      <c r="BB646" s="1"/>
    </row>
    <row r="647" spans="54:54" ht="14">
      <c r="BB647" s="1"/>
    </row>
    <row r="648" spans="54:54" ht="14">
      <c r="BB648" s="1"/>
    </row>
    <row r="649" spans="54:54" ht="14">
      <c r="BB649" s="1"/>
    </row>
    <row r="650" spans="54:54" ht="14">
      <c r="BB650" s="1"/>
    </row>
    <row r="651" spans="54:54" ht="14">
      <c r="BB651" s="1"/>
    </row>
    <row r="652" spans="54:54" ht="14">
      <c r="BB652" s="1"/>
    </row>
    <row r="653" spans="54:54" ht="14">
      <c r="BB653" s="1"/>
    </row>
    <row r="654" spans="54:54" ht="14">
      <c r="BB654" s="1"/>
    </row>
    <row r="655" spans="54:54" ht="14">
      <c r="BB655" s="1"/>
    </row>
    <row r="656" spans="54:54" ht="14">
      <c r="BB656" s="1"/>
    </row>
    <row r="657" spans="54:54" ht="14">
      <c r="BB657" s="1"/>
    </row>
    <row r="658" spans="54:54" ht="14">
      <c r="BB658" s="1"/>
    </row>
    <row r="659" spans="54:54" ht="14">
      <c r="BB659" s="1"/>
    </row>
    <row r="660" spans="54:54" ht="14">
      <c r="BB660" s="1"/>
    </row>
    <row r="661" spans="54:54" ht="14">
      <c r="BB661" s="1"/>
    </row>
    <row r="662" spans="54:54" ht="14">
      <c r="BB662" s="1"/>
    </row>
    <row r="663" spans="54:54" ht="14">
      <c r="BB663" s="1"/>
    </row>
    <row r="664" spans="54:54" ht="14">
      <c r="BB664" s="1"/>
    </row>
    <row r="665" spans="54:54" ht="14">
      <c r="BB665" s="1"/>
    </row>
    <row r="666" spans="54:54" ht="14">
      <c r="BB666" s="1"/>
    </row>
    <row r="667" spans="54:54" ht="14">
      <c r="BB667" s="1"/>
    </row>
    <row r="668" spans="54:54" ht="14">
      <c r="BB668" s="1"/>
    </row>
    <row r="669" spans="54:54" ht="14">
      <c r="BB669" s="1"/>
    </row>
    <row r="670" spans="54:54" ht="14">
      <c r="BB670" s="1"/>
    </row>
    <row r="671" spans="54:54" ht="14">
      <c r="BB671" s="1"/>
    </row>
    <row r="672" spans="54:54" ht="14">
      <c r="BB672" s="1"/>
    </row>
    <row r="673" spans="54:54" ht="14">
      <c r="BB673" s="1"/>
    </row>
    <row r="674" spans="54:54" ht="14">
      <c r="BB674" s="1"/>
    </row>
    <row r="675" spans="54:54" ht="14">
      <c r="BB675" s="1"/>
    </row>
    <row r="676" spans="54:54" ht="14">
      <c r="BB676" s="1"/>
    </row>
    <row r="677" spans="54:54" ht="14">
      <c r="BB677" s="1"/>
    </row>
    <row r="678" spans="54:54" ht="14">
      <c r="BB678" s="1"/>
    </row>
    <row r="679" spans="54:54" ht="14">
      <c r="BB679" s="1"/>
    </row>
    <row r="680" spans="54:54" ht="14">
      <c r="BB680" s="1"/>
    </row>
    <row r="681" spans="54:54" ht="14">
      <c r="BB681" s="1"/>
    </row>
    <row r="682" spans="54:54" ht="14">
      <c r="BB682" s="1"/>
    </row>
    <row r="683" spans="54:54" ht="14">
      <c r="BB683" s="1"/>
    </row>
    <row r="684" spans="54:54" ht="14">
      <c r="BB684" s="1"/>
    </row>
    <row r="685" spans="54:54" ht="14">
      <c r="BB685" s="1"/>
    </row>
    <row r="686" spans="54:54" ht="14">
      <c r="BB686" s="1"/>
    </row>
    <row r="687" spans="54:54" ht="14">
      <c r="BB687" s="1"/>
    </row>
    <row r="688" spans="54:54" ht="14">
      <c r="BB688" s="1"/>
    </row>
    <row r="689" spans="54:54" ht="14">
      <c r="BB689" s="1"/>
    </row>
    <row r="690" spans="54:54" ht="14">
      <c r="BB690" s="1"/>
    </row>
    <row r="691" spans="54:54" ht="14">
      <c r="BB691" s="1"/>
    </row>
    <row r="692" spans="54:54" ht="14">
      <c r="BB692" s="1"/>
    </row>
    <row r="693" spans="54:54" ht="14">
      <c r="BB693" s="1"/>
    </row>
    <row r="694" spans="54:54" ht="14">
      <c r="BB694" s="1"/>
    </row>
    <row r="695" spans="54:54" ht="14">
      <c r="BB695" s="1"/>
    </row>
    <row r="696" spans="54:54" ht="14">
      <c r="BB696" s="1"/>
    </row>
    <row r="697" spans="54:54" ht="14">
      <c r="BB697" s="1"/>
    </row>
    <row r="698" spans="54:54" ht="14">
      <c r="BB698" s="1"/>
    </row>
    <row r="699" spans="54:54" ht="14">
      <c r="BB699" s="1"/>
    </row>
    <row r="700" spans="54:54" ht="14">
      <c r="BB700" s="1"/>
    </row>
    <row r="701" spans="54:54" ht="14">
      <c r="BB701" s="1"/>
    </row>
    <row r="702" spans="54:54" ht="14">
      <c r="BB702" s="1"/>
    </row>
    <row r="703" spans="54:54" ht="14">
      <c r="BB703" s="1"/>
    </row>
    <row r="704" spans="54:54" ht="14">
      <c r="BB704" s="1"/>
    </row>
    <row r="705" spans="54:54" ht="14">
      <c r="BB705" s="1"/>
    </row>
    <row r="706" spans="54:54" ht="14">
      <c r="BB706" s="1"/>
    </row>
    <row r="707" spans="54:54" ht="14">
      <c r="BB707" s="1"/>
    </row>
    <row r="708" spans="54:54" ht="14">
      <c r="BB708" s="1"/>
    </row>
    <row r="709" spans="54:54" ht="14">
      <c r="BB709" s="1"/>
    </row>
    <row r="710" spans="54:54" ht="14">
      <c r="BB710" s="1"/>
    </row>
    <row r="711" spans="54:54" ht="14">
      <c r="BB711" s="1"/>
    </row>
    <row r="712" spans="54:54" ht="14">
      <c r="BB712" s="1"/>
    </row>
    <row r="713" spans="54:54" ht="14">
      <c r="BB713" s="1"/>
    </row>
    <row r="714" spans="54:54" ht="14">
      <c r="BB714" s="1"/>
    </row>
    <row r="715" spans="54:54" ht="14">
      <c r="BB715" s="1"/>
    </row>
    <row r="716" spans="54:54" ht="14">
      <c r="BB716" s="1"/>
    </row>
    <row r="717" spans="54:54" ht="14">
      <c r="BB717" s="1"/>
    </row>
    <row r="718" spans="54:54" ht="14">
      <c r="BB718" s="1"/>
    </row>
    <row r="719" spans="54:54" ht="14">
      <c r="BB719" s="1"/>
    </row>
    <row r="720" spans="54:54" ht="14">
      <c r="BB720" s="1"/>
    </row>
    <row r="721" spans="54:54" ht="14">
      <c r="BB721" s="1"/>
    </row>
    <row r="722" spans="54:54" ht="14">
      <c r="BB722" s="1"/>
    </row>
    <row r="723" spans="54:54" ht="14">
      <c r="BB723" s="1"/>
    </row>
    <row r="724" spans="54:54" ht="14">
      <c r="BB724" s="1"/>
    </row>
    <row r="725" spans="54:54" ht="14">
      <c r="BB725" s="1"/>
    </row>
    <row r="726" spans="54:54" ht="14">
      <c r="BB726" s="1"/>
    </row>
    <row r="727" spans="54:54" ht="14">
      <c r="BB727" s="1"/>
    </row>
    <row r="728" spans="54:54" ht="14">
      <c r="BB728" s="1"/>
    </row>
    <row r="729" spans="54:54" ht="14">
      <c r="BB729" s="1"/>
    </row>
    <row r="730" spans="54:54" ht="14">
      <c r="BB730" s="1"/>
    </row>
    <row r="731" spans="54:54" ht="14">
      <c r="BB731" s="1"/>
    </row>
    <row r="732" spans="54:54" ht="14">
      <c r="BB732" s="1"/>
    </row>
    <row r="733" spans="54:54" ht="14">
      <c r="BB733" s="1"/>
    </row>
    <row r="734" spans="54:54" ht="14">
      <c r="BB734" s="1"/>
    </row>
    <row r="735" spans="54:54" ht="14">
      <c r="BB735" s="1"/>
    </row>
    <row r="736" spans="54:54" ht="14">
      <c r="BB736" s="1"/>
    </row>
    <row r="737" spans="54:54" ht="14">
      <c r="BB737" s="1"/>
    </row>
    <row r="738" spans="54:54" ht="14">
      <c r="BB738" s="1"/>
    </row>
    <row r="739" spans="54:54" ht="14">
      <c r="BB739" s="1"/>
    </row>
    <row r="740" spans="54:54" ht="14">
      <c r="BB740" s="1"/>
    </row>
    <row r="741" spans="54:54" ht="14">
      <c r="BB741" s="1"/>
    </row>
    <row r="742" spans="54:54" ht="14">
      <c r="BB742" s="1"/>
    </row>
    <row r="743" spans="54:54" ht="14">
      <c r="BB743" s="1"/>
    </row>
    <row r="744" spans="54:54" ht="14">
      <c r="BB744" s="1"/>
    </row>
    <row r="745" spans="54:54" ht="14">
      <c r="BB745" s="1"/>
    </row>
    <row r="746" spans="54:54" ht="14">
      <c r="BB746" s="1"/>
    </row>
    <row r="747" spans="54:54" ht="14">
      <c r="BB747" s="1"/>
    </row>
    <row r="748" spans="54:54" ht="14">
      <c r="BB748" s="1"/>
    </row>
    <row r="749" spans="54:54" ht="14">
      <c r="BB749" s="1"/>
    </row>
    <row r="750" spans="54:54" ht="14">
      <c r="BB750" s="1"/>
    </row>
    <row r="751" spans="54:54" ht="14">
      <c r="BB751" s="1"/>
    </row>
    <row r="752" spans="54:54" ht="14">
      <c r="BB752" s="1"/>
    </row>
    <row r="753" spans="54:54" ht="14">
      <c r="BB753" s="1"/>
    </row>
    <row r="754" spans="54:54" ht="14">
      <c r="BB754" s="1"/>
    </row>
    <row r="755" spans="54:54" ht="14">
      <c r="BB755" s="1"/>
    </row>
    <row r="756" spans="54:54" ht="14">
      <c r="BB756" s="1"/>
    </row>
    <row r="757" spans="54:54" ht="14">
      <c r="BB757" s="1"/>
    </row>
    <row r="758" spans="54:54" ht="14">
      <c r="BB758" s="1"/>
    </row>
    <row r="759" spans="54:54" ht="14">
      <c r="BB759" s="1"/>
    </row>
    <row r="760" spans="54:54" ht="14">
      <c r="BB760" s="1"/>
    </row>
    <row r="761" spans="54:54" ht="14">
      <c r="BB761" s="1"/>
    </row>
    <row r="762" spans="54:54" ht="14">
      <c r="BB762" s="1"/>
    </row>
    <row r="763" spans="54:54" ht="14">
      <c r="BB763" s="1"/>
    </row>
    <row r="764" spans="54:54" ht="14">
      <c r="BB764" s="1"/>
    </row>
    <row r="765" spans="54:54" ht="14">
      <c r="BB765" s="1"/>
    </row>
    <row r="766" spans="54:54" ht="14">
      <c r="BB766" s="1"/>
    </row>
    <row r="767" spans="54:54" ht="14">
      <c r="BB767" s="1"/>
    </row>
    <row r="768" spans="54:54" ht="14">
      <c r="BB768" s="1"/>
    </row>
    <row r="769" spans="54:54" ht="14">
      <c r="BB769" s="1"/>
    </row>
    <row r="770" spans="54:54" ht="14">
      <c r="BB770" s="1"/>
    </row>
    <row r="771" spans="54:54" ht="14">
      <c r="BB771" s="1"/>
    </row>
    <row r="772" spans="54:54" ht="14">
      <c r="BB772" s="1"/>
    </row>
    <row r="773" spans="54:54" ht="14">
      <c r="BB773" s="1"/>
    </row>
    <row r="774" spans="54:54" ht="14">
      <c r="BB774" s="1"/>
    </row>
    <row r="775" spans="54:54" ht="14">
      <c r="BB775" s="1"/>
    </row>
    <row r="776" spans="54:54" ht="14">
      <c r="BB776" s="1"/>
    </row>
    <row r="777" spans="54:54" ht="14">
      <c r="BB777" s="1"/>
    </row>
    <row r="778" spans="54:54" ht="14">
      <c r="BB778" s="1"/>
    </row>
    <row r="779" spans="54:54" ht="14">
      <c r="BB779" s="1"/>
    </row>
    <row r="780" spans="54:54" ht="14">
      <c r="BB780" s="1"/>
    </row>
    <row r="781" spans="54:54" ht="14">
      <c r="BB781" s="1"/>
    </row>
    <row r="782" spans="54:54" ht="14">
      <c r="BB782" s="1"/>
    </row>
    <row r="783" spans="54:54" ht="14">
      <c r="BB783" s="1"/>
    </row>
    <row r="784" spans="54:54" ht="14">
      <c r="BB784" s="1"/>
    </row>
    <row r="785" spans="54:54" ht="14">
      <c r="BB785" s="1"/>
    </row>
    <row r="786" spans="54:54" ht="14">
      <c r="BB786" s="1"/>
    </row>
    <row r="787" spans="54:54" ht="14">
      <c r="BB787" s="1"/>
    </row>
    <row r="788" spans="54:54" ht="14">
      <c r="BB788" s="1"/>
    </row>
    <row r="789" spans="54:54" ht="14">
      <c r="BB789" s="1"/>
    </row>
    <row r="790" spans="54:54" ht="14">
      <c r="BB790" s="1"/>
    </row>
    <row r="791" spans="54:54" ht="14">
      <c r="BB791" s="1"/>
    </row>
    <row r="792" spans="54:54" ht="14">
      <c r="BB792" s="1"/>
    </row>
    <row r="793" spans="54:54" ht="14">
      <c r="BB793" s="1"/>
    </row>
    <row r="794" spans="54:54" ht="14">
      <c r="BB794" s="1"/>
    </row>
    <row r="795" spans="54:54" ht="14">
      <c r="BB795" s="1"/>
    </row>
    <row r="796" spans="54:54" ht="14">
      <c r="BB796" s="1"/>
    </row>
    <row r="797" spans="54:54" ht="14">
      <c r="BB797" s="1"/>
    </row>
    <row r="798" spans="54:54" ht="14">
      <c r="BB798" s="1"/>
    </row>
    <row r="799" spans="54:54" ht="14">
      <c r="BB799" s="1"/>
    </row>
    <row r="800" spans="54:54" ht="14">
      <c r="BB800" s="1"/>
    </row>
    <row r="801" spans="54:54" ht="14">
      <c r="BB801" s="1"/>
    </row>
    <row r="802" spans="54:54" ht="14">
      <c r="BB802" s="1"/>
    </row>
    <row r="803" spans="54:54" ht="14">
      <c r="BB803" s="1"/>
    </row>
    <row r="804" spans="54:54" ht="14">
      <c r="BB804" s="1"/>
    </row>
    <row r="805" spans="54:54" ht="14">
      <c r="BB805" s="1"/>
    </row>
    <row r="806" spans="54:54" ht="14">
      <c r="BB806" s="1"/>
    </row>
    <row r="807" spans="54:54" ht="14">
      <c r="BB807" s="1"/>
    </row>
    <row r="808" spans="54:54" ht="14">
      <c r="BB808" s="1"/>
    </row>
    <row r="809" spans="54:54" ht="14">
      <c r="BB809" s="1"/>
    </row>
    <row r="810" spans="54:54" ht="14">
      <c r="BB810" s="1"/>
    </row>
    <row r="811" spans="54:54" ht="14">
      <c r="BB811" s="1"/>
    </row>
    <row r="812" spans="54:54" ht="14">
      <c r="BB812" s="1"/>
    </row>
    <row r="813" spans="54:54" ht="14">
      <c r="BB813" s="1"/>
    </row>
    <row r="814" spans="54:54" ht="14">
      <c r="BB814" s="1"/>
    </row>
    <row r="815" spans="54:54" ht="14">
      <c r="BB815" s="1"/>
    </row>
    <row r="816" spans="54:54" ht="14">
      <c r="BB816" s="1"/>
    </row>
    <row r="817" spans="54:54" ht="14">
      <c r="BB817" s="1"/>
    </row>
    <row r="818" spans="54:54" ht="14">
      <c r="BB818" s="1"/>
    </row>
    <row r="819" spans="54:54" ht="14">
      <c r="BB819" s="1"/>
    </row>
    <row r="820" spans="54:54" ht="14">
      <c r="BB820" s="1"/>
    </row>
    <row r="821" spans="54:54" ht="14">
      <c r="BB821" s="1"/>
    </row>
    <row r="822" spans="54:54" ht="14">
      <c r="BB822" s="1"/>
    </row>
    <row r="823" spans="54:54" ht="14">
      <c r="BB823" s="1"/>
    </row>
    <row r="824" spans="54:54" ht="14">
      <c r="BB824" s="1"/>
    </row>
    <row r="825" spans="54:54" ht="14">
      <c r="BB825" s="1"/>
    </row>
    <row r="826" spans="54:54" ht="14">
      <c r="BB826" s="1"/>
    </row>
    <row r="827" spans="54:54" ht="14">
      <c r="BB827" s="1"/>
    </row>
    <row r="828" spans="54:54" ht="14">
      <c r="BB828" s="1"/>
    </row>
    <row r="829" spans="54:54" ht="14">
      <c r="BB829" s="1"/>
    </row>
    <row r="830" spans="54:54" ht="14">
      <c r="BB830" s="1"/>
    </row>
    <row r="831" spans="54:54" ht="14">
      <c r="BB831" s="1"/>
    </row>
    <row r="832" spans="54:54" ht="14">
      <c r="BB832" s="1"/>
    </row>
    <row r="833" spans="54:54" ht="14">
      <c r="BB833" s="1"/>
    </row>
    <row r="834" spans="54:54" ht="14">
      <c r="BB834" s="1"/>
    </row>
    <row r="835" spans="54:54" ht="14">
      <c r="BB835" s="1"/>
    </row>
    <row r="836" spans="54:54" ht="14">
      <c r="BB836" s="1"/>
    </row>
    <row r="837" spans="54:54" ht="14">
      <c r="BB837" s="1"/>
    </row>
    <row r="838" spans="54:54" ht="14">
      <c r="BB838" s="1"/>
    </row>
    <row r="839" spans="54:54" ht="14">
      <c r="BB839" s="1"/>
    </row>
    <row r="840" spans="54:54" ht="14">
      <c r="BB840" s="1"/>
    </row>
    <row r="841" spans="54:54" ht="14">
      <c r="BB841" s="1"/>
    </row>
    <row r="842" spans="54:54" ht="14">
      <c r="BB842" s="1"/>
    </row>
    <row r="843" spans="54:54" ht="14">
      <c r="BB843" s="1"/>
    </row>
    <row r="844" spans="54:54" ht="14">
      <c r="BB844" s="1"/>
    </row>
    <row r="845" spans="54:54" ht="14">
      <c r="BB845" s="1"/>
    </row>
    <row r="846" spans="54:54" ht="14">
      <c r="BB846" s="1"/>
    </row>
    <row r="847" spans="54:54" ht="14">
      <c r="BB847" s="1"/>
    </row>
    <row r="848" spans="54:54" ht="14">
      <c r="BB848" s="1"/>
    </row>
    <row r="849" spans="54:54" ht="14">
      <c r="BB849" s="1"/>
    </row>
    <row r="850" spans="54:54" ht="14">
      <c r="BB850" s="1"/>
    </row>
    <row r="851" spans="54:54" ht="14">
      <c r="BB851" s="1"/>
    </row>
    <row r="852" spans="54:54" ht="14">
      <c r="BB852" s="1"/>
    </row>
    <row r="853" spans="54:54" ht="14">
      <c r="BB853" s="1"/>
    </row>
    <row r="854" spans="54:54" ht="14">
      <c r="BB854" s="1"/>
    </row>
    <row r="855" spans="54:54" ht="14">
      <c r="BB855" s="1"/>
    </row>
    <row r="856" spans="54:54" ht="14">
      <c r="BB856" s="1"/>
    </row>
    <row r="857" spans="54:54" ht="14">
      <c r="BB857" s="1"/>
    </row>
    <row r="858" spans="54:54" ht="14">
      <c r="BB858" s="1"/>
    </row>
    <row r="859" spans="54:54" ht="14">
      <c r="BB859" s="1"/>
    </row>
    <row r="860" spans="54:54" ht="14">
      <c r="BB860" s="1"/>
    </row>
    <row r="861" spans="54:54" ht="14">
      <c r="BB861" s="1"/>
    </row>
    <row r="862" spans="54:54" ht="14">
      <c r="BB862" s="1"/>
    </row>
    <row r="863" spans="54:54" ht="14">
      <c r="BB863" s="1"/>
    </row>
    <row r="864" spans="54:54" ht="14">
      <c r="BB864" s="1"/>
    </row>
    <row r="865" spans="54:54" ht="14">
      <c r="BB865" s="1"/>
    </row>
    <row r="866" spans="54:54" ht="14">
      <c r="BB866" s="1"/>
    </row>
    <row r="867" spans="54:54" ht="14">
      <c r="BB867" s="1"/>
    </row>
    <row r="868" spans="54:54" ht="14">
      <c r="BB868" s="1"/>
    </row>
    <row r="869" spans="54:54" ht="14">
      <c r="BB869" s="1"/>
    </row>
    <row r="870" spans="54:54" ht="14">
      <c r="BB870" s="1"/>
    </row>
    <row r="871" spans="54:54" ht="14">
      <c r="BB871" s="1"/>
    </row>
    <row r="872" spans="54:54" ht="14">
      <c r="BB872" s="1"/>
    </row>
    <row r="873" spans="54:54" ht="14">
      <c r="BB873" s="1"/>
    </row>
    <row r="874" spans="54:54" ht="14">
      <c r="BB874" s="1"/>
    </row>
    <row r="875" spans="54:54" ht="14">
      <c r="BB875" s="1"/>
    </row>
    <row r="876" spans="54:54" ht="14">
      <c r="BB876" s="1"/>
    </row>
    <row r="877" spans="54:54" ht="14">
      <c r="BB877" s="1"/>
    </row>
    <row r="878" spans="54:54" ht="14">
      <c r="BB878" s="1"/>
    </row>
    <row r="879" spans="54:54" ht="14">
      <c r="BB879" s="1"/>
    </row>
    <row r="880" spans="54:54" ht="14">
      <c r="BB880" s="1"/>
    </row>
    <row r="881" spans="54:54" ht="14">
      <c r="BB881" s="1"/>
    </row>
    <row r="882" spans="54:54" ht="14">
      <c r="BB882" s="1"/>
    </row>
    <row r="883" spans="54:54" ht="14">
      <c r="BB883" s="1"/>
    </row>
    <row r="884" spans="54:54" ht="14">
      <c r="BB884" s="1"/>
    </row>
    <row r="885" spans="54:54" ht="14">
      <c r="BB885" s="1"/>
    </row>
    <row r="886" spans="54:54" ht="14">
      <c r="BB886" s="1"/>
    </row>
    <row r="887" spans="54:54" ht="14">
      <c r="BB887" s="1"/>
    </row>
    <row r="888" spans="54:54" ht="14">
      <c r="BB888" s="1"/>
    </row>
    <row r="889" spans="54:54" ht="14">
      <c r="BB889" s="1"/>
    </row>
    <row r="890" spans="54:54" ht="14">
      <c r="BB890" s="1"/>
    </row>
    <row r="891" spans="54:54" ht="14">
      <c r="BB891" s="1"/>
    </row>
    <row r="892" spans="54:54" ht="14">
      <c r="BB892" s="1"/>
    </row>
    <row r="893" spans="54:54" ht="14">
      <c r="BB893" s="1"/>
    </row>
    <row r="894" spans="54:54" ht="14">
      <c r="BB894" s="1"/>
    </row>
    <row r="895" spans="54:54" ht="14">
      <c r="BB895" s="1"/>
    </row>
    <row r="896" spans="54:54" ht="14">
      <c r="BB896" s="1"/>
    </row>
    <row r="897" spans="54:54" ht="14">
      <c r="BB897" s="1"/>
    </row>
    <row r="898" spans="54:54" ht="14">
      <c r="BB898" s="1"/>
    </row>
    <row r="899" spans="54:54" ht="14">
      <c r="BB899" s="1"/>
    </row>
    <row r="900" spans="54:54" ht="14">
      <c r="BB900" s="1"/>
    </row>
    <row r="901" spans="54:54" ht="14">
      <c r="BB901" s="1"/>
    </row>
    <row r="902" spans="54:54" ht="14">
      <c r="BB902" s="1"/>
    </row>
    <row r="903" spans="54:54" ht="14">
      <c r="BB903" s="1"/>
    </row>
    <row r="904" spans="54:54" ht="14">
      <c r="BB904" s="1"/>
    </row>
    <row r="905" spans="54:54" ht="14">
      <c r="BB905" s="1"/>
    </row>
    <row r="906" spans="54:54" ht="14">
      <c r="BB906" s="1"/>
    </row>
    <row r="907" spans="54:54" ht="14">
      <c r="BB907" s="1"/>
    </row>
    <row r="908" spans="54:54" ht="14">
      <c r="BB908" s="1"/>
    </row>
    <row r="909" spans="54:54" ht="14">
      <c r="BB909" s="1"/>
    </row>
    <row r="910" spans="54:54" ht="14">
      <c r="BB910" s="1"/>
    </row>
    <row r="911" spans="54:54" ht="14">
      <c r="BB911" s="1"/>
    </row>
    <row r="912" spans="54:54" ht="14">
      <c r="BB912" s="1"/>
    </row>
    <row r="913" spans="54:54" ht="14">
      <c r="BB913" s="1"/>
    </row>
    <row r="914" spans="54:54" ht="14">
      <c r="BB914" s="1"/>
    </row>
    <row r="915" spans="54:54" ht="14">
      <c r="BB915" s="1"/>
    </row>
    <row r="916" spans="54:54" ht="14">
      <c r="BB916" s="1"/>
    </row>
    <row r="917" spans="54:54" ht="14">
      <c r="BB917" s="1"/>
    </row>
    <row r="918" spans="54:54" ht="14">
      <c r="BB918" s="1"/>
    </row>
    <row r="919" spans="54:54" ht="14">
      <c r="BB919" s="1"/>
    </row>
    <row r="920" spans="54:54" ht="14">
      <c r="BB920" s="1"/>
    </row>
    <row r="921" spans="54:54" ht="14">
      <c r="BB921" s="1"/>
    </row>
    <row r="922" spans="54:54" ht="14">
      <c r="BB922" s="1"/>
    </row>
    <row r="923" spans="54:54" ht="14">
      <c r="BB923" s="1"/>
    </row>
    <row r="924" spans="54:54" ht="14">
      <c r="BB924" s="1"/>
    </row>
    <row r="925" spans="54:54" ht="14">
      <c r="BB925" s="1"/>
    </row>
    <row r="926" spans="54:54" ht="14">
      <c r="BB926" s="1"/>
    </row>
    <row r="927" spans="54:54" ht="14">
      <c r="BB927" s="1"/>
    </row>
    <row r="928" spans="54:54" ht="14">
      <c r="BB928" s="1"/>
    </row>
    <row r="929" spans="54:54" ht="14">
      <c r="BB929" s="1"/>
    </row>
    <row r="930" spans="54:54" ht="14">
      <c r="BB930" s="1"/>
    </row>
    <row r="931" spans="54:54" ht="14">
      <c r="BB931" s="1"/>
    </row>
    <row r="932" spans="54:54" ht="14">
      <c r="BB932" s="1"/>
    </row>
    <row r="933" spans="54:54" ht="14">
      <c r="BB933" s="1"/>
    </row>
    <row r="934" spans="54:54" ht="14">
      <c r="BB934" s="1"/>
    </row>
    <row r="935" spans="54:54" ht="14">
      <c r="BB935" s="1"/>
    </row>
    <row r="936" spans="54:54" ht="14">
      <c r="BB936" s="1"/>
    </row>
    <row r="937" spans="54:54" ht="14">
      <c r="BB937" s="1"/>
    </row>
    <row r="938" spans="54:54" ht="14">
      <c r="BB938" s="1"/>
    </row>
    <row r="939" spans="54:54" ht="14">
      <c r="BB939" s="1"/>
    </row>
    <row r="940" spans="54:54" ht="14">
      <c r="BB940" s="1"/>
    </row>
    <row r="941" spans="54:54" ht="14">
      <c r="BB941" s="1"/>
    </row>
    <row r="942" spans="54:54" ht="14">
      <c r="BB942" s="1"/>
    </row>
    <row r="943" spans="54:54" ht="14">
      <c r="BB943" s="1"/>
    </row>
    <row r="944" spans="54:54" ht="14">
      <c r="BB944" s="1"/>
    </row>
    <row r="945" spans="54:54" ht="14">
      <c r="BB945" s="1"/>
    </row>
    <row r="946" spans="54:54" ht="14">
      <c r="BB946" s="1"/>
    </row>
    <row r="947" spans="54:54" ht="14">
      <c r="BB947" s="1"/>
    </row>
    <row r="948" spans="54:54" ht="14">
      <c r="BB948" s="1"/>
    </row>
    <row r="949" spans="54:54" ht="14">
      <c r="BB949" s="1"/>
    </row>
    <row r="950" spans="54:54" ht="14">
      <c r="BB950" s="1"/>
    </row>
    <row r="951" spans="54:54" ht="14">
      <c r="BB951" s="1"/>
    </row>
    <row r="952" spans="54:54" ht="14">
      <c r="BB952" s="1"/>
    </row>
    <row r="953" spans="54:54" ht="14">
      <c r="BB953" s="1"/>
    </row>
    <row r="954" spans="54:54" ht="14">
      <c r="BB954" s="1"/>
    </row>
    <row r="955" spans="54:54" ht="14">
      <c r="BB955" s="1"/>
    </row>
    <row r="956" spans="54:54" ht="14">
      <c r="BB956" s="1"/>
    </row>
    <row r="957" spans="54:54" ht="14">
      <c r="BB957" s="1"/>
    </row>
    <row r="958" spans="54:54" ht="14">
      <c r="BB958" s="1"/>
    </row>
    <row r="959" spans="54:54" ht="14">
      <c r="BB959" s="1"/>
    </row>
    <row r="960" spans="54:54" ht="14">
      <c r="BB960" s="1"/>
    </row>
    <row r="961" spans="54:54" ht="14">
      <c r="BB961" s="1"/>
    </row>
    <row r="962" spans="54:54" ht="14">
      <c r="BB962" s="1"/>
    </row>
    <row r="963" spans="54:54" ht="14">
      <c r="BB963" s="1"/>
    </row>
    <row r="964" spans="54:54" ht="14">
      <c r="BB964" s="1"/>
    </row>
    <row r="965" spans="54:54" ht="14">
      <c r="BB965" s="1"/>
    </row>
    <row r="966" spans="54:54" ht="14">
      <c r="BB966" s="1"/>
    </row>
    <row r="967" spans="54:54" ht="14">
      <c r="BB967" s="1"/>
    </row>
    <row r="968" spans="54:54" ht="14">
      <c r="BB968" s="1"/>
    </row>
    <row r="969" spans="54:54" ht="14">
      <c r="BB969" s="1"/>
    </row>
    <row r="970" spans="54:54" ht="14">
      <c r="BB970" s="1"/>
    </row>
    <row r="971" spans="54:54" ht="14">
      <c r="BB971" s="1"/>
    </row>
    <row r="972" spans="54:54" ht="14">
      <c r="BB972" s="1"/>
    </row>
    <row r="973" spans="54:54" ht="14">
      <c r="BB973" s="1"/>
    </row>
    <row r="974" spans="54:54" ht="14">
      <c r="BB974" s="1"/>
    </row>
    <row r="975" spans="54:54" ht="14">
      <c r="BB975" s="1"/>
    </row>
    <row r="976" spans="54:54" ht="14">
      <c r="BB976" s="1"/>
    </row>
    <row r="977" spans="54:54" ht="14">
      <c r="BB977" s="1"/>
    </row>
    <row r="978" spans="54:54" ht="14">
      <c r="BB978" s="1"/>
    </row>
    <row r="979" spans="54:54" ht="14">
      <c r="BB979" s="1"/>
    </row>
    <row r="980" spans="54:54" ht="14">
      <c r="BB980" s="1"/>
    </row>
    <row r="981" spans="54:54" ht="14">
      <c r="BB981" s="1"/>
    </row>
    <row r="982" spans="54:54" ht="14">
      <c r="BB982" s="1"/>
    </row>
    <row r="983" spans="54:54" ht="14">
      <c r="BB983" s="1"/>
    </row>
    <row r="984" spans="54:54" ht="14">
      <c r="BB984" s="1"/>
    </row>
    <row r="985" spans="54:54" ht="14">
      <c r="BB985" s="1"/>
    </row>
    <row r="986" spans="54:54" ht="14">
      <c r="BB986" s="1"/>
    </row>
    <row r="987" spans="54:54" ht="14">
      <c r="BB987" s="1"/>
    </row>
    <row r="988" spans="54:54" ht="14">
      <c r="BB988" s="1"/>
    </row>
    <row r="989" spans="54:54" ht="14">
      <c r="BB989" s="1"/>
    </row>
    <row r="990" spans="54:54" ht="14">
      <c r="BB990" s="1"/>
    </row>
    <row r="991" spans="54:54" ht="14">
      <c r="BB991" s="1"/>
    </row>
    <row r="992" spans="54:54" ht="14">
      <c r="BB992" s="1"/>
    </row>
    <row r="993" spans="54:54" ht="14">
      <c r="BB993" s="1"/>
    </row>
    <row r="994" spans="54:54" ht="14">
      <c r="BB994" s="1"/>
    </row>
    <row r="995" spans="54:54" ht="14">
      <c r="BB995" s="1"/>
    </row>
    <row r="996" spans="54:54" ht="14">
      <c r="BB996" s="1"/>
    </row>
    <row r="997" spans="54:54" ht="14"/>
    <row r="998" spans="54:54" ht="14"/>
    <row r="999" spans="54:54" ht="14"/>
    <row r="1000" spans="54:54" ht="14"/>
    <row r="1001" spans="54:54" ht="14"/>
    <row r="1002" spans="54:54" ht="14"/>
    <row r="1003" spans="54:54" ht="14"/>
  </sheetData>
  <mergeCells count="11">
    <mergeCell ref="AB2:AC2"/>
    <mergeCell ref="H3:U3"/>
    <mergeCell ref="V3:W3"/>
    <mergeCell ref="X3:Y3"/>
    <mergeCell ref="Z3:AA3"/>
    <mergeCell ref="AB3:AC3"/>
    <mergeCell ref="V4:W4"/>
    <mergeCell ref="X4:Y4"/>
    <mergeCell ref="Z4:AA4"/>
    <mergeCell ref="AB4:AC4"/>
    <mergeCell ref="AE4:AL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AW1003"/>
  <sheetViews>
    <sheetView topLeftCell="E10" zoomScale="106" workbookViewId="0">
      <selection activeCell="P19" sqref="P19"/>
    </sheetView>
  </sheetViews>
  <sheetFormatPr baseColWidth="10" defaultColWidth="12.6640625" defaultRowHeight="15" customHeight="1" outlineLevelRow="1" outlineLevelCol="4"/>
  <cols>
    <col min="1" max="1" width="42.33203125" customWidth="1"/>
    <col min="2" max="2" width="18.6640625" customWidth="1"/>
    <col min="4" max="4" width="42.1640625" customWidth="1"/>
    <col min="5" max="11" width="10.5" customWidth="1" outlineLevel="1"/>
    <col min="12" max="12" width="14.6640625" customWidth="1" outlineLevel="1"/>
    <col min="13" max="16" width="10.5" customWidth="1" outlineLevel="1"/>
    <col min="17" max="17" width="15.83203125" customWidth="1"/>
    <col min="18" max="18" width="7.6640625" bestFit="1" customWidth="1"/>
    <col min="19" max="19" width="13" customWidth="1" outlineLevel="4"/>
    <col min="20" max="20" width="7.6640625" bestFit="1" customWidth="1" outlineLevel="4"/>
    <col min="21" max="21" width="12.6640625" bestFit="1" customWidth="1" outlineLevel="4"/>
    <col min="22" max="22" width="7.6640625" bestFit="1" customWidth="1" outlineLevel="4"/>
    <col min="23" max="23" width="12.6640625" bestFit="1" customWidth="1" outlineLevel="4"/>
    <col min="24" max="24" width="7.6640625" bestFit="1" customWidth="1" outlineLevel="4"/>
    <col min="25" max="25" width="12.1640625" bestFit="1" customWidth="1" outlineLevel="4"/>
    <col min="26" max="26" width="7.6640625" bestFit="1" customWidth="1" outlineLevel="4"/>
    <col min="27" max="27" width="7.6640625" customWidth="1" outlineLevel="1"/>
    <col min="28" max="28" width="37" customWidth="1" outlineLevel="2"/>
    <col min="29" max="29" width="13.83203125" customWidth="1" outlineLevel="2"/>
    <col min="30" max="30" width="16.33203125" customWidth="1" outlineLevel="2"/>
    <col min="31" max="31" width="21.5" customWidth="1" outlineLevel="2"/>
    <col min="32" max="32" width="12.1640625" customWidth="1" outlineLevel="2"/>
    <col min="33" max="33" width="14" customWidth="1" outlineLevel="2"/>
    <col min="34" max="34" width="14.1640625" customWidth="1" outlineLevel="2"/>
    <col min="35" max="35" width="12.1640625" customWidth="1" outlineLevel="2"/>
    <col min="36" max="39" width="12.6640625" customWidth="1" outlineLevel="1"/>
    <col min="40" max="40" width="34.6640625" customWidth="1" outlineLevel="1"/>
    <col min="41" max="41" width="13.6640625" customWidth="1"/>
    <col min="44" max="44" width="13.6640625" customWidth="1"/>
  </cols>
  <sheetData>
    <row r="2" spans="1:49" ht="25">
      <c r="A2" s="372" t="s">
        <v>650</v>
      </c>
      <c r="B2" s="372"/>
      <c r="Y2" s="492" t="s">
        <v>700</v>
      </c>
      <c r="Z2" s="492"/>
    </row>
    <row r="3" spans="1:49" ht="14">
      <c r="A3" s="1"/>
      <c r="B3" s="1"/>
      <c r="C3" s="1"/>
      <c r="D3" s="1"/>
      <c r="E3" s="493" t="s">
        <v>472</v>
      </c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89">
        <v>2027</v>
      </c>
      <c r="T3" s="489"/>
      <c r="U3" s="490">
        <v>2028</v>
      </c>
      <c r="V3" s="490"/>
      <c r="W3" s="490">
        <v>2029</v>
      </c>
      <c r="X3" s="490"/>
      <c r="Y3" s="490">
        <v>2030</v>
      </c>
      <c r="Z3" s="490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49" ht="25">
      <c r="A4" s="1"/>
      <c r="B4" s="1"/>
      <c r="C4" s="1"/>
      <c r="D4" s="1"/>
      <c r="E4" s="446">
        <f>'Budget 2026'!B1</f>
        <v>46023</v>
      </c>
      <c r="F4" s="446">
        <f>'Budget 2026'!C1</f>
        <v>46054</v>
      </c>
      <c r="G4" s="446">
        <f>'Budget 2026'!D1</f>
        <v>46082</v>
      </c>
      <c r="H4" s="446">
        <f>'Budget 2026'!E1</f>
        <v>46113</v>
      </c>
      <c r="I4" s="446">
        <f>'Budget 2026'!F1</f>
        <v>46143</v>
      </c>
      <c r="J4" s="446">
        <f>'Budget 2026'!G1</f>
        <v>46174</v>
      </c>
      <c r="K4" s="446">
        <f>'Budget 2026'!H1</f>
        <v>46204</v>
      </c>
      <c r="L4" s="446">
        <f>'Budget 2026'!I1</f>
        <v>46235</v>
      </c>
      <c r="M4" s="446">
        <f>'Budget 2026'!J1</f>
        <v>46266</v>
      </c>
      <c r="N4" s="447">
        <f>'Budget 2026'!K1</f>
        <v>46296</v>
      </c>
      <c r="O4" s="447">
        <f>'Budget 2026'!L1</f>
        <v>46327</v>
      </c>
      <c r="P4" s="447">
        <f>'Budget 2026'!M1</f>
        <v>46357</v>
      </c>
      <c r="Q4" s="448" t="s">
        <v>5</v>
      </c>
      <c r="R4" s="448"/>
      <c r="S4" s="489" t="s">
        <v>473</v>
      </c>
      <c r="T4" s="489"/>
      <c r="U4" s="490" t="s">
        <v>474</v>
      </c>
      <c r="V4" s="490"/>
      <c r="W4" s="490" t="s">
        <v>695</v>
      </c>
      <c r="X4" s="490"/>
      <c r="Y4" s="490" t="s">
        <v>696</v>
      </c>
      <c r="Z4" s="490"/>
      <c r="AA4" s="1"/>
      <c r="AB4" s="491" t="s">
        <v>711</v>
      </c>
      <c r="AC4" s="491"/>
      <c r="AD4" s="491"/>
      <c r="AE4" s="491"/>
      <c r="AF4" s="491"/>
      <c r="AG4" s="491"/>
      <c r="AH4" s="491"/>
      <c r="AI4" s="491"/>
    </row>
    <row r="5" spans="1:49" ht="14">
      <c r="A5" s="233" t="s">
        <v>710</v>
      </c>
      <c r="B5" s="239">
        <v>3.7199999999999997E-2</v>
      </c>
      <c r="C5" s="1"/>
      <c r="D5" s="4" t="s">
        <v>475</v>
      </c>
      <c r="E5" s="4"/>
      <c r="F5" s="4"/>
      <c r="G5" s="4"/>
      <c r="H5" s="4"/>
      <c r="I5" s="4"/>
      <c r="J5" s="4"/>
      <c r="K5" s="4"/>
      <c r="L5" s="453" t="s">
        <v>704</v>
      </c>
      <c r="M5" s="4"/>
      <c r="N5" s="268"/>
      <c r="O5" s="268"/>
      <c r="P5" s="268"/>
      <c r="Q5" s="268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265"/>
      <c r="AO5" s="22" t="s">
        <v>463</v>
      </c>
      <c r="AP5" s="22" t="s">
        <v>463</v>
      </c>
      <c r="AQ5" s="22" t="s">
        <v>463</v>
      </c>
      <c r="AR5" s="21" t="s">
        <v>463</v>
      </c>
      <c r="AS5" s="21" t="s">
        <v>463</v>
      </c>
      <c r="AT5" s="21" t="s">
        <v>463</v>
      </c>
      <c r="AU5" s="21" t="s">
        <v>463</v>
      </c>
      <c r="AV5" s="21" t="s">
        <v>463</v>
      </c>
      <c r="AW5" s="21" t="s">
        <v>463</v>
      </c>
    </row>
    <row r="6" spans="1:49" ht="15" customHeight="1">
      <c r="A6" s="1" t="s">
        <v>703</v>
      </c>
      <c r="B6" s="29">
        <v>1.55E-2</v>
      </c>
      <c r="C6" s="1"/>
      <c r="D6" s="1" t="s">
        <v>476</v>
      </c>
      <c r="E6" s="1"/>
      <c r="F6" s="1"/>
      <c r="G6" s="1"/>
      <c r="H6" s="1"/>
      <c r="I6" s="1"/>
      <c r="J6" s="1"/>
      <c r="K6" s="1"/>
      <c r="L6" s="1"/>
      <c r="M6" s="1"/>
      <c r="N6" s="268"/>
      <c r="O6" s="268"/>
      <c r="P6" s="268"/>
      <c r="Q6" s="268"/>
      <c r="R6" s="35"/>
      <c r="S6" s="111">
        <v>0.04</v>
      </c>
      <c r="T6" s="29"/>
      <c r="U6" s="111">
        <v>0.03</v>
      </c>
      <c r="V6" s="29"/>
      <c r="W6" s="111">
        <v>0.03</v>
      </c>
      <c r="X6" s="29"/>
      <c r="Y6" s="111">
        <v>0.03</v>
      </c>
      <c r="Z6" s="29"/>
      <c r="AA6" s="1"/>
      <c r="AB6" s="276" t="s">
        <v>479</v>
      </c>
      <c r="AC6" s="277"/>
      <c r="AD6" s="1"/>
      <c r="AO6" s="106" t="s">
        <v>464</v>
      </c>
      <c r="AP6" s="106" t="s">
        <v>464</v>
      </c>
      <c r="AQ6" s="106" t="s">
        <v>464</v>
      </c>
      <c r="AR6" s="106" t="s">
        <v>464</v>
      </c>
      <c r="AS6" s="107"/>
      <c r="AT6" s="107"/>
      <c r="AU6" s="107"/>
      <c r="AV6" s="107"/>
      <c r="AW6" s="108"/>
    </row>
    <row r="7" spans="1:49" ht="15" customHeight="1">
      <c r="A7" s="1"/>
      <c r="B7" s="29">
        <f>SUM(B5:B6)</f>
        <v>5.2699999999999997E-2</v>
      </c>
      <c r="C7" s="1"/>
      <c r="D7" s="1" t="s">
        <v>477</v>
      </c>
      <c r="E7" s="1"/>
      <c r="F7" s="1"/>
      <c r="G7" s="1"/>
      <c r="H7" s="1"/>
      <c r="I7" s="1"/>
      <c r="J7" s="1"/>
      <c r="K7" s="1"/>
      <c r="L7" s="1"/>
      <c r="M7" s="1"/>
      <c r="N7" s="268"/>
      <c r="O7" s="268"/>
      <c r="P7" s="268"/>
      <c r="Q7" s="268"/>
      <c r="R7" s="35"/>
      <c r="S7" s="111">
        <v>0.02</v>
      </c>
      <c r="T7" s="29"/>
      <c r="U7" s="111">
        <v>0.02</v>
      </c>
      <c r="V7" s="29"/>
      <c r="W7" s="111">
        <v>0.02</v>
      </c>
      <c r="X7" s="29"/>
      <c r="Y7" s="111">
        <v>0.02</v>
      </c>
      <c r="Z7" s="29"/>
      <c r="AA7" s="1"/>
      <c r="AB7" s="278" t="s">
        <v>204</v>
      </c>
      <c r="AC7" s="279">
        <f>W34</f>
        <v>1525849.7488072803</v>
      </c>
      <c r="AD7" s="1"/>
      <c r="AE7" s="235" t="s">
        <v>617</v>
      </c>
      <c r="AI7" s="301">
        <f>AD37</f>
        <v>6047500</v>
      </c>
      <c r="AN7" s="96"/>
      <c r="AO7" s="109" t="s">
        <v>465</v>
      </c>
      <c r="AP7" s="110">
        <v>46320</v>
      </c>
      <c r="AQ7" s="110">
        <v>46351</v>
      </c>
      <c r="AR7" s="109" t="s">
        <v>466</v>
      </c>
      <c r="AS7" s="109" t="s">
        <v>467</v>
      </c>
      <c r="AT7" s="109" t="s">
        <v>468</v>
      </c>
      <c r="AU7" s="109" t="s">
        <v>469</v>
      </c>
      <c r="AV7" s="109" t="s">
        <v>470</v>
      </c>
      <c r="AW7" s="109" t="s">
        <v>471</v>
      </c>
    </row>
    <row r="8" spans="1:49" ht="15" customHeight="1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68"/>
      <c r="O8" s="268"/>
      <c r="P8" s="268"/>
      <c r="Q8" s="268"/>
      <c r="R8" s="1"/>
      <c r="S8" s="1"/>
      <c r="T8" s="1"/>
      <c r="U8" s="1"/>
      <c r="V8" s="1"/>
      <c r="W8" s="1"/>
      <c r="X8" s="1"/>
      <c r="Y8" s="1"/>
      <c r="Z8" s="1"/>
      <c r="AA8" s="1"/>
      <c r="AB8" s="280" t="s">
        <v>481</v>
      </c>
      <c r="AC8" s="281">
        <v>7.0000000000000007E-2</v>
      </c>
      <c r="AD8" s="1"/>
      <c r="AE8" s="298" t="s">
        <v>618</v>
      </c>
      <c r="AF8" s="298"/>
      <c r="AG8" s="298"/>
      <c r="AH8" s="298"/>
      <c r="AI8" s="298"/>
      <c r="AN8" s="96"/>
      <c r="AO8" s="1"/>
      <c r="AP8" s="1"/>
      <c r="AQ8" s="1"/>
      <c r="AR8" s="1"/>
      <c r="AS8" s="1"/>
      <c r="AT8" s="1"/>
      <c r="AU8" s="1"/>
      <c r="AV8" s="1"/>
      <c r="AW8" s="1"/>
    </row>
    <row r="9" spans="1:49" ht="15" customHeight="1">
      <c r="A9" s="112" t="s">
        <v>478</v>
      </c>
      <c r="B9" s="113"/>
      <c r="C9" s="1"/>
      <c r="D9" s="112" t="s">
        <v>235</v>
      </c>
      <c r="E9" s="112"/>
      <c r="F9" s="112"/>
      <c r="G9" s="112"/>
      <c r="H9" s="112"/>
      <c r="I9" s="112"/>
      <c r="J9" s="112"/>
      <c r="K9" s="112"/>
      <c r="L9" s="112"/>
      <c r="M9" s="112"/>
      <c r="N9" s="336"/>
      <c r="O9" s="336"/>
      <c r="P9" s="336"/>
      <c r="Q9" s="449" t="s">
        <v>699</v>
      </c>
      <c r="R9" s="113"/>
      <c r="S9" s="449" t="s">
        <v>699</v>
      </c>
      <c r="T9" s="113"/>
      <c r="U9" s="449" t="s">
        <v>699</v>
      </c>
      <c r="V9" s="113"/>
      <c r="W9" s="449" t="s">
        <v>699</v>
      </c>
      <c r="X9" s="113"/>
      <c r="Y9" s="449" t="s">
        <v>699</v>
      </c>
      <c r="Z9" s="113"/>
      <c r="AA9" s="1"/>
      <c r="AB9" s="280" t="s">
        <v>484</v>
      </c>
      <c r="AC9" s="282">
        <v>0</v>
      </c>
      <c r="AD9" s="1"/>
      <c r="AE9" s="233" t="s">
        <v>504</v>
      </c>
      <c r="AI9" s="231">
        <f>AD37</f>
        <v>6047500</v>
      </c>
      <c r="AN9" s="96"/>
      <c r="AO9" s="1"/>
      <c r="AP9" s="1"/>
      <c r="AQ9" s="1"/>
      <c r="AR9" s="1"/>
      <c r="AS9" s="1"/>
      <c r="AT9" s="1"/>
      <c r="AU9" s="1"/>
      <c r="AV9" s="1"/>
      <c r="AW9" s="1"/>
    </row>
    <row r="10" spans="1:49" ht="15" customHeight="1">
      <c r="A10" s="233" t="s">
        <v>184</v>
      </c>
      <c r="B10" s="21">
        <v>127</v>
      </c>
      <c r="C10" s="1"/>
      <c r="D10" s="1" t="s">
        <v>480</v>
      </c>
      <c r="E10" s="1"/>
      <c r="F10" s="1"/>
      <c r="G10" s="1"/>
      <c r="H10" s="1"/>
      <c r="I10" s="1"/>
      <c r="J10" s="1"/>
      <c r="K10" s="1"/>
      <c r="L10" s="1"/>
      <c r="M10" s="1"/>
      <c r="N10" s="269"/>
      <c r="O10" s="269"/>
      <c r="P10" s="269"/>
      <c r="Q10" s="115">
        <f>(Q17/$B$10)/12</f>
        <v>1092.4429141183336</v>
      </c>
      <c r="S10" s="115">
        <f>(S17/$B$10)/12</f>
        <v>1242.1260472440947</v>
      </c>
      <c r="T10" s="34"/>
      <c r="U10" s="115">
        <f>(U17/$B$10)/12</f>
        <v>1279.3898286614174</v>
      </c>
      <c r="V10" s="34"/>
      <c r="W10" s="115">
        <f>(W17/$B$10)/12</f>
        <v>1317.77152352126</v>
      </c>
      <c r="X10" s="34"/>
      <c r="Y10" s="115">
        <f>(Y17/$B$10)/12</f>
        <v>1357.3046692268974</v>
      </c>
      <c r="Z10" s="34"/>
      <c r="AA10" s="1"/>
      <c r="AB10" s="280" t="s">
        <v>496</v>
      </c>
      <c r="AC10" s="283">
        <f>-AC30-AD32</f>
        <v>5230711.0343068819</v>
      </c>
      <c r="AD10" s="1"/>
      <c r="AE10" s="233" t="s">
        <v>716</v>
      </c>
      <c r="AI10" s="301">
        <f>AE37</f>
        <v>0</v>
      </c>
      <c r="AJ10" s="21"/>
      <c r="AK10" s="94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15" customHeight="1">
      <c r="A11" s="233" t="s">
        <v>697</v>
      </c>
      <c r="B11">
        <v>1.25</v>
      </c>
      <c r="C11" s="1"/>
      <c r="D11" s="1" t="s">
        <v>483</v>
      </c>
      <c r="E11" s="416">
        <f>'Budget 2026'!B2</f>
        <v>159666</v>
      </c>
      <c r="F11" s="416">
        <f>'Budget 2026'!C2</f>
        <v>159666</v>
      </c>
      <c r="G11" s="416">
        <f>'Budget 2026'!D2</f>
        <v>159666</v>
      </c>
      <c r="H11" s="416">
        <f>'Budget 2026'!E2</f>
        <v>159666</v>
      </c>
      <c r="I11" s="416">
        <f>'Budget 2026'!F2</f>
        <v>159666</v>
      </c>
      <c r="J11" s="416">
        <f>'Budget 2026'!G2</f>
        <v>159666</v>
      </c>
      <c r="K11" s="416">
        <f>'Budget 2026'!H2</f>
        <v>159666</v>
      </c>
      <c r="L11" s="416">
        <f>'Budget 2026'!I2</f>
        <v>159666</v>
      </c>
      <c r="M11" s="416">
        <f>'Budget 2026'!J2</f>
        <v>159666</v>
      </c>
      <c r="N11" s="421">
        <f>'Budget 2026'!K2</f>
        <v>159666</v>
      </c>
      <c r="O11" s="421">
        <f>'Budget 2026'!L2</f>
        <v>159666</v>
      </c>
      <c r="P11" s="421">
        <f>'Budget 2026'!M2</f>
        <v>159666</v>
      </c>
      <c r="Q11" s="422">
        <f t="shared" ref="Q11:Q19" si="0">SUM(E11:P11)</f>
        <v>1915992</v>
      </c>
      <c r="S11" s="115">
        <f>Q11*(1+S6)</f>
        <v>1992631.6800000002</v>
      </c>
      <c r="T11" s="1"/>
      <c r="U11" s="115">
        <f>S11*(1+U6)</f>
        <v>2052410.6304000001</v>
      </c>
      <c r="V11" s="1"/>
      <c r="W11" s="115">
        <f>U11*(1+W6)</f>
        <v>2113982.9493120001</v>
      </c>
      <c r="X11" s="1"/>
      <c r="Y11" s="115">
        <f>W11*(1+Y6)</f>
        <v>2177402.4377913601</v>
      </c>
      <c r="Z11" s="1"/>
      <c r="AA11" s="1"/>
      <c r="AB11" s="284"/>
      <c r="AC11" s="285"/>
      <c r="AD11" s="1"/>
      <c r="AE11" s="233" t="s">
        <v>717</v>
      </c>
      <c r="AI11" s="244">
        <f>AF37</f>
        <v>1806307.0527180694</v>
      </c>
      <c r="AK11" s="3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15" customHeight="1">
      <c r="A12" s="28" t="s">
        <v>205</v>
      </c>
      <c r="B12" s="114">
        <v>0.75</v>
      </c>
      <c r="C12" s="1"/>
      <c r="D12" s="1" t="s">
        <v>485</v>
      </c>
      <c r="E12" s="417">
        <f>'Budget 2026'!B7</f>
        <v>-14165.28</v>
      </c>
      <c r="F12" s="417">
        <f>'Budget 2026'!C7</f>
        <v>-9443.52</v>
      </c>
      <c r="G12" s="417">
        <f>'Budget 2026'!D7</f>
        <v>-4733.5644000000002</v>
      </c>
      <c r="H12" s="417">
        <f>'Budget 2026'!E7</f>
        <v>-4739.7180337200007</v>
      </c>
      <c r="I12" s="417">
        <f>'Budget 2026'!F7</f>
        <v>-4745.8796671638374</v>
      </c>
      <c r="J12" s="417">
        <f>'Budget 2026'!G7</f>
        <v>-4752.0493107311504</v>
      </c>
      <c r="K12" s="417">
        <f>'Budget 2026'!H7</f>
        <v>-4760.6029994904666</v>
      </c>
      <c r="L12" s="417">
        <f>'Budget 2026'!I7</f>
        <v>-4769.1720848895493</v>
      </c>
      <c r="M12" s="417">
        <f>'Budget 2026'!J7</f>
        <v>-3583.3174459817633</v>
      </c>
      <c r="N12" s="423">
        <f>'Budget 2026'!K7</f>
        <v>-3585.4674364493521</v>
      </c>
      <c r="O12" s="423">
        <f>'Budget 2026'!L7</f>
        <v>-3587.6187169112209</v>
      </c>
      <c r="P12" s="423">
        <f>'Budget 2026'!M7</f>
        <v>-3589.7712881413672</v>
      </c>
      <c r="Q12" s="422">
        <f t="shared" si="0"/>
        <v>-66455.961383478716</v>
      </c>
      <c r="R12" s="243">
        <f>ABS(Q12/$Q$11)</f>
        <v>3.4684884583797176E-2</v>
      </c>
      <c r="S12" s="117">
        <f>-S11*T12</f>
        <v>-19926.316800000001</v>
      </c>
      <c r="T12" s="111">
        <v>0.01</v>
      </c>
      <c r="U12" s="117">
        <f>-U11*V12</f>
        <v>-41048.212608000002</v>
      </c>
      <c r="V12" s="111">
        <v>0.02</v>
      </c>
      <c r="W12" s="117">
        <f>-W11*X12</f>
        <v>-42279.65898624</v>
      </c>
      <c r="X12" s="111">
        <v>0.02</v>
      </c>
      <c r="Y12" s="117">
        <f>-Y11*Z12</f>
        <v>-43548.0487558272</v>
      </c>
      <c r="Z12" s="111">
        <v>0.02</v>
      </c>
      <c r="AA12" s="1"/>
      <c r="AB12" s="280" t="s">
        <v>488</v>
      </c>
      <c r="AC12" s="286">
        <f>AC7/AC8</f>
        <v>21797853.554389715</v>
      </c>
      <c r="AD12" s="431">
        <f>AC12/B10</f>
        <v>171636.64216054894</v>
      </c>
      <c r="AE12" s="233" t="s">
        <v>701</v>
      </c>
      <c r="AI12" s="244">
        <f>AH36</f>
        <v>2151056.8427074398</v>
      </c>
      <c r="AJ12" s="21"/>
      <c r="AO12" s="22" t="s">
        <v>463</v>
      </c>
      <c r="AP12" s="22" t="s">
        <v>463</v>
      </c>
      <c r="AQ12" s="22" t="s">
        <v>463</v>
      </c>
      <c r="AR12" s="21" t="s">
        <v>463</v>
      </c>
      <c r="AS12" s="21" t="s">
        <v>463</v>
      </c>
      <c r="AT12" s="21" t="s">
        <v>463</v>
      </c>
      <c r="AU12" s="21" t="s">
        <v>463</v>
      </c>
      <c r="AV12" s="21" t="s">
        <v>463</v>
      </c>
      <c r="AW12" s="21" t="s">
        <v>463</v>
      </c>
    </row>
    <row r="13" spans="1:49" ht="15" customHeight="1" thickBot="1">
      <c r="A13" s="28" t="s">
        <v>206</v>
      </c>
      <c r="B13" s="111">
        <f>B7</f>
        <v>5.2699999999999997E-2</v>
      </c>
      <c r="C13" s="1"/>
      <c r="D13" s="1" t="s">
        <v>487</v>
      </c>
      <c r="E13" s="1"/>
      <c r="F13" s="1"/>
      <c r="G13" s="1"/>
      <c r="H13" s="1"/>
      <c r="I13" s="1"/>
      <c r="J13" s="1"/>
      <c r="K13" s="1"/>
      <c r="L13" s="1"/>
      <c r="M13" s="1"/>
      <c r="N13" s="337"/>
      <c r="O13" s="337"/>
      <c r="P13" s="337"/>
      <c r="Q13" s="422">
        <f t="shared" si="0"/>
        <v>0</v>
      </c>
      <c r="R13" s="243"/>
      <c r="S13" s="254">
        <f>-S11*T13</f>
        <v>-79705.267200000002</v>
      </c>
      <c r="T13" s="253">
        <v>0.04</v>
      </c>
      <c r="U13" s="254">
        <f>-U11*V13</f>
        <v>-61572.318912000002</v>
      </c>
      <c r="V13" s="253">
        <v>0.03</v>
      </c>
      <c r="W13" s="254">
        <f>-W11*X13</f>
        <v>-63419.488479359999</v>
      </c>
      <c r="X13" s="253">
        <v>0.03</v>
      </c>
      <c r="Y13" s="254">
        <f>-Y11*Z13</f>
        <v>-65322.0731337408</v>
      </c>
      <c r="Z13" s="253">
        <v>0.03</v>
      </c>
      <c r="AA13" s="1"/>
      <c r="AB13" s="280" t="s">
        <v>486</v>
      </c>
      <c r="AC13" s="283">
        <f>SUM(Q45:Y45)</f>
        <v>180000</v>
      </c>
      <c r="AD13" s="445">
        <f>AC13/B10</f>
        <v>1417.3228346456692</v>
      </c>
      <c r="AE13" s="22" t="s">
        <v>718</v>
      </c>
      <c r="AF13" s="235"/>
      <c r="AG13" s="235"/>
      <c r="AH13" s="235"/>
      <c r="AI13" s="302">
        <f>SUM(AI9:AI12)</f>
        <v>10004863.89542551</v>
      </c>
      <c r="AJ13" s="21"/>
      <c r="AK13" s="21"/>
      <c r="AO13" s="106" t="s">
        <v>464</v>
      </c>
      <c r="AP13" s="106" t="s">
        <v>464</v>
      </c>
      <c r="AQ13" s="106" t="s">
        <v>464</v>
      </c>
      <c r="AR13" s="389" t="s">
        <v>464</v>
      </c>
      <c r="AS13" s="107"/>
      <c r="AT13" s="107"/>
      <c r="AU13" s="107"/>
      <c r="AV13" s="107"/>
      <c r="AW13" s="108"/>
    </row>
    <row r="14" spans="1:49" ht="15" customHeight="1" outlineLevel="1" thickTop="1">
      <c r="A14" s="28" t="s">
        <v>207</v>
      </c>
      <c r="B14" s="111">
        <v>6.5000000000000002E-2</v>
      </c>
      <c r="C14" s="1"/>
      <c r="D14" s="1" t="s">
        <v>489</v>
      </c>
      <c r="E14" s="417">
        <f>SUM('Budget 2026'!B4:B6)</f>
        <v>-310</v>
      </c>
      <c r="F14" s="417">
        <f>SUM('Budget 2026'!C4:C6)</f>
        <v>-3851.32</v>
      </c>
      <c r="G14" s="417">
        <f>SUM('Budget 2026'!D4:D6)</f>
        <v>-10072.976575000001</v>
      </c>
      <c r="H14" s="417">
        <f>SUM('Budget 2026'!E4:E6)</f>
        <v>-2087.3942626450003</v>
      </c>
      <c r="I14" s="417">
        <f>SUM('Budget 2026'!F4:F6)</f>
        <v>-2979.5573127796588</v>
      </c>
      <c r="J14" s="417">
        <f>SUM('Budget 2026'!G4:G6)</f>
        <v>-2983.027737286272</v>
      </c>
      <c r="K14" s="417">
        <f>SUM('Budget 2026'!H4:H6)</f>
        <v>-2095.2261248089249</v>
      </c>
      <c r="L14" s="417">
        <f>SUM('Budget 2026'!I4:I6)</f>
        <v>-2098.439531833581</v>
      </c>
      <c r="M14" s="417">
        <f>SUM('Budget 2026'!J4:J6)</f>
        <v>-2101.6587229908819</v>
      </c>
      <c r="N14" s="423">
        <f>SUM('Budget 2026'!K4:K6)</f>
        <v>-1206.366859112338</v>
      </c>
      <c r="O14" s="423">
        <f>SUM('Budget 2026'!L4:L6)</f>
        <v>-1206.9046792278052</v>
      </c>
      <c r="P14" s="423">
        <f>SUM('Budget 2026'!M4:M6)</f>
        <v>-1207.4428220353418</v>
      </c>
      <c r="Q14" s="422">
        <f t="shared" si="0"/>
        <v>-32200.314627719807</v>
      </c>
      <c r="R14" s="243">
        <f>ABS(Q14/$Q$11)</f>
        <v>1.680607989371553E-2</v>
      </c>
      <c r="S14" s="117"/>
      <c r="T14" s="111"/>
      <c r="U14" s="117"/>
      <c r="V14" s="111"/>
      <c r="W14" s="117"/>
      <c r="X14" s="111"/>
      <c r="Y14" s="117"/>
      <c r="Z14" s="111"/>
      <c r="AA14" s="1"/>
      <c r="AB14" s="280" t="s">
        <v>612</v>
      </c>
      <c r="AC14" s="286">
        <f>-B62</f>
        <v>0</v>
      </c>
      <c r="AD14" s="1"/>
      <c r="AJ14" s="21"/>
      <c r="AO14" s="109" t="s">
        <v>465</v>
      </c>
      <c r="AP14" s="110">
        <v>46320</v>
      </c>
      <c r="AQ14" s="110">
        <v>46351</v>
      </c>
      <c r="AR14" s="109" t="s">
        <v>466</v>
      </c>
      <c r="AS14" s="109" t="s">
        <v>467</v>
      </c>
      <c r="AT14" s="109" t="s">
        <v>468</v>
      </c>
      <c r="AU14" s="109" t="s">
        <v>469</v>
      </c>
      <c r="AV14" s="109" t="s">
        <v>470</v>
      </c>
      <c r="AW14" s="109" t="s">
        <v>471</v>
      </c>
    </row>
    <row r="15" spans="1:49" ht="15" customHeight="1" outlineLevel="1">
      <c r="A15" s="28" t="s">
        <v>706</v>
      </c>
      <c r="B15" s="115">
        <f>SUM(I19:K19)*4</f>
        <v>1926748.8565415265</v>
      </c>
      <c r="C15" s="1"/>
      <c r="D15" s="1" t="s">
        <v>490</v>
      </c>
      <c r="E15" s="417">
        <f>'Budget 2026'!B3</f>
        <v>-9750.1199999999862</v>
      </c>
      <c r="F15" s="417">
        <f>'Budget 2026'!C3</f>
        <v>-9750.1199999999862</v>
      </c>
      <c r="G15" s="417">
        <f>'Budget 2026'!D3</f>
        <v>-9375.3302999999869</v>
      </c>
      <c r="H15" s="417">
        <f>'Budget 2026'!E3</f>
        <v>-9179.9524293899722</v>
      </c>
      <c r="I15" s="417">
        <f>'Budget 2026'!F3</f>
        <v>-8984.3205675481549</v>
      </c>
      <c r="J15" s="417">
        <f>'Budget 2026'!G3</f>
        <v>-8788.4343842859689</v>
      </c>
      <c r="K15" s="417">
        <f>'Budget 2026'!H3</f>
        <v>-8516.8547661776793</v>
      </c>
      <c r="L15" s="417">
        <f>'Budget 2026'!I3</f>
        <v>-8244.7863047568044</v>
      </c>
      <c r="M15" s="417">
        <f>'Budget 2026'!J3</f>
        <v>-7972.2281201053484</v>
      </c>
      <c r="N15" s="423">
        <f>'Budget 2026'!K3</f>
        <v>-7881.2118569774302</v>
      </c>
      <c r="O15" s="423">
        <f>'Budget 2026'!L3</f>
        <v>-7790.140984091634</v>
      </c>
      <c r="P15" s="423">
        <f>'Budget 2026'!M3</f>
        <v>-7699.0154686821052</v>
      </c>
      <c r="Q15" s="422">
        <f t="shared" si="0"/>
        <v>-103932.51518201506</v>
      </c>
      <c r="R15" s="243">
        <f>ABS(Q15/$Q$11)</f>
        <v>5.4244754248459842E-2</v>
      </c>
      <c r="S15" s="117"/>
      <c r="T15" s="111"/>
      <c r="U15" s="117"/>
      <c r="V15" s="111"/>
      <c r="W15" s="117"/>
      <c r="X15" s="111"/>
      <c r="Y15" s="117"/>
      <c r="Z15" s="111"/>
      <c r="AA15" s="1"/>
      <c r="AB15" s="280" t="s">
        <v>614</v>
      </c>
      <c r="AC15" s="286">
        <f>-B68*3</f>
        <v>0</v>
      </c>
      <c r="AD15" s="1"/>
      <c r="AE15" s="298" t="s">
        <v>622</v>
      </c>
      <c r="AF15" s="298"/>
      <c r="AG15" s="298"/>
      <c r="AH15" s="298"/>
      <c r="AI15" s="298"/>
      <c r="AJ15" s="21"/>
      <c r="AN15" s="1" t="s">
        <v>483</v>
      </c>
      <c r="AO15" s="115">
        <v>136185.29999999999</v>
      </c>
      <c r="AP15" s="115">
        <v>139780.78</v>
      </c>
      <c r="AQ15" s="115">
        <v>143362</v>
      </c>
      <c r="AR15" s="115">
        <f t="shared" ref="AR15:AW15" si="1">AQ15</f>
        <v>143362</v>
      </c>
      <c r="AS15" s="115">
        <f t="shared" si="1"/>
        <v>143362</v>
      </c>
      <c r="AT15" s="115">
        <f t="shared" si="1"/>
        <v>143362</v>
      </c>
      <c r="AU15" s="115">
        <f t="shared" si="1"/>
        <v>143362</v>
      </c>
      <c r="AV15" s="115">
        <f t="shared" si="1"/>
        <v>143362</v>
      </c>
      <c r="AW15" s="115">
        <f t="shared" si="1"/>
        <v>143362</v>
      </c>
    </row>
    <row r="16" spans="1:49" ht="15" customHeight="1" outlineLevel="1">
      <c r="A16" s="28" t="s">
        <v>705</v>
      </c>
      <c r="B16" s="115">
        <v>855000</v>
      </c>
      <c r="C16" s="1"/>
      <c r="D16" s="1" t="s">
        <v>491</v>
      </c>
      <c r="E16" s="417">
        <f>'Budget 2026'!B8</f>
        <v>-11804.400000000001</v>
      </c>
      <c r="F16" s="417">
        <f>'Budget 2026'!C8</f>
        <v>-11804.400000000001</v>
      </c>
      <c r="G16" s="417">
        <f>'Budget 2026'!D8</f>
        <v>-15384.0843</v>
      </c>
      <c r="H16" s="417">
        <f>'Budget 2026'!E8</f>
        <v>-1184.9295084300002</v>
      </c>
      <c r="I16" s="417">
        <f>'Budget 2026'!F8</f>
        <v>-1186.4699167909594</v>
      </c>
      <c r="J16" s="417">
        <f>'Budget 2026'!G8</f>
        <v>-1188.0123276827876</v>
      </c>
      <c r="K16" s="417">
        <f>'Budget 2026'!H8</f>
        <v>-1190.1507498726166</v>
      </c>
      <c r="L16" s="417">
        <f>'Budget 2026'!I8</f>
        <v>-1192.2930212223873</v>
      </c>
      <c r="M16" s="417">
        <f>'Budget 2026'!J8</f>
        <v>-1194.4391486605878</v>
      </c>
      <c r="N16" s="423">
        <f>'Budget 2026'!K8</f>
        <v>-1195.155812149784</v>
      </c>
      <c r="O16" s="423">
        <f>'Budget 2026'!L8</f>
        <v>-1195.8729056370737</v>
      </c>
      <c r="P16" s="423">
        <f>'Budget 2026'!M8</f>
        <v>0</v>
      </c>
      <c r="Q16" s="422">
        <f t="shared" si="0"/>
        <v>-48520.207690446201</v>
      </c>
      <c r="R16" s="243">
        <f>ABS(Q16/$Q$11)</f>
        <v>2.5323804948270245E-2</v>
      </c>
      <c r="S16" s="117"/>
      <c r="T16" s="111"/>
      <c r="U16" s="117"/>
      <c r="V16" s="111"/>
      <c r="W16" s="117"/>
      <c r="X16" s="111"/>
      <c r="Y16" s="117"/>
      <c r="Z16" s="111"/>
      <c r="AA16" s="1"/>
      <c r="AB16" s="280" t="s">
        <v>493</v>
      </c>
      <c r="AC16" s="286">
        <f>-AC12*4%</f>
        <v>-871914.14217558864</v>
      </c>
      <c r="AD16" s="431">
        <f>AC16/B10</f>
        <v>-6865.4656864219578</v>
      </c>
      <c r="AE16" s="21" t="s">
        <v>620</v>
      </c>
      <c r="AI16" s="304">
        <f>(AI13/AI7)</f>
        <v>1.6543801397975213</v>
      </c>
      <c r="AJ16" s="21"/>
      <c r="AN16" s="1" t="s">
        <v>485</v>
      </c>
      <c r="AO16" s="117">
        <v>-17406.099999999999</v>
      </c>
      <c r="AP16" s="117">
        <v>-5336.53</v>
      </c>
      <c r="AQ16" s="117">
        <v>-8718.07</v>
      </c>
      <c r="AR16" s="117">
        <v>-6599.14</v>
      </c>
      <c r="AS16" s="117">
        <v>-3377</v>
      </c>
      <c r="AT16" s="117">
        <v>-3377</v>
      </c>
      <c r="AU16" s="117">
        <v>-3377</v>
      </c>
      <c r="AV16" s="117">
        <v>-3377</v>
      </c>
      <c r="AW16" s="117">
        <v>-3377</v>
      </c>
    </row>
    <row r="17" spans="1:49" ht="15" customHeight="1">
      <c r="A17" s="28" t="s">
        <v>209</v>
      </c>
      <c r="B17" s="118">
        <f>B15-B16</f>
        <v>1071748.8565415265</v>
      </c>
      <c r="C17" s="1"/>
      <c r="D17" s="27" t="s">
        <v>492</v>
      </c>
      <c r="E17" s="120">
        <f>SUM(E11:E16)</f>
        <v>123636.20000000001</v>
      </c>
      <c r="F17" s="120">
        <f t="shared" ref="F17:P17" si="2">SUM(F11:F16)</f>
        <v>124816.64000000001</v>
      </c>
      <c r="G17" s="120">
        <f t="shared" si="2"/>
        <v>120100.04442500001</v>
      </c>
      <c r="H17" s="120">
        <f t="shared" si="2"/>
        <v>142474.00576581503</v>
      </c>
      <c r="I17" s="120">
        <f t="shared" si="2"/>
        <v>141769.77253571741</v>
      </c>
      <c r="J17" s="120">
        <f t="shared" si="2"/>
        <v>141954.47624001384</v>
      </c>
      <c r="K17" s="120">
        <f t="shared" si="2"/>
        <v>143103.16535965033</v>
      </c>
      <c r="L17" s="120">
        <f t="shared" si="2"/>
        <v>143361.30905729771</v>
      </c>
      <c r="M17" s="120">
        <f t="shared" si="2"/>
        <v>144814.35656226144</v>
      </c>
      <c r="N17" s="120">
        <f t="shared" si="2"/>
        <v>145797.79803531111</v>
      </c>
      <c r="O17" s="120">
        <f t="shared" si="2"/>
        <v>145885.46271413227</v>
      </c>
      <c r="P17" s="120">
        <f t="shared" si="2"/>
        <v>147169.77042114118</v>
      </c>
      <c r="Q17" s="428">
        <f t="shared" si="0"/>
        <v>1664883.0011163405</v>
      </c>
      <c r="R17" s="243">
        <f>ABS(Q17/$Q$11)</f>
        <v>0.86894047632575733</v>
      </c>
      <c r="S17" s="121">
        <f>SUM(S11:S13)</f>
        <v>1893000.0960000004</v>
      </c>
      <c r="T17" s="437">
        <f>S17/S11</f>
        <v>0.95000000000000007</v>
      </c>
      <c r="U17" s="121">
        <f>SUM(U11:U13)</f>
        <v>1949790.0988800002</v>
      </c>
      <c r="V17" s="437">
        <f>U17/U11</f>
        <v>0.95000000000000007</v>
      </c>
      <c r="W17" s="121">
        <f>SUM(W11:W13)</f>
        <v>2008283.8018464001</v>
      </c>
      <c r="X17" s="437">
        <f>W17/W11</f>
        <v>0.95000000000000007</v>
      </c>
      <c r="Y17" s="121">
        <f>SUM(Y11:Y13)</f>
        <v>2068532.3159017919</v>
      </c>
      <c r="Z17" s="437">
        <f>Y17/Y11</f>
        <v>0.95</v>
      </c>
      <c r="AA17" s="1"/>
      <c r="AB17" s="280" t="s">
        <v>494</v>
      </c>
      <c r="AC17" s="286">
        <f>-B20</f>
        <v>-12366332.960094536</v>
      </c>
      <c r="AD17" s="431">
        <f>AC17/B10</f>
        <v>-97372.700473185323</v>
      </c>
      <c r="AE17" s="21" t="s">
        <v>616</v>
      </c>
      <c r="AI17" s="303">
        <f>AG37</f>
        <v>4.2669510487641164E-2</v>
      </c>
      <c r="AJ17" s="21"/>
      <c r="AK17" s="21"/>
      <c r="AN17" s="1" t="s">
        <v>487</v>
      </c>
      <c r="AO17" s="117">
        <f t="shared" ref="AO17:AW17" si="3">SUM(AO18:AO20)</f>
        <v>-33231</v>
      </c>
      <c r="AP17" s="117">
        <f t="shared" si="3"/>
        <v>-31462.9</v>
      </c>
      <c r="AQ17" s="117">
        <f t="shared" si="3"/>
        <v>-13600</v>
      </c>
      <c r="AR17" s="117">
        <f t="shared" si="3"/>
        <v>-20106.11</v>
      </c>
      <c r="AS17" s="117">
        <f t="shared" si="3"/>
        <v>-13412</v>
      </c>
      <c r="AT17" s="117">
        <f t="shared" si="3"/>
        <v>-13412</v>
      </c>
      <c r="AU17" s="117">
        <f t="shared" si="3"/>
        <v>-11412</v>
      </c>
      <c r="AV17" s="117">
        <f t="shared" si="3"/>
        <v>-8412</v>
      </c>
      <c r="AW17" s="117">
        <f t="shared" si="3"/>
        <v>-6412</v>
      </c>
    </row>
    <row r="18" spans="1:49" ht="15" customHeight="1">
      <c r="A18" s="28" t="s">
        <v>727</v>
      </c>
      <c r="B18" s="242">
        <f>B16/B15</f>
        <v>0.44375269620489455</v>
      </c>
      <c r="C18" s="1"/>
      <c r="D18" s="27" t="s">
        <v>301</v>
      </c>
      <c r="E18" s="36">
        <f>'Budget 2026'!B44</f>
        <v>16410</v>
      </c>
      <c r="F18" s="36">
        <f>'Budget 2026'!C44</f>
        <v>16593.2</v>
      </c>
      <c r="G18" s="36">
        <f>'Budget 2026'!D44</f>
        <v>16273</v>
      </c>
      <c r="H18" s="36">
        <f>'Budget 2026'!E44</f>
        <v>18286.599999999999</v>
      </c>
      <c r="I18" s="36">
        <f>'Budget 2026'!F44</f>
        <v>18286.599999999999</v>
      </c>
      <c r="J18" s="36">
        <f>'Budget 2026'!G44</f>
        <v>18286.599999999999</v>
      </c>
      <c r="K18" s="36">
        <f>'Budget 2026'!H44</f>
        <v>18286.599999999999</v>
      </c>
      <c r="L18" s="36">
        <f>'Budget 2026'!I44</f>
        <v>18286.599999999999</v>
      </c>
      <c r="M18" s="36">
        <f>'Budget 2026'!J44</f>
        <v>18332.400000000001</v>
      </c>
      <c r="N18" s="36">
        <f>'Budget 2026'!K44</f>
        <v>18332.400000000001</v>
      </c>
      <c r="O18" s="36">
        <f>'Budget 2026'!L44</f>
        <v>18332.400000000001</v>
      </c>
      <c r="P18" s="36">
        <f>'Budget 2026'!M44</f>
        <v>18500.2</v>
      </c>
      <c r="Q18" s="428">
        <f t="shared" si="0"/>
        <v>214206.6</v>
      </c>
      <c r="R18" s="243">
        <f>ABS(Q18/$Q$11)</f>
        <v>0.1117993185775306</v>
      </c>
      <c r="S18" s="122">
        <f>Q18*(1+S6)</f>
        <v>222774.864</v>
      </c>
      <c r="T18" s="123">
        <f>S18/S11</f>
        <v>0.11179931857753059</v>
      </c>
      <c r="U18" s="122">
        <f>S18*(1+U6)</f>
        <v>229458.10992000002</v>
      </c>
      <c r="V18" s="123">
        <f>U18/U11</f>
        <v>0.1117993185775306</v>
      </c>
      <c r="W18" s="122">
        <f>U18*(1+W6)</f>
        <v>236341.85321760003</v>
      </c>
      <c r="X18" s="123">
        <f>W18/W11</f>
        <v>0.1117993185775306</v>
      </c>
      <c r="Y18" s="122">
        <f>W18*(1+Y6)</f>
        <v>243432.10881412803</v>
      </c>
      <c r="Z18" s="123">
        <f>Y18/Y11</f>
        <v>0.1117993185775306</v>
      </c>
      <c r="AA18" s="1"/>
      <c r="AB18" s="280" t="s">
        <v>613</v>
      </c>
      <c r="AC18" s="286">
        <f>-AC10</f>
        <v>-5230711.0343068819</v>
      </c>
      <c r="AD18" s="1"/>
      <c r="AE18" s="21" t="s">
        <v>621</v>
      </c>
      <c r="AI18" s="243">
        <f>(AI13/AI7)/7</f>
        <v>0.23634001997107448</v>
      </c>
      <c r="AJ18" s="21"/>
      <c r="AK18" s="21"/>
      <c r="AN18" s="1" t="s">
        <v>489</v>
      </c>
      <c r="AO18" s="117">
        <v>-17426</v>
      </c>
      <c r="AP18" s="117">
        <f>-(19220+410)</f>
        <v>-19630</v>
      </c>
      <c r="AQ18" s="117">
        <f>-(11590+310)</f>
        <v>-11900</v>
      </c>
      <c r="AR18" s="117">
        <v>-919</v>
      </c>
      <c r="AS18" s="117">
        <v>-1712</v>
      </c>
      <c r="AT18" s="117">
        <v>-1712</v>
      </c>
      <c r="AU18" s="117">
        <v>-1712</v>
      </c>
      <c r="AV18" s="117">
        <v>-1712</v>
      </c>
      <c r="AW18" s="117">
        <v>-1712</v>
      </c>
    </row>
    <row r="19" spans="1:49" ht="15" customHeight="1" thickBot="1">
      <c r="A19" s="1" t="s">
        <v>208</v>
      </c>
      <c r="B19" s="115">
        <f>B17/B14</f>
        <v>16488443.946792714</v>
      </c>
      <c r="C19" s="1"/>
      <c r="D19" s="124" t="s">
        <v>495</v>
      </c>
      <c r="E19" s="418">
        <f>SUM(E17:E18)</f>
        <v>140046.20000000001</v>
      </c>
      <c r="F19" s="418">
        <f t="shared" ref="F19:P19" si="4">SUM(F17:F18)</f>
        <v>141409.84000000003</v>
      </c>
      <c r="G19" s="418">
        <f t="shared" si="4"/>
        <v>136373.04442500003</v>
      </c>
      <c r="H19" s="418">
        <f t="shared" si="4"/>
        <v>160760.60576581504</v>
      </c>
      <c r="I19" s="418">
        <f t="shared" si="4"/>
        <v>160056.37253571741</v>
      </c>
      <c r="J19" s="418">
        <f t="shared" si="4"/>
        <v>160241.07624001385</v>
      </c>
      <c r="K19" s="418">
        <f t="shared" si="4"/>
        <v>161389.76535965034</v>
      </c>
      <c r="L19" s="418">
        <f t="shared" si="4"/>
        <v>161647.90905729771</v>
      </c>
      <c r="M19" s="418">
        <f t="shared" si="4"/>
        <v>163146.75656226143</v>
      </c>
      <c r="N19" s="418">
        <f t="shared" si="4"/>
        <v>164130.1980353111</v>
      </c>
      <c r="O19" s="418">
        <f t="shared" si="4"/>
        <v>164217.86271413226</v>
      </c>
      <c r="P19" s="418">
        <f t="shared" si="4"/>
        <v>165669.97042114119</v>
      </c>
      <c r="Q19" s="418">
        <f t="shared" si="0"/>
        <v>1879089.6011163406</v>
      </c>
      <c r="R19" s="243"/>
      <c r="S19" s="127">
        <f>SUM(S17:S18)</f>
        <v>2115774.9600000004</v>
      </c>
      <c r="T19" s="126"/>
      <c r="U19" s="127">
        <f>SUM(U17:U18)</f>
        <v>2179248.2088000001</v>
      </c>
      <c r="V19" s="126"/>
      <c r="W19" s="127">
        <f>SUM(W17:W18)</f>
        <v>2244625.6550640003</v>
      </c>
      <c r="X19" s="126"/>
      <c r="Y19" s="127">
        <f>SUM(Y17:Y18)</f>
        <v>2311964.4247159199</v>
      </c>
      <c r="Z19" s="126"/>
      <c r="AA19" s="1"/>
      <c r="AB19" s="287" t="s">
        <v>519</v>
      </c>
      <c r="AC19" s="286">
        <f>-U51</f>
        <v>0</v>
      </c>
      <c r="AD19" s="1"/>
      <c r="AE19" s="21" t="s">
        <v>595</v>
      </c>
      <c r="AI19" s="303">
        <f>AI38</f>
        <v>9.9170440435409568E-2</v>
      </c>
      <c r="AK19" s="21"/>
      <c r="AN19" s="1" t="s">
        <v>490</v>
      </c>
      <c r="AO19" s="117">
        <f>856</f>
        <v>856</v>
      </c>
      <c r="AP19" s="117">
        <v>-158.9</v>
      </c>
      <c r="AQ19" s="117">
        <v>-1700</v>
      </c>
      <c r="AR19" s="117">
        <v>-4847.1099999999997</v>
      </c>
      <c r="AS19" s="117">
        <v>-1700</v>
      </c>
      <c r="AT19" s="117">
        <v>-1700</v>
      </c>
      <c r="AU19" s="117">
        <v>-1700</v>
      </c>
      <c r="AV19" s="117">
        <v>-1700</v>
      </c>
      <c r="AW19" s="117">
        <v>-1700</v>
      </c>
    </row>
    <row r="20" spans="1:49" ht="15" customHeight="1" thickTop="1" thickBot="1">
      <c r="A20" s="28" t="s">
        <v>698</v>
      </c>
      <c r="B20" s="119">
        <f>MIN(
B19*B12,
PV(B13/12,30*12,-(B17/B11)/12)
)</f>
        <v>12366332.960094536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68"/>
      <c r="O20" s="268"/>
      <c r="P20" s="268"/>
      <c r="Q20" s="268"/>
      <c r="R20" s="1"/>
      <c r="S20" s="1"/>
      <c r="T20" s="1"/>
      <c r="U20" s="1"/>
      <c r="V20" s="1"/>
      <c r="W20" s="1"/>
      <c r="X20" s="1"/>
      <c r="Y20" s="1"/>
      <c r="Z20" s="1"/>
      <c r="AA20" s="1"/>
      <c r="AB20" s="280" t="s">
        <v>692</v>
      </c>
      <c r="AC20" s="290">
        <f>SUM(AC12:AC19)</f>
        <v>3508895.4178127088</v>
      </c>
      <c r="AD20" s="1"/>
      <c r="AI20" s="244"/>
      <c r="AN20" s="1" t="s">
        <v>491</v>
      </c>
      <c r="AO20" s="117">
        <v>-16661</v>
      </c>
      <c r="AP20" s="117">
        <v>-11674</v>
      </c>
      <c r="AQ20" s="117">
        <v>0</v>
      </c>
      <c r="AR20" s="117">
        <v>-14340</v>
      </c>
      <c r="AS20" s="117">
        <v>-10000</v>
      </c>
      <c r="AT20" s="117">
        <v>-10000</v>
      </c>
      <c r="AU20" s="117">
        <v>-8000</v>
      </c>
      <c r="AV20" s="117">
        <v>-5000</v>
      </c>
      <c r="AW20" s="117">
        <v>-3000</v>
      </c>
    </row>
    <row r="21" spans="1:49" ht="15" customHeight="1">
      <c r="A21" s="132" t="s">
        <v>709</v>
      </c>
      <c r="B21" s="132"/>
      <c r="C21" s="1"/>
      <c r="D21" s="112" t="s">
        <v>244</v>
      </c>
      <c r="E21" s="112"/>
      <c r="F21" s="112"/>
      <c r="G21" s="112"/>
      <c r="H21" s="112"/>
      <c r="I21" s="112"/>
      <c r="J21" s="112"/>
      <c r="K21" s="112"/>
      <c r="L21" s="112"/>
      <c r="M21" s="112"/>
      <c r="N21" s="336"/>
      <c r="O21" s="336"/>
      <c r="P21" s="336"/>
      <c r="Q21" s="345"/>
      <c r="R21" s="113"/>
      <c r="S21" s="113"/>
      <c r="T21" s="113"/>
      <c r="U21" s="113"/>
      <c r="V21" s="113"/>
      <c r="W21" s="113"/>
      <c r="X21" s="113"/>
      <c r="Y21" s="113"/>
      <c r="Z21" s="113"/>
      <c r="AA21" s="1"/>
      <c r="AB21" s="280" t="s">
        <v>712</v>
      </c>
      <c r="AC21" s="286">
        <f>-AC12*2%</f>
        <v>-435957.07108779432</v>
      </c>
      <c r="AD21" s="1"/>
      <c r="AN21" s="27" t="s">
        <v>492</v>
      </c>
      <c r="AO21" s="119">
        <f t="shared" ref="AO21:AW21" si="5">SUM(AO15:AO17)</f>
        <v>85548.199999999983</v>
      </c>
      <c r="AP21" s="119">
        <f t="shared" si="5"/>
        <v>102981.35</v>
      </c>
      <c r="AQ21" s="119">
        <f t="shared" si="5"/>
        <v>121043.93</v>
      </c>
      <c r="AR21" s="119">
        <f t="shared" si="5"/>
        <v>116656.74999999999</v>
      </c>
      <c r="AS21" s="119">
        <f t="shared" si="5"/>
        <v>126573</v>
      </c>
      <c r="AT21" s="119">
        <f t="shared" si="5"/>
        <v>126573</v>
      </c>
      <c r="AU21" s="119">
        <f t="shared" si="5"/>
        <v>128573</v>
      </c>
      <c r="AV21" s="119">
        <f t="shared" si="5"/>
        <v>131573</v>
      </c>
      <c r="AW21" s="119">
        <f t="shared" si="5"/>
        <v>133573</v>
      </c>
    </row>
    <row r="22" spans="1:49" ht="15" customHeight="1">
      <c r="A22" s="28" t="s">
        <v>210</v>
      </c>
      <c r="B22" s="128">
        <v>-10899999</v>
      </c>
      <c r="C22" s="1"/>
      <c r="D22" s="1" t="s">
        <v>294</v>
      </c>
      <c r="E22" s="26">
        <f>'Budget 2026'!B51</f>
        <v>4500</v>
      </c>
      <c r="F22" s="26">
        <f>'Budget 2026'!C51</f>
        <v>4500</v>
      </c>
      <c r="G22" s="26">
        <f>'Budget 2026'!D51</f>
        <v>4500</v>
      </c>
      <c r="H22" s="26">
        <f>'Budget 2026'!E51</f>
        <v>4822.818172974451</v>
      </c>
      <c r="I22" s="26">
        <f>'Budget 2026'!F51</f>
        <v>4801.691176071522</v>
      </c>
      <c r="J22" s="26">
        <f>'Budget 2026'!G51</f>
        <v>4807.2322872004152</v>
      </c>
      <c r="K22" s="26">
        <f>'Budget 2026'!H51</f>
        <v>4841.6929607895099</v>
      </c>
      <c r="L22" s="26">
        <f>'Budget 2026'!I51</f>
        <v>4849.4372717189317</v>
      </c>
      <c r="M22" s="26">
        <f>'Budget 2026'!J51</f>
        <v>4894.4026968678427</v>
      </c>
      <c r="N22" s="424">
        <f>'Budget 2026'!K51</f>
        <v>4923.9059410593327</v>
      </c>
      <c r="O22" s="424">
        <f>'Budget 2026'!L51</f>
        <v>4926.535881423968</v>
      </c>
      <c r="P22" s="424">
        <f>'Budget 2026'!M51</f>
        <v>4970.0991126342351</v>
      </c>
      <c r="Q22" s="425">
        <f>'Budget 2026'!N51</f>
        <v>57337.815500740209</v>
      </c>
      <c r="R22" s="111">
        <f t="shared" ref="R22:R32" si="6">Q22/$Q$19</f>
        <v>3.0513614394266576E-2</v>
      </c>
      <c r="S22" s="257">
        <f>S19*3%</f>
        <v>63473.248800000008</v>
      </c>
      <c r="T22" s="111">
        <f t="shared" ref="T22:T31" si="7">S22/S$17</f>
        <v>3.3530504797185175E-2</v>
      </c>
      <c r="U22" s="115">
        <f>S22*(1+$U$7)</f>
        <v>64742.713776000011</v>
      </c>
      <c r="V22" s="111">
        <f>U22/U$17</f>
        <v>3.3204965915659107E-2</v>
      </c>
      <c r="W22" s="115">
        <f>U22*(1+$U$7)</f>
        <v>66037.568051520007</v>
      </c>
      <c r="X22" s="111">
        <f>W22/W$17</f>
        <v>3.288258760579834E-2</v>
      </c>
      <c r="Y22" s="115">
        <f>W22*(1+$U$7)</f>
        <v>67358.319412550409</v>
      </c>
      <c r="Z22" s="111">
        <f>Y22/Y$17</f>
        <v>3.256333918244108E-2</v>
      </c>
      <c r="AA22" s="1"/>
      <c r="AB22" s="280" t="s">
        <v>713</v>
      </c>
      <c r="AC22" s="411">
        <f>SUM(AC20:AC21)</f>
        <v>3072938.3467249144</v>
      </c>
      <c r="AD22" s="1"/>
      <c r="AN22" s="27" t="s">
        <v>301</v>
      </c>
      <c r="AO22" s="122">
        <v>13112.8</v>
      </c>
      <c r="AP22" s="122">
        <v>13988.72</v>
      </c>
      <c r="AQ22" s="122">
        <v>17456.189999999999</v>
      </c>
      <c r="AR22" s="122">
        <v>13773.1</v>
      </c>
      <c r="AS22" s="122">
        <v>14839</v>
      </c>
      <c r="AT22" s="122">
        <v>14839</v>
      </c>
      <c r="AU22" s="122">
        <v>14839</v>
      </c>
      <c r="AV22" s="122">
        <v>14839</v>
      </c>
      <c r="AW22" s="122">
        <v>14839</v>
      </c>
    </row>
    <row r="23" spans="1:49" ht="15" customHeight="1" thickBot="1">
      <c r="A23" s="28" t="s">
        <v>708</v>
      </c>
      <c r="B23" s="128">
        <f>-B20*1.5%</f>
        <v>-185494.99440141802</v>
      </c>
      <c r="C23" s="1"/>
      <c r="D23" s="1" t="s">
        <v>194</v>
      </c>
      <c r="E23" s="26">
        <f>'Budget 2026'!B96</f>
        <v>3562</v>
      </c>
      <c r="F23" s="26">
        <f>'Budget 2026'!C77</f>
        <v>3093.77</v>
      </c>
      <c r="G23" s="26">
        <f>'Budget 2026'!D77</f>
        <v>2297.0500000000002</v>
      </c>
      <c r="H23" s="26">
        <f>'Budget 2026'!E77</f>
        <v>7597.05</v>
      </c>
      <c r="I23" s="26">
        <f>'Budget 2026'!F77</f>
        <v>2997.3999999999996</v>
      </c>
      <c r="J23" s="26">
        <f>'Budget 2026'!G77</f>
        <v>2297.0500000000002</v>
      </c>
      <c r="K23" s="26">
        <f>'Budget 2026'!H77</f>
        <v>2297.0500000000002</v>
      </c>
      <c r="L23" s="26">
        <f>'Budget 2026'!I77</f>
        <v>4497.0499999999993</v>
      </c>
      <c r="M23" s="26">
        <f>'Budget 2026'!J77</f>
        <v>2597.0500000000002</v>
      </c>
      <c r="N23" s="424">
        <f>'Budget 2026'!K77</f>
        <v>2297.0500000000002</v>
      </c>
      <c r="O23" s="424">
        <f>'Budget 2026'!L77</f>
        <v>2723.1499999999996</v>
      </c>
      <c r="P23" s="424">
        <f>'Budget 2026'!M77</f>
        <v>2297.0500000000002</v>
      </c>
      <c r="Q23" s="425">
        <f>'Budget 2026'!N77</f>
        <v>37771.769999999997</v>
      </c>
      <c r="R23" s="111">
        <f t="shared" si="6"/>
        <v>2.0101101074456652E-2</v>
      </c>
      <c r="S23" s="257">
        <f t="shared" ref="S23:S31" si="8">Q23*(1+S$7)</f>
        <v>38527.205399999999</v>
      </c>
      <c r="T23" s="111">
        <f t="shared" si="7"/>
        <v>2.0352458238861067E-2</v>
      </c>
      <c r="U23" s="115">
        <f t="shared" ref="U23:U26" si="9">S23*(1+$U$7)</f>
        <v>39297.749508000001</v>
      </c>
      <c r="V23" s="111">
        <f t="shared" ref="V23:X27" si="10">U23/U$17</f>
        <v>2.015486155693038E-2</v>
      </c>
      <c r="W23" s="115">
        <f t="shared" ref="W23:W26" si="11">U23*(1+$U$7)</f>
        <v>40083.704498160005</v>
      </c>
      <c r="X23" s="111">
        <f t="shared" si="10"/>
        <v>1.995918328938737E-2</v>
      </c>
      <c r="Y23" s="115">
        <f t="shared" ref="Y23:Y27" si="12">W23*(1+$U$7)</f>
        <v>40885.378588123203</v>
      </c>
      <c r="Z23" s="111">
        <f t="shared" ref="Z23" si="13">Y23/Y$17</f>
        <v>1.9765404810849631E-2</v>
      </c>
      <c r="AA23" s="1"/>
      <c r="AB23" s="280" t="s">
        <v>714</v>
      </c>
      <c r="AC23" s="283">
        <f>SUM(AC20:AC21)*70%</f>
        <v>2151056.8427074398</v>
      </c>
      <c r="AD23" s="1"/>
      <c r="AN23" s="124" t="s">
        <v>495</v>
      </c>
      <c r="AO23" s="125">
        <f t="shared" ref="AO23:AW23" si="14">SUM(AO21:AO22)</f>
        <v>98660.999999999985</v>
      </c>
      <c r="AP23" s="125">
        <f t="shared" si="14"/>
        <v>116970.07</v>
      </c>
      <c r="AQ23" s="125">
        <f t="shared" si="14"/>
        <v>138500.12</v>
      </c>
      <c r="AR23" s="125">
        <f t="shared" si="14"/>
        <v>130429.84999999999</v>
      </c>
      <c r="AS23" s="125">
        <f t="shared" si="14"/>
        <v>141412</v>
      </c>
      <c r="AT23" s="125">
        <f t="shared" si="14"/>
        <v>141412</v>
      </c>
      <c r="AU23" s="125">
        <f t="shared" si="14"/>
        <v>143412</v>
      </c>
      <c r="AV23" s="125">
        <f t="shared" si="14"/>
        <v>146412</v>
      </c>
      <c r="AW23" s="125">
        <f t="shared" si="14"/>
        <v>148412</v>
      </c>
    </row>
    <row r="24" spans="1:49" ht="15" customHeight="1" thickTop="1">
      <c r="A24" s="28" t="s">
        <v>707</v>
      </c>
      <c r="B24" s="128">
        <f>-(B10*300)/2</f>
        <v>-19050</v>
      </c>
      <c r="C24" s="1"/>
      <c r="D24" s="1" t="s">
        <v>197</v>
      </c>
      <c r="E24" s="26">
        <f>'Budget 2026'!B122</f>
        <v>5573.66</v>
      </c>
      <c r="F24" s="26">
        <f>'Budget 2026'!C122</f>
        <v>4898.0400000000009</v>
      </c>
      <c r="G24" s="26">
        <f>'Budget 2026'!D122</f>
        <v>4898.0400000000009</v>
      </c>
      <c r="H24" s="26">
        <f>'Budget 2026'!E122</f>
        <v>5573.66</v>
      </c>
      <c r="I24" s="26">
        <f>'Budget 2026'!F122</f>
        <v>4898.0400000000009</v>
      </c>
      <c r="J24" s="26">
        <f>'Budget 2026'!G122</f>
        <v>4898.0400000000009</v>
      </c>
      <c r="K24" s="26">
        <f>'Budget 2026'!H122</f>
        <v>5573.66</v>
      </c>
      <c r="L24" s="26">
        <f>'Budget 2026'!I122</f>
        <v>4898.0400000000009</v>
      </c>
      <c r="M24" s="26">
        <f>'Budget 2026'!J122</f>
        <v>4898.0400000000009</v>
      </c>
      <c r="N24" s="424">
        <f>'Budget 2026'!K122</f>
        <v>5573.66</v>
      </c>
      <c r="O24" s="424">
        <f>'Budget 2026'!L122</f>
        <v>6973.17</v>
      </c>
      <c r="P24" s="424">
        <f>'Budget 2026'!M122</f>
        <v>4898.0400000000009</v>
      </c>
      <c r="Q24" s="425">
        <f>SUM(E24:P24)</f>
        <v>63554.090000000004</v>
      </c>
      <c r="R24" s="111">
        <f t="shared" si="6"/>
        <v>3.382174536128741E-2</v>
      </c>
      <c r="S24" s="257">
        <f t="shared" si="8"/>
        <v>64825.171800000004</v>
      </c>
      <c r="T24" s="111">
        <f t="shared" si="7"/>
        <v>3.4244674333075147E-2</v>
      </c>
      <c r="U24" s="115">
        <f t="shared" si="9"/>
        <v>66121.67523600001</v>
      </c>
      <c r="V24" s="111">
        <f t="shared" si="10"/>
        <v>3.3912201766734616E-2</v>
      </c>
      <c r="W24" s="115">
        <f t="shared" si="11"/>
        <v>67444.10874072001</v>
      </c>
      <c r="X24" s="111">
        <f t="shared" si="10"/>
        <v>3.3582957089387681E-2</v>
      </c>
      <c r="Y24" s="115">
        <f t="shared" si="12"/>
        <v>68792.990915534407</v>
      </c>
      <c r="Z24" s="111">
        <f t="shared" ref="Z24" si="15">Y24/Y$17</f>
        <v>3.325690896230625E-2</v>
      </c>
      <c r="AA24" s="1"/>
      <c r="AB24" s="288" t="s">
        <v>715</v>
      </c>
      <c r="AC24" s="289">
        <f>SUM(AC20:AC21)*30%</f>
        <v>921881.50401747425</v>
      </c>
      <c r="AD24" s="1"/>
      <c r="AO24" s="22" t="s">
        <v>463</v>
      </c>
      <c r="AW24" s="1"/>
    </row>
    <row r="25" spans="1:49" ht="15" customHeight="1">
      <c r="C25" s="1"/>
      <c r="D25" s="1" t="s">
        <v>276</v>
      </c>
      <c r="E25" s="26">
        <f>'Budget 2026'!B110</f>
        <v>3327</v>
      </c>
      <c r="F25" s="26">
        <f>'Budget 2026'!C110</f>
        <v>3327</v>
      </c>
      <c r="G25" s="26">
        <f>'Budget 2026'!D110</f>
        <v>3327</v>
      </c>
      <c r="H25" s="26">
        <f>'Budget 2026'!E110</f>
        <v>3327</v>
      </c>
      <c r="I25" s="26">
        <f>'Budget 2026'!F110</f>
        <v>3327</v>
      </c>
      <c r="J25" s="26">
        <f>'Budget 2026'!G110</f>
        <v>3327</v>
      </c>
      <c r="K25" s="26">
        <f>'Budget 2026'!H110</f>
        <v>3327</v>
      </c>
      <c r="L25" s="26">
        <f>'Budget 2026'!I110</f>
        <v>3327</v>
      </c>
      <c r="M25" s="26">
        <f>'Budget 2026'!J110</f>
        <v>3327</v>
      </c>
      <c r="N25" s="424">
        <f>'Budget 2026'!K110</f>
        <v>3327</v>
      </c>
      <c r="O25" s="424">
        <f>'Budget 2026'!L110</f>
        <v>3327</v>
      </c>
      <c r="P25" s="424">
        <f>'Budget 2026'!M110</f>
        <v>3327</v>
      </c>
      <c r="Q25" s="425">
        <f>SUM(E25:P25)</f>
        <v>39924</v>
      </c>
      <c r="R25" s="111">
        <f t="shared" si="6"/>
        <v>2.1246458910890526E-2</v>
      </c>
      <c r="S25" s="257">
        <f t="shared" si="8"/>
        <v>40722.480000000003</v>
      </c>
      <c r="T25" s="111">
        <f t="shared" si="7"/>
        <v>2.1512138370224358E-2</v>
      </c>
      <c r="U25" s="115">
        <f t="shared" si="9"/>
        <v>41536.929600000003</v>
      </c>
      <c r="V25" s="111">
        <f t="shared" si="10"/>
        <v>2.1303282657892084E-2</v>
      </c>
      <c r="W25" s="115">
        <f t="shared" si="11"/>
        <v>42367.668192000005</v>
      </c>
      <c r="X25" s="111">
        <f t="shared" si="10"/>
        <v>2.1096454670922259E-2</v>
      </c>
      <c r="Y25" s="115">
        <f t="shared" si="12"/>
        <v>43215.021555840009</v>
      </c>
      <c r="Z25" s="111">
        <f t="shared" ref="Z25" si="16">Y25/Y$17</f>
        <v>2.0891634722660885E-2</v>
      </c>
      <c r="AA25" s="1"/>
      <c r="AO25" s="106" t="s">
        <v>464</v>
      </c>
      <c r="AW25" s="1"/>
    </row>
    <row r="26" spans="1:49" ht="15" customHeight="1">
      <c r="C26" s="1"/>
      <c r="D26" s="1" t="s">
        <v>278</v>
      </c>
      <c r="E26" s="26">
        <f>'Budget 2026'!B86</f>
        <v>2210</v>
      </c>
      <c r="F26" s="26">
        <f>'Budget 2026'!C86</f>
        <v>2210</v>
      </c>
      <c r="G26" s="26">
        <f>'Budget 2026'!D86</f>
        <v>1610</v>
      </c>
      <c r="H26" s="26">
        <f>'Budget 2026'!E86</f>
        <v>3110</v>
      </c>
      <c r="I26" s="26">
        <f>'Budget 2026'!F86</f>
        <v>1910</v>
      </c>
      <c r="J26" s="26">
        <f>'Budget 2026'!G86</f>
        <v>1910</v>
      </c>
      <c r="K26" s="26">
        <f>'Budget 2026'!H86</f>
        <v>2510</v>
      </c>
      <c r="L26" s="26">
        <f>'Budget 2026'!I86</f>
        <v>5210</v>
      </c>
      <c r="M26" s="26">
        <f>'Budget 2026'!J86</f>
        <v>2810</v>
      </c>
      <c r="N26" s="424">
        <f>'Budget 2026'!K86</f>
        <v>2760</v>
      </c>
      <c r="O26" s="424">
        <f>'Budget 2026'!L86</f>
        <v>2510</v>
      </c>
      <c r="P26" s="424">
        <f>'Budget 2026'!M86</f>
        <v>3110</v>
      </c>
      <c r="Q26" s="425">
        <f t="shared" ref="Q26:Q31" si="17">SUM(E26:P26)</f>
        <v>31870</v>
      </c>
      <c r="R26" s="111">
        <f t="shared" si="6"/>
        <v>1.6960340784743039E-2</v>
      </c>
      <c r="S26" s="257">
        <f t="shared" si="8"/>
        <v>32507.4</v>
      </c>
      <c r="T26" s="111">
        <f t="shared" si="7"/>
        <v>1.7172423851794669E-2</v>
      </c>
      <c r="U26" s="115">
        <f t="shared" si="9"/>
        <v>33157.548000000003</v>
      </c>
      <c r="V26" s="111">
        <f t="shared" si="10"/>
        <v>1.7005701290126761E-2</v>
      </c>
      <c r="W26" s="115">
        <f t="shared" si="11"/>
        <v>33820.698960000002</v>
      </c>
      <c r="X26" s="111">
        <f t="shared" si="10"/>
        <v>1.6840597394106111E-2</v>
      </c>
      <c r="Y26" s="115">
        <f t="shared" si="12"/>
        <v>34497.1129392</v>
      </c>
      <c r="Z26" s="111">
        <f t="shared" ref="Z26" si="18">Y26/Y$17</f>
        <v>1.6677096448532266E-2</v>
      </c>
      <c r="AA26" s="1"/>
      <c r="AN26" s="112" t="s">
        <v>244</v>
      </c>
      <c r="AO26" s="112" t="s">
        <v>497</v>
      </c>
      <c r="AP26" s="113"/>
      <c r="AQ26" s="113"/>
      <c r="AW26" s="1"/>
    </row>
    <row r="27" spans="1:49" ht="15" customHeight="1">
      <c r="C27" s="1"/>
      <c r="D27" s="1" t="s">
        <v>49</v>
      </c>
      <c r="E27" s="26">
        <f>'Budget 2026'!B131</f>
        <v>5028.88</v>
      </c>
      <c r="F27" s="26">
        <f>'Budget 2026'!C131</f>
        <v>5028.88</v>
      </c>
      <c r="G27" s="26">
        <f>'Budget 2026'!D131</f>
        <v>5028.88</v>
      </c>
      <c r="H27" s="26">
        <f>'Budget 2026'!E131</f>
        <v>5028.88</v>
      </c>
      <c r="I27" s="26">
        <f>'Budget 2026'!F131</f>
        <v>5028.88</v>
      </c>
      <c r="J27" s="26">
        <f>'Budget 2026'!G131</f>
        <v>5028.88</v>
      </c>
      <c r="K27" s="26">
        <f>'Budget 2026'!H131</f>
        <v>5028.88</v>
      </c>
      <c r="L27" s="26">
        <f>'Budget 2026'!I131</f>
        <v>5028.88</v>
      </c>
      <c r="M27" s="26">
        <f>'Budget 2026'!J131</f>
        <v>5028.88</v>
      </c>
      <c r="N27" s="424">
        <f>'Budget 2026'!K131</f>
        <v>5028.88</v>
      </c>
      <c r="O27" s="424">
        <f>'Budget 2026'!L131</f>
        <v>5028.88</v>
      </c>
      <c r="P27" s="424">
        <f>'Budget 2026'!M131</f>
        <v>5028.88</v>
      </c>
      <c r="Q27" s="425">
        <f t="shared" si="17"/>
        <v>60346.55999999999</v>
      </c>
      <c r="R27" s="111">
        <f t="shared" si="6"/>
        <v>3.2114785779320448E-2</v>
      </c>
      <c r="S27" s="257">
        <f t="shared" si="8"/>
        <v>61553.491199999989</v>
      </c>
      <c r="T27" s="111">
        <f t="shared" si="7"/>
        <v>3.2516369824843357E-2</v>
      </c>
      <c r="U27" s="115">
        <f t="shared" ref="U27" si="19">S27*(1+$U$7)</f>
        <v>62784.561023999988</v>
      </c>
      <c r="V27" s="111">
        <f t="shared" si="10"/>
        <v>3.2200676913922553E-2</v>
      </c>
      <c r="W27" s="115">
        <f t="shared" ref="W27" si="20">U27*(1+$U$7)</f>
        <v>64040.252244479991</v>
      </c>
      <c r="X27" s="111">
        <f t="shared" si="10"/>
        <v>3.1888048982719422E-2</v>
      </c>
      <c r="Y27" s="115">
        <f t="shared" si="12"/>
        <v>65321.057289369593</v>
      </c>
      <c r="Z27" s="111">
        <f t="shared" ref="Z27" si="21">Y27/Y$17</f>
        <v>3.1578456274149333E-2</v>
      </c>
      <c r="AA27" s="1"/>
      <c r="AN27" s="1" t="s">
        <v>194</v>
      </c>
      <c r="AO27" s="130">
        <v>31392.720000000001</v>
      </c>
      <c r="AP27" s="131"/>
      <c r="AQ27" s="131"/>
      <c r="AW27" s="1"/>
    </row>
    <row r="28" spans="1:49" ht="15" customHeight="1">
      <c r="A28" s="28" t="s">
        <v>611</v>
      </c>
      <c r="B28" s="274">
        <f>SUM(B22:B26)</f>
        <v>-11104543.994401418</v>
      </c>
      <c r="C28" s="1"/>
      <c r="D28" s="1" t="s">
        <v>286</v>
      </c>
      <c r="E28" s="26">
        <f>'Budget 2026'!B77</f>
        <v>2781.05</v>
      </c>
      <c r="F28" s="26">
        <f>'Budget 2026'!C77</f>
        <v>3093.77</v>
      </c>
      <c r="G28" s="26">
        <f>'Budget 2026'!D77</f>
        <v>2297.0500000000002</v>
      </c>
      <c r="H28" s="26">
        <f>'Budget 2026'!E77</f>
        <v>7597.05</v>
      </c>
      <c r="I28" s="26">
        <f>'Budget 2026'!F77</f>
        <v>2997.3999999999996</v>
      </c>
      <c r="J28" s="26">
        <f>'Budget 2026'!G77</f>
        <v>2297.0500000000002</v>
      </c>
      <c r="K28" s="26">
        <f>'Budget 2026'!H77</f>
        <v>2297.0500000000002</v>
      </c>
      <c r="L28" s="26">
        <f>'Budget 2026'!I77</f>
        <v>4497.0499999999993</v>
      </c>
      <c r="M28" s="26">
        <f>'Budget 2026'!J77</f>
        <v>2597.0500000000002</v>
      </c>
      <c r="N28" s="424">
        <f>'Budget 2026'!K77</f>
        <v>2297.0500000000002</v>
      </c>
      <c r="O28" s="424">
        <f>'Budget 2026'!L77</f>
        <v>2723.1499999999996</v>
      </c>
      <c r="P28" s="424">
        <f>'Budget 2026'!M77</f>
        <v>2297.0500000000002</v>
      </c>
      <c r="Q28" s="425">
        <f t="shared" si="17"/>
        <v>37771.769999999997</v>
      </c>
      <c r="R28" s="111">
        <f t="shared" si="6"/>
        <v>2.0101101074456652E-2</v>
      </c>
      <c r="S28" s="257">
        <f t="shared" si="8"/>
        <v>38527.205399999999</v>
      </c>
      <c r="T28" s="111">
        <f t="shared" si="7"/>
        <v>2.0352458238861067E-2</v>
      </c>
      <c r="U28" s="115">
        <f>S28*(1+$U$7)</f>
        <v>39297.749508000001</v>
      </c>
      <c r="V28" s="111">
        <f t="shared" ref="V28:X31" si="22">U28/U$17</f>
        <v>2.015486155693038E-2</v>
      </c>
      <c r="W28" s="115">
        <f>U28*(1+$U$7)</f>
        <v>40083.704498160005</v>
      </c>
      <c r="X28" s="111">
        <f t="shared" si="22"/>
        <v>1.995918328938737E-2</v>
      </c>
      <c r="Y28" s="115">
        <f>W28*(1+$U$7)</f>
        <v>40885.378588123203</v>
      </c>
      <c r="Z28" s="111">
        <f t="shared" ref="Z28" si="23">Y28/Y$17</f>
        <v>1.9765404810849631E-2</v>
      </c>
      <c r="AA28" s="1"/>
      <c r="AN28" s="1" t="s">
        <v>197</v>
      </c>
      <c r="AO28" s="130">
        <v>66947.02</v>
      </c>
      <c r="AP28" s="131"/>
      <c r="AQ28" s="131"/>
      <c r="AW28" s="1"/>
    </row>
    <row r="29" spans="1:49" ht="16" thickBot="1">
      <c r="A29" s="28" t="s">
        <v>600</v>
      </c>
      <c r="B29" s="129">
        <f>SUM(B20:B26)</f>
        <v>1261788.9656931176</v>
      </c>
      <c r="C29" s="1"/>
      <c r="D29" s="1" t="s">
        <v>245</v>
      </c>
      <c r="E29" s="26">
        <f>'Budget 2026'!B133</f>
        <v>8500</v>
      </c>
      <c r="F29" s="26">
        <f>'Budget 2026'!C133</f>
        <v>8500</v>
      </c>
      <c r="G29" s="26">
        <f>'Budget 2026'!D133</f>
        <v>8500</v>
      </c>
      <c r="H29" s="26">
        <f>'Budget 2026'!E133</f>
        <v>8500</v>
      </c>
      <c r="I29" s="26">
        <f>'Budget 2026'!F133</f>
        <v>8500</v>
      </c>
      <c r="J29" s="26">
        <f>'Budget 2026'!G133</f>
        <v>8500</v>
      </c>
      <c r="K29" s="26">
        <f>'Budget 2026'!H133</f>
        <v>8500</v>
      </c>
      <c r="L29" s="26">
        <f>'Budget 2026'!I133</f>
        <v>8500</v>
      </c>
      <c r="M29" s="26">
        <f>'Budget 2026'!J133</f>
        <v>8500</v>
      </c>
      <c r="N29" s="424">
        <f>'Budget 2026'!K133</f>
        <v>8500</v>
      </c>
      <c r="O29" s="424">
        <f>'Budget 2026'!L133</f>
        <v>8500</v>
      </c>
      <c r="P29" s="424">
        <f>'Budget 2026'!M133</f>
        <v>8500</v>
      </c>
      <c r="Q29" s="425">
        <f t="shared" si="17"/>
        <v>102000</v>
      </c>
      <c r="R29" s="111">
        <f t="shared" si="6"/>
        <v>5.4281605272789142E-2</v>
      </c>
      <c r="S29" s="257">
        <f t="shared" si="8"/>
        <v>104040</v>
      </c>
      <c r="T29" s="111">
        <f t="shared" si="7"/>
        <v>5.4960377561438845E-2</v>
      </c>
      <c r="U29" s="115">
        <f>S29*(1+$U$7)</f>
        <v>106120.8</v>
      </c>
      <c r="V29" s="111">
        <f t="shared" si="22"/>
        <v>5.4426781662784106E-2</v>
      </c>
      <c r="W29" s="115">
        <f>U29*(1+$U$7)</f>
        <v>108243.216</v>
      </c>
      <c r="X29" s="111">
        <f t="shared" si="22"/>
        <v>5.3898366306834748E-2</v>
      </c>
      <c r="Y29" s="115">
        <f>W29*(1+$U$7)</f>
        <v>110408.08032000001</v>
      </c>
      <c r="Z29" s="111">
        <f t="shared" ref="Z29" si="24">Y29/Y$17</f>
        <v>5.3375081197059658E-2</v>
      </c>
      <c r="AA29" s="1"/>
      <c r="AB29" s="293" t="s">
        <v>503</v>
      </c>
      <c r="AC29" s="294" t="s">
        <v>702</v>
      </c>
      <c r="AD29" s="294" t="s">
        <v>504</v>
      </c>
      <c r="AE29" s="294" t="s">
        <v>505</v>
      </c>
      <c r="AF29" s="294" t="s">
        <v>506</v>
      </c>
      <c r="AG29" s="294" t="s">
        <v>616</v>
      </c>
      <c r="AH29" s="294" t="s">
        <v>619</v>
      </c>
      <c r="AI29" s="295" t="s">
        <v>5</v>
      </c>
      <c r="AN29" s="1" t="s">
        <v>276</v>
      </c>
      <c r="AO29" s="130">
        <v>66031.47</v>
      </c>
      <c r="AP29" s="131"/>
      <c r="AQ29" s="131"/>
      <c r="AW29" s="1"/>
    </row>
    <row r="30" spans="1:49" ht="15" customHeight="1" thickTop="1">
      <c r="A30" s="132" t="s">
        <v>498</v>
      </c>
      <c r="B30" s="133"/>
      <c r="C30" s="1" t="str">
        <f>IF(B35&gt;=B11,"OK","DSCR FAIL")</f>
        <v>OK</v>
      </c>
      <c r="D30" s="1" t="s">
        <v>289</v>
      </c>
      <c r="E30" s="26">
        <f>'Budget 2026'!B134</f>
        <v>12640</v>
      </c>
      <c r="F30" s="26">
        <f>'Budget 2026'!C134</f>
        <v>12640</v>
      </c>
      <c r="G30" s="26">
        <f>'Budget 2026'!D134</f>
        <v>12640</v>
      </c>
      <c r="H30" s="26">
        <f>'Budget 2026'!E134</f>
        <v>12640</v>
      </c>
      <c r="I30" s="26">
        <f>'Budget 2026'!F134</f>
        <v>12640</v>
      </c>
      <c r="J30" s="26">
        <f>'Budget 2026'!G134</f>
        <v>12640</v>
      </c>
      <c r="K30" s="26">
        <f>'Budget 2026'!H134</f>
        <v>12640</v>
      </c>
      <c r="L30" s="26">
        <f>'Budget 2026'!I134</f>
        <v>12640</v>
      </c>
      <c r="M30" s="26">
        <f>'Budget 2026'!J134</f>
        <v>12640</v>
      </c>
      <c r="N30" s="424">
        <f>'Budget 2026'!K134</f>
        <v>12640</v>
      </c>
      <c r="O30" s="424">
        <f>'Budget 2026'!L134</f>
        <v>12640</v>
      </c>
      <c r="P30" s="424">
        <f>'Budget 2026'!M134</f>
        <v>12640</v>
      </c>
      <c r="Q30" s="425">
        <f t="shared" si="17"/>
        <v>151680</v>
      </c>
      <c r="R30" s="111">
        <f t="shared" si="6"/>
        <v>8.0719940076241739E-2</v>
      </c>
      <c r="S30" s="257">
        <f t="shared" si="8"/>
        <v>154713.60000000001</v>
      </c>
      <c r="T30" s="111">
        <f t="shared" si="7"/>
        <v>8.1729314397245539E-2</v>
      </c>
      <c r="U30" s="115">
        <f>S30*(1+$U$7)</f>
        <v>157807.872</v>
      </c>
      <c r="V30" s="111">
        <f t="shared" si="22"/>
        <v>8.0935825907951897E-2</v>
      </c>
      <c r="W30" s="115">
        <f>U30*(1+$U$7)</f>
        <v>160964.02944000001</v>
      </c>
      <c r="X30" s="111">
        <f t="shared" si="22"/>
        <v>8.0150041190398966E-2</v>
      </c>
      <c r="Y30" s="115">
        <f>W30*(1+$U$7)</f>
        <v>164183.31002880001</v>
      </c>
      <c r="Z30" s="111">
        <f t="shared" ref="Z30" si="25">Y30/Y$17</f>
        <v>7.9371885450686366E-2</v>
      </c>
      <c r="AA30" s="1"/>
      <c r="AB30" s="450">
        <v>45292</v>
      </c>
      <c r="AC30" s="269">
        <v>-6047500</v>
      </c>
      <c r="AD30" s="275">
        <v>0</v>
      </c>
      <c r="AE30" s="275">
        <v>0</v>
      </c>
      <c r="AF30" s="427">
        <v>0</v>
      </c>
      <c r="AG30" s="296">
        <v>0</v>
      </c>
      <c r="AH30" s="275"/>
      <c r="AI30" s="283">
        <f>AC30</f>
        <v>-6047500</v>
      </c>
      <c r="AN30" s="1" t="s">
        <v>278</v>
      </c>
      <c r="AO30" s="130">
        <v>40300.19</v>
      </c>
      <c r="AP30" s="131"/>
      <c r="AQ30" s="131"/>
      <c r="AW30" s="1"/>
    </row>
    <row r="31" spans="1:49" ht="15" customHeight="1">
      <c r="A31" s="28" t="s">
        <v>499</v>
      </c>
      <c r="B31" s="117">
        <f>PMT(B13/12,30*12,B20)*12</f>
        <v>-821287.41098244803</v>
      </c>
      <c r="C31" s="1"/>
      <c r="D31" s="1" t="s">
        <v>201</v>
      </c>
      <c r="E31" s="26">
        <f>'Budget 2026'!B151</f>
        <v>12241.7</v>
      </c>
      <c r="F31" s="26">
        <f>'Budget 2026'!C151</f>
        <v>12241.7</v>
      </c>
      <c r="G31" s="26">
        <f>'Budget 2026'!D151</f>
        <v>12991.7</v>
      </c>
      <c r="H31" s="26">
        <f>'Budget 2026'!E151</f>
        <v>12241.7</v>
      </c>
      <c r="I31" s="26">
        <f>'Budget 2026'!F151</f>
        <v>12241.7</v>
      </c>
      <c r="J31" s="26">
        <f>'Budget 2026'!G151</f>
        <v>12991.7</v>
      </c>
      <c r="K31" s="26">
        <f>'Budget 2026'!H151</f>
        <v>12241.7</v>
      </c>
      <c r="L31" s="26">
        <f>'Budget 2026'!I151</f>
        <v>12241.7</v>
      </c>
      <c r="M31" s="26">
        <f>'Budget 2026'!J151</f>
        <v>12991.7</v>
      </c>
      <c r="N31" s="424">
        <f>'Budget 2026'!K151</f>
        <v>12241.7</v>
      </c>
      <c r="O31" s="424">
        <f>'Budget 2026'!L151</f>
        <v>12241.7</v>
      </c>
      <c r="P31" s="424">
        <f>'Budget 2026'!M151</f>
        <v>15491.7</v>
      </c>
      <c r="Q31" s="425">
        <f t="shared" si="17"/>
        <v>152400.4</v>
      </c>
      <c r="R31" s="111">
        <f t="shared" si="6"/>
        <v>8.1103317217795817E-2</v>
      </c>
      <c r="S31" s="257">
        <f t="shared" si="8"/>
        <v>155448.408</v>
      </c>
      <c r="T31" s="111">
        <f t="shared" si="7"/>
        <v>8.2117485534453957E-2</v>
      </c>
      <c r="U31" s="115">
        <f>S31*(1+$U$7)</f>
        <v>158557.37615999999</v>
      </c>
      <c r="V31" s="111">
        <f t="shared" si="22"/>
        <v>8.1320228393342769E-2</v>
      </c>
      <c r="W31" s="115">
        <f>U31*(1+$U$7)</f>
        <v>161728.52368319998</v>
      </c>
      <c r="X31" s="111">
        <f t="shared" si="22"/>
        <v>8.0530711612824865E-2</v>
      </c>
      <c r="Y31" s="115">
        <f>W31*(1+$U$7)</f>
        <v>164963.09415686398</v>
      </c>
      <c r="Z31" s="111">
        <f t="shared" ref="Z31" si="26">Y31/Y$17</f>
        <v>7.9748860043768327E-2</v>
      </c>
      <c r="AA31" s="1"/>
      <c r="AB31" s="450">
        <v>45658</v>
      </c>
      <c r="AC31" s="268"/>
      <c r="AD31" s="275">
        <v>0</v>
      </c>
      <c r="AE31" s="275">
        <v>0</v>
      </c>
      <c r="AF31" s="427">
        <v>0</v>
      </c>
      <c r="AG31" s="296">
        <v>0</v>
      </c>
      <c r="AH31" s="275"/>
      <c r="AI31" s="286">
        <v>0</v>
      </c>
      <c r="AJ31" s="1"/>
      <c r="AN31" s="1" t="s">
        <v>49</v>
      </c>
      <c r="AO31" s="134"/>
      <c r="AP31" s="131"/>
      <c r="AQ31" s="131"/>
      <c r="AW31" s="1"/>
    </row>
    <row r="32" spans="1:49" ht="15" customHeight="1" thickBot="1">
      <c r="A32" s="28" t="s">
        <v>500</v>
      </c>
      <c r="B32" s="117">
        <f>B31/12</f>
        <v>-68440.617581870669</v>
      </c>
      <c r="C32" s="1"/>
      <c r="D32" s="124" t="s">
        <v>510</v>
      </c>
      <c r="E32" s="419">
        <f t="shared" ref="E32:Q32" si="27">SUM(E22:E31)</f>
        <v>60364.289999999994</v>
      </c>
      <c r="F32" s="419">
        <f t="shared" si="27"/>
        <v>59533.16</v>
      </c>
      <c r="G32" s="419">
        <f t="shared" si="27"/>
        <v>58089.72</v>
      </c>
      <c r="H32" s="419">
        <f t="shared" si="27"/>
        <v>70438.15817297445</v>
      </c>
      <c r="I32" s="419">
        <f t="shared" si="27"/>
        <v>59342.111176071528</v>
      </c>
      <c r="J32" s="419">
        <f t="shared" si="27"/>
        <v>58696.952287200416</v>
      </c>
      <c r="K32" s="419">
        <f t="shared" si="27"/>
        <v>59257.032960789511</v>
      </c>
      <c r="L32" s="419">
        <f t="shared" si="27"/>
        <v>65689.157271718926</v>
      </c>
      <c r="M32" s="419">
        <f t="shared" si="27"/>
        <v>60284.122696867838</v>
      </c>
      <c r="N32" s="419">
        <f t="shared" si="27"/>
        <v>59589.245941059329</v>
      </c>
      <c r="O32" s="419">
        <f t="shared" si="27"/>
        <v>61593.585881423962</v>
      </c>
      <c r="P32" s="419">
        <f t="shared" si="27"/>
        <v>62559.819112634243</v>
      </c>
      <c r="Q32" s="419">
        <f t="shared" si="27"/>
        <v>734656.40550074016</v>
      </c>
      <c r="R32" s="429">
        <f t="shared" si="6"/>
        <v>0.39096400994624797</v>
      </c>
      <c r="S32" s="125">
        <f>SUM(S23:S31)</f>
        <v>690864.96179999993</v>
      </c>
      <c r="T32" s="140">
        <f>S32/S19</f>
        <v>0.32653045567757349</v>
      </c>
      <c r="U32" s="125">
        <f>SUM(U23:U31)</f>
        <v>704682.26103599998</v>
      </c>
      <c r="V32" s="140">
        <f>U32/U$17</f>
        <v>0.36141442170661553</v>
      </c>
      <c r="W32" s="125">
        <f>SUM(W23:W31)</f>
        <v>718775.90625672007</v>
      </c>
      <c r="X32" s="140">
        <f>W32/W$17</f>
        <v>0.35790554382596884</v>
      </c>
      <c r="Y32" s="125">
        <f>SUM(Y23:Y31)</f>
        <v>733151.42438185436</v>
      </c>
      <c r="Z32" s="140">
        <f>Y32/Y$17</f>
        <v>0.35443073272086234</v>
      </c>
      <c r="AA32" s="1"/>
      <c r="AB32" s="450">
        <v>46023</v>
      </c>
      <c r="AC32" s="268"/>
      <c r="AD32" s="275">
        <f>B58</f>
        <v>816788.96569311805</v>
      </c>
      <c r="AE32" s="275">
        <v>0</v>
      </c>
      <c r="AF32" s="427">
        <f>Q57</f>
        <v>72908.643215995544</v>
      </c>
      <c r="AG32" s="296">
        <f>AF32/$AD$37</f>
        <v>1.2055997224637544E-2</v>
      </c>
      <c r="AH32" s="296"/>
      <c r="AI32" s="286">
        <f t="shared" ref="AI32:AI34" si="28">SUM(AD32:AF32)</f>
        <v>889697.60890911357</v>
      </c>
      <c r="AJ32" s="1"/>
      <c r="AN32" s="1" t="s">
        <v>280</v>
      </c>
      <c r="AO32" s="135">
        <v>34323.46</v>
      </c>
      <c r="AP32" s="131"/>
      <c r="AQ32" s="131"/>
      <c r="AW32" s="1"/>
    </row>
    <row r="33" spans="1:49" ht="15" customHeight="1" thickTop="1">
      <c r="A33" s="1" t="s">
        <v>507</v>
      </c>
      <c r="B33" s="111">
        <f>B20/B19</f>
        <v>0.75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68"/>
      <c r="O33" s="268"/>
      <c r="P33" s="268"/>
      <c r="Q33" s="268"/>
      <c r="R33" s="1"/>
      <c r="S33" s="1"/>
      <c r="T33" s="1"/>
      <c r="U33" s="1"/>
      <c r="V33" s="1"/>
      <c r="W33" s="1"/>
      <c r="X33" s="1"/>
      <c r="Y33" s="1"/>
      <c r="Z33" s="1"/>
      <c r="AA33" s="1"/>
      <c r="AB33" s="450">
        <v>46388</v>
      </c>
      <c r="AC33" s="268"/>
      <c r="AD33" s="275">
        <v>0</v>
      </c>
      <c r="AE33" s="275">
        <f>S52</f>
        <v>0</v>
      </c>
      <c r="AF33" s="427">
        <f>S57</f>
        <v>381422.12640211295</v>
      </c>
      <c r="AG33" s="296">
        <f>AF33/$AD$37</f>
        <v>6.3071041984640419E-2</v>
      </c>
      <c r="AH33" s="296"/>
      <c r="AI33" s="286">
        <f t="shared" si="28"/>
        <v>381422.12640211295</v>
      </c>
      <c r="AJ33" s="1"/>
      <c r="AN33" s="1" t="s">
        <v>282</v>
      </c>
      <c r="AO33" s="135"/>
      <c r="AP33" s="131"/>
      <c r="AQ33" s="131"/>
      <c r="AW33" s="1"/>
    </row>
    <row r="34" spans="1:49" ht="15" customHeight="1">
      <c r="A34" s="28" t="s">
        <v>647</v>
      </c>
      <c r="B34" s="351">
        <f>B17/B20</f>
        <v>8.666666666666667E-2</v>
      </c>
      <c r="C34" s="1"/>
      <c r="D34" s="112" t="s">
        <v>204</v>
      </c>
      <c r="E34" s="420">
        <f>E19-E32</f>
        <v>79681.910000000018</v>
      </c>
      <c r="F34" s="420">
        <f>F19-F32</f>
        <v>81876.680000000022</v>
      </c>
      <c r="G34" s="420">
        <f t="shared" ref="G34:P34" si="29">G19-G32</f>
        <v>78283.324425000028</v>
      </c>
      <c r="H34" s="420">
        <f t="shared" si="29"/>
        <v>90322.447592840588</v>
      </c>
      <c r="I34" s="420">
        <f t="shared" si="29"/>
        <v>100714.26135964588</v>
      </c>
      <c r="J34" s="420">
        <f t="shared" si="29"/>
        <v>101544.12395281343</v>
      </c>
      <c r="K34" s="420">
        <f t="shared" si="29"/>
        <v>102132.73239886083</v>
      </c>
      <c r="L34" s="420">
        <f t="shared" si="29"/>
        <v>95958.751785578788</v>
      </c>
      <c r="M34" s="420">
        <f t="shared" si="29"/>
        <v>102862.6338653936</v>
      </c>
      <c r="N34" s="426">
        <f t="shared" si="29"/>
        <v>104540.95209425177</v>
      </c>
      <c r="O34" s="426">
        <f t="shared" si="29"/>
        <v>102624.2768327083</v>
      </c>
      <c r="P34" s="426">
        <f t="shared" si="29"/>
        <v>103110.15130850695</v>
      </c>
      <c r="Q34" s="338">
        <f>Q19-Q32</f>
        <v>1144433.1956156003</v>
      </c>
      <c r="R34" s="430">
        <f>Q34/Q19</f>
        <v>0.60903599005375197</v>
      </c>
      <c r="S34" s="144">
        <f>S19-S32</f>
        <v>1424909.9982000005</v>
      </c>
      <c r="T34" s="430">
        <f>S34/S19</f>
        <v>0.67346954432242656</v>
      </c>
      <c r="U34" s="144">
        <f>U19-U32</f>
        <v>1474565.9477640002</v>
      </c>
      <c r="V34" s="430">
        <f>U34/U19</f>
        <v>0.67663974292123785</v>
      </c>
      <c r="W34" s="144">
        <f>W19-W32</f>
        <v>1525849.7488072803</v>
      </c>
      <c r="X34" s="430">
        <f>W34/W19</f>
        <v>0.67977916289287632</v>
      </c>
      <c r="Y34" s="144">
        <f>Y19-Y32</f>
        <v>1578813.0003340654</v>
      </c>
      <c r="Z34" s="430">
        <f>Y34/Y19</f>
        <v>0.68288810305896486</v>
      </c>
      <c r="AA34" s="1"/>
      <c r="AB34" s="450">
        <v>46753</v>
      </c>
      <c r="AC34" s="268"/>
      <c r="AD34" s="275">
        <v>0</v>
      </c>
      <c r="AE34" s="275">
        <f>U52</f>
        <v>0</v>
      </c>
      <c r="AF34" s="427">
        <f>U57</f>
        <v>415292.66561371268</v>
      </c>
      <c r="AG34" s="296">
        <f>AF34/$AD$37</f>
        <v>6.8671792577711901E-2</v>
      </c>
      <c r="AH34" s="296"/>
      <c r="AI34" s="286">
        <f t="shared" si="28"/>
        <v>415292.66561371268</v>
      </c>
      <c r="AJ34" s="34"/>
      <c r="AN34" s="1" t="s">
        <v>284</v>
      </c>
      <c r="AO34" s="135">
        <v>41380.97</v>
      </c>
      <c r="AP34" s="131"/>
      <c r="AQ34" s="131"/>
      <c r="AW34" s="1"/>
    </row>
    <row r="35" spans="1:49" ht="15" customHeight="1">
      <c r="A35" s="28" t="s">
        <v>274</v>
      </c>
      <c r="B35" s="352">
        <f>B17/ABS(B31)</f>
        <v>1.3049619928539622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68"/>
      <c r="O35" s="268"/>
      <c r="P35" s="268"/>
      <c r="Q35" s="268"/>
      <c r="R35" s="1"/>
      <c r="S35" s="1"/>
      <c r="T35" s="1"/>
      <c r="U35" s="1"/>
      <c r="V35" s="1"/>
      <c r="W35" s="1"/>
      <c r="X35" s="1"/>
      <c r="Y35" s="1"/>
      <c r="Z35" s="1"/>
      <c r="AA35" s="1"/>
      <c r="AB35" s="450">
        <v>47119</v>
      </c>
      <c r="AC35" s="268"/>
      <c r="AD35" s="275">
        <v>0</v>
      </c>
      <c r="AE35" s="275">
        <v>0</v>
      </c>
      <c r="AF35" s="427">
        <f>W57</f>
        <v>450276.0420963128</v>
      </c>
      <c r="AG35" s="296">
        <f>AF35/$AD$37</f>
        <v>7.4456559255281163E-2</v>
      </c>
      <c r="AH35" s="299"/>
      <c r="AI35" s="286">
        <f>AD35+AF35+AH35</f>
        <v>450276.0420963128</v>
      </c>
      <c r="AN35" s="1" t="s">
        <v>286</v>
      </c>
      <c r="AO35" s="130">
        <v>52530.159999999996</v>
      </c>
      <c r="AP35" s="131"/>
      <c r="AQ35" s="131"/>
      <c r="AW35" s="1"/>
    </row>
    <row r="36" spans="1:49" ht="15" customHeight="1">
      <c r="C36" s="1"/>
      <c r="D36" s="112" t="s">
        <v>511</v>
      </c>
      <c r="E36" s="112"/>
      <c r="F36" s="112"/>
      <c r="G36" s="112"/>
      <c r="H36" s="112"/>
      <c r="I36" s="112"/>
      <c r="J36" s="112"/>
      <c r="K36" s="112"/>
      <c r="L36" s="112"/>
      <c r="M36" s="112"/>
      <c r="N36" s="338"/>
      <c r="O36" s="338"/>
      <c r="P36" s="338"/>
      <c r="Q36" s="338"/>
      <c r="R36" s="113"/>
      <c r="S36" s="144"/>
      <c r="T36" s="113"/>
      <c r="U36" s="144"/>
      <c r="V36" s="113"/>
      <c r="W36" s="144"/>
      <c r="X36" s="113"/>
      <c r="Y36" s="144"/>
      <c r="Z36" s="113"/>
      <c r="AA36" s="1"/>
      <c r="AB36" s="450">
        <v>47484</v>
      </c>
      <c r="AD36" s="411">
        <f>AC10</f>
        <v>5230711.0343068819</v>
      </c>
      <c r="AE36" s="275">
        <v>0</v>
      </c>
      <c r="AF36" s="231">
        <f>Y57</f>
        <v>486407.57538993546</v>
      </c>
      <c r="AG36" s="296">
        <f>AF36/$AD$37</f>
        <v>8.0431182371217103E-2</v>
      </c>
      <c r="AH36" s="411">
        <f>AC23</f>
        <v>2151056.8427074398</v>
      </c>
      <c r="AI36" s="286">
        <f>AD36+AF36+AH36</f>
        <v>7868175.4524042569</v>
      </c>
      <c r="AJ36" s="1"/>
      <c r="AN36" s="1" t="s">
        <v>245</v>
      </c>
      <c r="AO36" s="130">
        <v>206902.04</v>
      </c>
      <c r="AP36" s="131"/>
      <c r="AQ36" s="131"/>
      <c r="AW36" s="1"/>
    </row>
    <row r="37" spans="1:49" ht="15" customHeight="1">
      <c r="A37" s="381" t="s">
        <v>596</v>
      </c>
      <c r="B37" s="381"/>
      <c r="C37" s="1"/>
      <c r="D37" s="268" t="s">
        <v>605</v>
      </c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1"/>
      <c r="AB37" s="451"/>
      <c r="AC37" s="291"/>
      <c r="AD37" s="452">
        <f>SUM(AD30:AD36)</f>
        <v>6047500</v>
      </c>
      <c r="AE37" s="452">
        <f>SUM(AE30:AE35)</f>
        <v>0</v>
      </c>
      <c r="AF37" s="436">
        <f>SUM(AF30:AF36)</f>
        <v>1806307.0527180694</v>
      </c>
      <c r="AG37" s="297">
        <f>AVERAGE(AG30:AG36)</f>
        <v>4.2669510487641164E-2</v>
      </c>
      <c r="AH37" s="300"/>
      <c r="AI37" s="292">
        <f>AD37+AE37+AH37</f>
        <v>6047500</v>
      </c>
      <c r="AJ37" s="1"/>
      <c r="AN37" s="1" t="s">
        <v>289</v>
      </c>
      <c r="AO37" s="130">
        <v>164042.76</v>
      </c>
      <c r="AP37" s="131"/>
      <c r="AQ37" s="131"/>
      <c r="AW37" s="1"/>
    </row>
    <row r="38" spans="1:49" ht="15" customHeight="1">
      <c r="A38" s="1" t="s">
        <v>501</v>
      </c>
      <c r="B38" s="115">
        <f>-B20*B13</f>
        <v>-651705.74699698202</v>
      </c>
      <c r="C38" s="1"/>
      <c r="D38" s="268" t="s">
        <v>606</v>
      </c>
      <c r="E38" s="421">
        <v>78585</v>
      </c>
      <c r="F38" s="421">
        <v>78585</v>
      </c>
      <c r="G38" s="421">
        <v>78585</v>
      </c>
      <c r="H38" s="421">
        <v>78585</v>
      </c>
      <c r="I38" s="421">
        <v>78585</v>
      </c>
      <c r="J38" s="421">
        <v>78585</v>
      </c>
      <c r="K38" s="421">
        <v>78585</v>
      </c>
      <c r="L38" s="421">
        <v>78585</v>
      </c>
      <c r="M38" s="421">
        <f>-$B$39</f>
        <v>54308.812249748502</v>
      </c>
      <c r="N38" s="421">
        <f>-$B$39</f>
        <v>54308.812249748502</v>
      </c>
      <c r="O38" s="421">
        <f>-$B$39</f>
        <v>54308.812249748502</v>
      </c>
      <c r="P38" s="421">
        <f>-$B$39</f>
        <v>54308.812249748502</v>
      </c>
      <c r="Q38" s="427">
        <f>SUM(E38:P38)</f>
        <v>845915.24899899401</v>
      </c>
      <c r="R38" s="268"/>
      <c r="S38" s="272">
        <f>-B39*12</f>
        <v>651705.74699698202</v>
      </c>
      <c r="T38" s="268"/>
      <c r="U38" s="272">
        <f>S38</f>
        <v>651705.74699698202</v>
      </c>
      <c r="V38" s="268"/>
      <c r="W38" s="272">
        <f>U38</f>
        <v>651705.74699698202</v>
      </c>
      <c r="X38" s="268"/>
      <c r="Y38" s="272">
        <f>W38</f>
        <v>651705.74699698202</v>
      </c>
      <c r="Z38" s="268"/>
      <c r="AA38" s="1"/>
      <c r="AB38" s="1"/>
      <c r="AC38" s="1"/>
      <c r="AD38" s="1"/>
      <c r="AE38" s="1"/>
      <c r="AG38" s="4"/>
      <c r="AH38" s="4" t="s">
        <v>595</v>
      </c>
      <c r="AI38" s="253">
        <f>XIRR(AI30:AI36, AB30:AB36)</f>
        <v>9.9170440435409568E-2</v>
      </c>
      <c r="AJ38" s="1"/>
      <c r="AN38" s="1" t="s">
        <v>291</v>
      </c>
      <c r="AO38" s="130">
        <v>3951.5</v>
      </c>
      <c r="AP38" s="131"/>
      <c r="AQ38" s="131"/>
      <c r="AW38" s="1"/>
    </row>
    <row r="39" spans="1:49" ht="15" customHeight="1">
      <c r="A39" s="1" t="s">
        <v>502</v>
      </c>
      <c r="B39" s="115">
        <f>B38/12</f>
        <v>-54308.812249748502</v>
      </c>
      <c r="C39" s="1"/>
      <c r="D39" s="268" t="s">
        <v>607</v>
      </c>
      <c r="E39" s="421">
        <f>B67</f>
        <v>0</v>
      </c>
      <c r="F39" s="421">
        <f t="shared" ref="F39:P39" si="30">C67</f>
        <v>0</v>
      </c>
      <c r="G39" s="421">
        <f t="shared" si="30"/>
        <v>0</v>
      </c>
      <c r="H39" s="421">
        <f t="shared" si="30"/>
        <v>0</v>
      </c>
      <c r="I39" s="421">
        <f t="shared" si="30"/>
        <v>0</v>
      </c>
      <c r="J39" s="421">
        <f t="shared" si="30"/>
        <v>0</v>
      </c>
      <c r="K39" s="421">
        <f t="shared" si="30"/>
        <v>0</v>
      </c>
      <c r="L39" s="421">
        <f t="shared" si="30"/>
        <v>0</v>
      </c>
      <c r="M39" s="421">
        <f t="shared" si="30"/>
        <v>0</v>
      </c>
      <c r="N39" s="421">
        <f t="shared" si="30"/>
        <v>0</v>
      </c>
      <c r="O39" s="421">
        <f t="shared" si="30"/>
        <v>0</v>
      </c>
      <c r="P39" s="421">
        <f t="shared" si="30"/>
        <v>0</v>
      </c>
      <c r="Q39" s="427">
        <f>SUM(E39:P39)</f>
        <v>0</v>
      </c>
      <c r="S39" s="272">
        <f>-B67</f>
        <v>0</v>
      </c>
      <c r="U39" s="272">
        <f>-B67</f>
        <v>0</v>
      </c>
      <c r="W39" s="272">
        <f>-D61</f>
        <v>0</v>
      </c>
      <c r="Y39" s="272">
        <f>-F61</f>
        <v>0</v>
      </c>
      <c r="AA39" s="1"/>
      <c r="AJ39" s="1"/>
      <c r="AN39" s="1" t="s">
        <v>201</v>
      </c>
      <c r="AO39" s="130">
        <v>96128.709999999992</v>
      </c>
      <c r="AP39" s="131"/>
      <c r="AQ39" s="131"/>
      <c r="AW39" s="1"/>
    </row>
    <row r="40" spans="1:49" ht="15" customHeight="1">
      <c r="A40" s="1"/>
      <c r="B40" s="1"/>
      <c r="C40" s="1"/>
      <c r="E40" s="244"/>
      <c r="F40" s="244"/>
      <c r="G40" s="244"/>
      <c r="H40" s="244"/>
      <c r="I40" s="244"/>
      <c r="J40" s="244"/>
      <c r="K40" s="244"/>
      <c r="L40" s="244"/>
      <c r="M40" s="244"/>
      <c r="N40" s="432"/>
      <c r="O40" s="432"/>
      <c r="P40" s="432"/>
      <c r="Q40" s="427"/>
      <c r="S40" s="272"/>
      <c r="U40" s="272"/>
      <c r="W40" s="272"/>
      <c r="Y40" s="272"/>
      <c r="AA40" s="1"/>
      <c r="AB40" s="1"/>
      <c r="AC40" s="1"/>
      <c r="AD40" s="1"/>
      <c r="AE40" s="1"/>
      <c r="AF40" s="1"/>
      <c r="AG40" s="1"/>
      <c r="AH40" s="1"/>
      <c r="AI40" s="1"/>
      <c r="AJ40" s="1"/>
      <c r="AN40" s="1" t="s">
        <v>294</v>
      </c>
      <c r="AO40" s="130">
        <v>126907.18</v>
      </c>
      <c r="AP40" s="131"/>
      <c r="AQ40" s="131"/>
      <c r="AW40" s="1"/>
    </row>
    <row r="41" spans="1:49" ht="15" customHeight="1" thickBot="1">
      <c r="A41" s="1"/>
      <c r="B41" s="1"/>
      <c r="C41" s="1"/>
      <c r="D41" s="126" t="s">
        <v>514</v>
      </c>
      <c r="E41" s="238">
        <f t="shared" ref="E41:P41" si="31">SUM(E37:E40)</f>
        <v>78585</v>
      </c>
      <c r="F41" s="238">
        <f t="shared" si="31"/>
        <v>78585</v>
      </c>
      <c r="G41" s="238">
        <f t="shared" si="31"/>
        <v>78585</v>
      </c>
      <c r="H41" s="238">
        <f t="shared" si="31"/>
        <v>78585</v>
      </c>
      <c r="I41" s="238">
        <f t="shared" si="31"/>
        <v>78585</v>
      </c>
      <c r="J41" s="238">
        <f t="shared" si="31"/>
        <v>78585</v>
      </c>
      <c r="K41" s="238">
        <f t="shared" si="31"/>
        <v>78585</v>
      </c>
      <c r="L41" s="238">
        <f t="shared" si="31"/>
        <v>78585</v>
      </c>
      <c r="M41" s="238">
        <f t="shared" si="31"/>
        <v>54308.812249748502</v>
      </c>
      <c r="N41" s="238">
        <f t="shared" si="31"/>
        <v>54308.812249748502</v>
      </c>
      <c r="O41" s="238">
        <f t="shared" si="31"/>
        <v>54308.812249748502</v>
      </c>
      <c r="P41" s="238">
        <f t="shared" si="31"/>
        <v>54308.812249748502</v>
      </c>
      <c r="Q41" s="238">
        <f>SUM(Q37:Q40)</f>
        <v>845915.24899899401</v>
      </c>
      <c r="R41" s="126"/>
      <c r="S41" s="149">
        <f>SUM(S37:S40)</f>
        <v>651705.74699698202</v>
      </c>
      <c r="T41" s="126"/>
      <c r="U41" s="149">
        <f>SUM(U37:U40)</f>
        <v>651705.74699698202</v>
      </c>
      <c r="V41" s="126"/>
      <c r="W41" s="149">
        <f>SUM(W37:W40)</f>
        <v>651705.74699698202</v>
      </c>
      <c r="X41" s="126"/>
      <c r="Y41" s="149">
        <f>SUM(Y37:Y40)</f>
        <v>651705.74699698202</v>
      </c>
      <c r="Z41" s="126"/>
      <c r="AA41" s="1"/>
      <c r="AB41" s="1"/>
      <c r="AC41" s="1"/>
      <c r="AD41" s="1"/>
      <c r="AE41" s="1"/>
      <c r="AF41" s="1"/>
      <c r="AG41" s="1"/>
      <c r="AH41" s="1"/>
      <c r="AI41" s="1"/>
      <c r="AJ41" s="1"/>
      <c r="AN41" s="27" t="s">
        <v>295</v>
      </c>
      <c r="AO41" s="134">
        <v>0</v>
      </c>
      <c r="AP41" s="141"/>
      <c r="AQ41" s="141"/>
      <c r="AW41" s="1"/>
    </row>
    <row r="42" spans="1:49" ht="15" customHeight="1" thickTop="1">
      <c r="A42" s="136" t="s">
        <v>508</v>
      </c>
      <c r="B42" s="13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68"/>
      <c r="O42" s="268"/>
      <c r="P42" s="268"/>
      <c r="Q42" s="26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W42" s="1"/>
    </row>
    <row r="43" spans="1:49" ht="15" customHeight="1">
      <c r="A43" s="138" t="s">
        <v>509</v>
      </c>
      <c r="B43" s="139"/>
      <c r="C43" s="1"/>
      <c r="D43" s="1" t="s">
        <v>517</v>
      </c>
      <c r="E43" s="433">
        <f>E19*0.02</f>
        <v>2800.9240000000004</v>
      </c>
      <c r="F43" s="433">
        <f t="shared" ref="F43:P43" si="32">F19*0.02</f>
        <v>2828.1968000000006</v>
      </c>
      <c r="G43" s="433">
        <f t="shared" si="32"/>
        <v>2727.4608885000007</v>
      </c>
      <c r="H43" s="433">
        <f t="shared" si="32"/>
        <v>3215.2121153163007</v>
      </c>
      <c r="I43" s="433">
        <f t="shared" si="32"/>
        <v>3201.1274507143485</v>
      </c>
      <c r="J43" s="433">
        <f t="shared" si="32"/>
        <v>3204.8215248002771</v>
      </c>
      <c r="K43" s="433">
        <f t="shared" si="32"/>
        <v>3227.7953071930069</v>
      </c>
      <c r="L43" s="433">
        <f t="shared" si="32"/>
        <v>3232.9581811459543</v>
      </c>
      <c r="M43" s="433">
        <f t="shared" si="32"/>
        <v>3262.9351312452286</v>
      </c>
      <c r="N43" s="433">
        <f t="shared" si="32"/>
        <v>3282.6039607062221</v>
      </c>
      <c r="O43" s="433">
        <f t="shared" si="32"/>
        <v>3284.3572542826455</v>
      </c>
      <c r="P43" s="433">
        <f t="shared" si="32"/>
        <v>3313.3994084228239</v>
      </c>
      <c r="Q43" s="269">
        <f>SUM((E43:P43))</f>
        <v>37581.792022326808</v>
      </c>
      <c r="R43" s="1"/>
      <c r="S43" s="269">
        <f>S19*2%</f>
        <v>42315.499200000013</v>
      </c>
      <c r="T43" s="1"/>
      <c r="U43" s="269">
        <f>U19*2%</f>
        <v>43584.964176000001</v>
      </c>
      <c r="V43" s="268"/>
      <c r="W43" s="269">
        <f>W19*2%</f>
        <v>44892.513101280005</v>
      </c>
      <c r="X43" s="268"/>
      <c r="Y43" s="269">
        <f>Y19*2%</f>
        <v>46239.288494318396</v>
      </c>
      <c r="Z43" s="268"/>
      <c r="AA43" s="1"/>
      <c r="AB43" s="1"/>
      <c r="AC43" s="1"/>
      <c r="AD43" s="1"/>
      <c r="AE43" s="1"/>
      <c r="AF43" s="1"/>
      <c r="AG43" s="1"/>
      <c r="AH43" s="1"/>
      <c r="AI43" s="1"/>
      <c r="AJ43" s="1"/>
      <c r="AW43" s="1"/>
    </row>
    <row r="44" spans="1:49" ht="15" customHeight="1">
      <c r="A44" s="233"/>
      <c r="B44" s="143"/>
      <c r="C44" s="1"/>
      <c r="D44" s="1" t="s">
        <v>594</v>
      </c>
      <c r="E44" s="416">
        <v>10000</v>
      </c>
      <c r="F44" s="416">
        <v>10000</v>
      </c>
      <c r="G44" s="416">
        <v>10000</v>
      </c>
      <c r="H44" s="416">
        <v>10000</v>
      </c>
      <c r="I44" s="416">
        <v>10000</v>
      </c>
      <c r="J44" s="416">
        <v>10000</v>
      </c>
      <c r="K44" s="416">
        <v>10000</v>
      </c>
      <c r="L44" s="416">
        <v>10000</v>
      </c>
      <c r="M44" s="416">
        <v>10000</v>
      </c>
      <c r="N44" s="416">
        <v>10000</v>
      </c>
      <c r="O44" s="416">
        <v>10000</v>
      </c>
      <c r="P44" s="416">
        <v>10000</v>
      </c>
      <c r="Q44" s="269">
        <f>SUM((E44:P44))</f>
        <v>120000</v>
      </c>
      <c r="S44" s="269">
        <v>150000</v>
      </c>
      <c r="U44" s="269">
        <v>150000</v>
      </c>
      <c r="V44" s="273"/>
      <c r="W44" s="269">
        <v>150000</v>
      </c>
      <c r="X44" s="273"/>
      <c r="Y44" s="269">
        <v>150000</v>
      </c>
      <c r="Z44" s="273"/>
      <c r="AA44" s="1"/>
      <c r="AB44" s="1"/>
      <c r="AC44" s="1"/>
      <c r="AD44" s="1"/>
      <c r="AE44" s="1"/>
      <c r="AF44" s="1"/>
      <c r="AG44" s="1"/>
      <c r="AH44" s="1"/>
      <c r="AI44" s="1"/>
      <c r="AJ44" s="1"/>
      <c r="AW44" s="1"/>
    </row>
    <row r="45" spans="1:49" ht="15" customHeight="1">
      <c r="A45" s="146" t="s">
        <v>610</v>
      </c>
      <c r="B45" s="322">
        <f>B20</f>
        <v>12366332.960094536</v>
      </c>
      <c r="C45" s="1"/>
      <c r="D45" s="1" t="s">
        <v>691</v>
      </c>
      <c r="E45" s="244">
        <v>3000</v>
      </c>
      <c r="F45" s="244">
        <v>3000</v>
      </c>
      <c r="G45" s="244">
        <v>3000</v>
      </c>
      <c r="H45" s="244">
        <v>3000</v>
      </c>
      <c r="I45" s="244">
        <v>3000</v>
      </c>
      <c r="J45" s="244">
        <v>3000</v>
      </c>
      <c r="K45" s="244">
        <v>3000</v>
      </c>
      <c r="L45" s="244">
        <v>3000</v>
      </c>
      <c r="M45" s="244">
        <v>3000</v>
      </c>
      <c r="N45" s="432">
        <v>3000</v>
      </c>
      <c r="O45" s="432">
        <v>3000</v>
      </c>
      <c r="P45" s="432">
        <v>3000</v>
      </c>
      <c r="Q45" s="269">
        <f>SUM((E45:P45))</f>
        <v>36000</v>
      </c>
      <c r="S45" s="411">
        <f>Q45</f>
        <v>36000</v>
      </c>
      <c r="U45" s="411">
        <f>Q45</f>
        <v>36000</v>
      </c>
      <c r="W45" s="411">
        <f>S45</f>
        <v>36000</v>
      </c>
      <c r="Y45" s="411">
        <f>U45</f>
        <v>36000</v>
      </c>
      <c r="AA45" s="1"/>
      <c r="AB45" s="1"/>
      <c r="AC45" s="1"/>
      <c r="AD45" s="1"/>
      <c r="AE45" s="1"/>
      <c r="AF45" s="1"/>
      <c r="AG45" s="1"/>
      <c r="AH45" s="1"/>
      <c r="AI45" s="1"/>
      <c r="AJ45" s="1"/>
      <c r="AN45" s="233" t="s">
        <v>194</v>
      </c>
      <c r="AO45" s="390">
        <v>3631</v>
      </c>
      <c r="AP45" s="390">
        <v>3812</v>
      </c>
      <c r="AQ45" s="390">
        <v>2936.62</v>
      </c>
      <c r="AW45" s="1"/>
    </row>
    <row r="46" spans="1:49" ht="15" customHeight="1" thickBot="1">
      <c r="A46" s="146" t="s">
        <v>597</v>
      </c>
      <c r="B46" s="322">
        <f>B62</f>
        <v>0</v>
      </c>
      <c r="C46" s="1"/>
      <c r="D46" s="124" t="s">
        <v>515</v>
      </c>
      <c r="E46" s="418">
        <f t="shared" ref="E46:P46" si="33">E34-(E41+SUM(E43:E45))</f>
        <v>-14704.013999999981</v>
      </c>
      <c r="F46" s="418">
        <f t="shared" si="33"/>
        <v>-12536.516799999983</v>
      </c>
      <c r="G46" s="418">
        <f t="shared" si="33"/>
        <v>-16029.136463499977</v>
      </c>
      <c r="H46" s="418">
        <f t="shared" si="33"/>
        <v>-4477.7645224757143</v>
      </c>
      <c r="I46" s="418">
        <f t="shared" si="33"/>
        <v>5928.1339089315297</v>
      </c>
      <c r="J46" s="418">
        <f t="shared" si="33"/>
        <v>6754.3024280131503</v>
      </c>
      <c r="K46" s="418">
        <f t="shared" si="33"/>
        <v>7319.9370916678163</v>
      </c>
      <c r="L46" s="418">
        <f t="shared" si="33"/>
        <v>1140.793604432838</v>
      </c>
      <c r="M46" s="418">
        <f t="shared" si="33"/>
        <v>32290.88648439986</v>
      </c>
      <c r="N46" s="418">
        <f t="shared" si="33"/>
        <v>33949.535883797042</v>
      </c>
      <c r="O46" s="418">
        <f t="shared" si="33"/>
        <v>32031.107328677157</v>
      </c>
      <c r="P46" s="418">
        <f t="shared" si="33"/>
        <v>32487.939650335626</v>
      </c>
      <c r="Q46" s="434">
        <f>SUM(E46:P46)</f>
        <v>104155.20459427936</v>
      </c>
      <c r="R46" s="124"/>
      <c r="S46" s="418">
        <f>S34-(S41+SUM(S43:S45))</f>
        <v>544888.75200301851</v>
      </c>
      <c r="T46" s="124"/>
      <c r="U46" s="418">
        <f>U34-(U41+SUM(U43:U45))</f>
        <v>593275.23659101815</v>
      </c>
      <c r="V46" s="124"/>
      <c r="W46" s="418">
        <f>W34-(W41+SUM(W43:W45))</f>
        <v>643251.48870901833</v>
      </c>
      <c r="X46" s="124"/>
      <c r="Y46" s="418">
        <f>Y34-(Y41+SUM(Y43:Y45))</f>
        <v>694867.96484276501</v>
      </c>
      <c r="Z46" s="124"/>
      <c r="AA46" s="1"/>
      <c r="AB46" s="1"/>
      <c r="AC46" s="1"/>
      <c r="AD46" s="1"/>
      <c r="AE46" s="1"/>
      <c r="AF46" s="1"/>
      <c r="AG46" s="1"/>
      <c r="AH46" s="1"/>
      <c r="AI46" s="1"/>
      <c r="AJ46" s="1"/>
      <c r="AN46" s="233" t="s">
        <v>197</v>
      </c>
      <c r="AO46" s="233">
        <v>0</v>
      </c>
      <c r="AP46" s="233">
        <v>0</v>
      </c>
      <c r="AQ46" s="233">
        <v>0</v>
      </c>
      <c r="AW46" s="1"/>
    </row>
    <row r="47" spans="1:49" ht="15" customHeight="1" thickTop="1" thickBot="1">
      <c r="A47" s="138" t="s">
        <v>598</v>
      </c>
      <c r="B47" s="266">
        <f>SUM(B45:B46)</f>
        <v>12366332.960094536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68"/>
      <c r="O47" s="268"/>
      <c r="P47" s="268"/>
      <c r="Q47" s="268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N47" s="233" t="s">
        <v>276</v>
      </c>
      <c r="AO47" s="390">
        <v>10385.34</v>
      </c>
      <c r="AP47" s="390">
        <v>9136.84</v>
      </c>
      <c r="AQ47" s="390">
        <v>12365.79</v>
      </c>
      <c r="AW47" s="1"/>
    </row>
    <row r="48" spans="1:49" ht="15" customHeight="1" thickTop="1">
      <c r="A48" s="146" t="s">
        <v>512</v>
      </c>
      <c r="B48" s="147"/>
      <c r="C48" s="1"/>
      <c r="D48" s="112" t="s">
        <v>516</v>
      </c>
      <c r="E48" s="435">
        <f>IF(E46&gt;0, E46,0)</f>
        <v>0</v>
      </c>
      <c r="F48" s="435">
        <f t="shared" ref="F48:Q48" si="34">IF(F46&gt;0, F46,0)</f>
        <v>0</v>
      </c>
      <c r="G48" s="435">
        <f t="shared" si="34"/>
        <v>0</v>
      </c>
      <c r="H48" s="435">
        <f t="shared" si="34"/>
        <v>0</v>
      </c>
      <c r="I48" s="435">
        <f t="shared" si="34"/>
        <v>5928.1339089315297</v>
      </c>
      <c r="J48" s="435">
        <f t="shared" si="34"/>
        <v>6754.3024280131503</v>
      </c>
      <c r="K48" s="435">
        <f t="shared" si="34"/>
        <v>7319.9370916678163</v>
      </c>
      <c r="L48" s="435">
        <f t="shared" si="34"/>
        <v>1140.793604432838</v>
      </c>
      <c r="M48" s="435">
        <f t="shared" si="34"/>
        <v>32290.88648439986</v>
      </c>
      <c r="N48" s="435">
        <f t="shared" si="34"/>
        <v>33949.535883797042</v>
      </c>
      <c r="O48" s="435">
        <f t="shared" si="34"/>
        <v>32031.107328677157</v>
      </c>
      <c r="P48" s="435">
        <f t="shared" si="34"/>
        <v>32487.939650335626</v>
      </c>
      <c r="Q48" s="435">
        <f t="shared" si="34"/>
        <v>104155.20459427936</v>
      </c>
      <c r="R48" s="113"/>
      <c r="S48" s="144"/>
      <c r="T48" s="113"/>
      <c r="U48" s="144"/>
      <c r="V48" s="113"/>
      <c r="W48" s="144"/>
      <c r="X48" s="113"/>
      <c r="Y48" s="144"/>
      <c r="Z48" s="113"/>
      <c r="AA48" s="1"/>
      <c r="AB48" s="1"/>
      <c r="AC48" s="1"/>
      <c r="AD48" s="1"/>
      <c r="AE48" s="1"/>
      <c r="AF48" s="1"/>
      <c r="AG48" s="1"/>
      <c r="AH48" s="1"/>
      <c r="AI48" s="1"/>
      <c r="AJ48" s="1"/>
      <c r="AN48" s="233" t="s">
        <v>278</v>
      </c>
      <c r="AO48" s="233">
        <v>0</v>
      </c>
      <c r="AP48" s="233">
        <v>0</v>
      </c>
      <c r="AQ48" s="233">
        <v>0</v>
      </c>
      <c r="AW48" s="1"/>
    </row>
    <row r="49" spans="1:49" ht="15" customHeight="1">
      <c r="A49" s="142" t="s">
        <v>513</v>
      </c>
      <c r="B49" s="148">
        <f>B22</f>
        <v>-10899999</v>
      </c>
      <c r="C49" s="1"/>
      <c r="N49" s="273"/>
      <c r="O49" s="273"/>
      <c r="P49" s="273"/>
      <c r="Q49" s="273"/>
      <c r="AA49" s="1"/>
      <c r="AB49" s="1"/>
      <c r="AC49" s="1"/>
      <c r="AD49" s="1"/>
      <c r="AE49" s="1"/>
      <c r="AF49" s="1"/>
      <c r="AG49" s="1"/>
      <c r="AH49" s="1"/>
      <c r="AI49" s="1"/>
      <c r="AJ49" s="1"/>
      <c r="AN49" s="233" t="s">
        <v>49</v>
      </c>
      <c r="AO49" s="390">
        <v>8844.7900000000009</v>
      </c>
      <c r="AP49" s="390">
        <v>7754.52</v>
      </c>
      <c r="AQ49" s="390">
        <v>7885.53</v>
      </c>
      <c r="AW49" s="1"/>
    </row>
    <row r="50" spans="1:49" ht="15" customHeight="1">
      <c r="A50" s="142" t="str">
        <f>A21</f>
        <v>Closing Charges</v>
      </c>
      <c r="B50" s="139">
        <f>B23+B24</f>
        <v>-204544.99440141802</v>
      </c>
      <c r="C50" s="1"/>
      <c r="D50" s="1" t="s">
        <v>518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339">
        <f>SUM(E50:P50)</f>
        <v>0</v>
      </c>
      <c r="R50" s="1"/>
      <c r="S50" s="1">
        <v>0</v>
      </c>
      <c r="T50" s="1"/>
      <c r="U50" s="1">
        <v>0</v>
      </c>
      <c r="V50" s="1"/>
      <c r="W50" s="1">
        <v>0</v>
      </c>
      <c r="X50" s="1"/>
      <c r="Y50" s="1">
        <v>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N50" s="233" t="s">
        <v>673</v>
      </c>
      <c r="AO50" s="390">
        <v>2899.94</v>
      </c>
      <c r="AP50" s="390">
        <v>1765.76</v>
      </c>
      <c r="AQ50" s="390">
        <v>1965.88</v>
      </c>
      <c r="AW50" s="1"/>
    </row>
    <row r="51" spans="1:49" ht="15" customHeight="1">
      <c r="A51" s="145" t="s">
        <v>601</v>
      </c>
      <c r="B51" s="139">
        <v>-150000</v>
      </c>
      <c r="C51" s="1"/>
      <c r="D51" s="1" t="s">
        <v>519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339">
        <f>SUM(E51:P51)</f>
        <v>0</v>
      </c>
      <c r="R51" s="1"/>
      <c r="S51" s="1">
        <v>0</v>
      </c>
      <c r="T51" s="1"/>
      <c r="U51" s="1">
        <v>0</v>
      </c>
      <c r="V51" s="1"/>
      <c r="W51" s="1">
        <v>0</v>
      </c>
      <c r="X51" s="1"/>
      <c r="Y51" s="1">
        <v>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N51" s="233" t="s">
        <v>674</v>
      </c>
      <c r="AO51" s="390">
        <v>8137.21</v>
      </c>
      <c r="AP51" s="390">
        <v>5762.21</v>
      </c>
      <c r="AQ51" s="390">
        <v>28312.52</v>
      </c>
      <c r="AW51" s="1"/>
    </row>
    <row r="52" spans="1:49" ht="15" customHeight="1">
      <c r="A52" s="116" t="s">
        <v>602</v>
      </c>
      <c r="B52" s="139">
        <v>-45000</v>
      </c>
      <c r="C52" s="1"/>
      <c r="D52" s="1" t="s">
        <v>521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339">
        <f>SUM(E52:P52)</f>
        <v>0</v>
      </c>
      <c r="R52" s="1"/>
      <c r="S52" s="1">
        <v>0</v>
      </c>
      <c r="T52" s="1"/>
      <c r="U52" s="1">
        <v>0</v>
      </c>
      <c r="V52" s="1"/>
      <c r="W52" s="1">
        <v>0</v>
      </c>
      <c r="X52" s="1"/>
      <c r="Y52" s="1">
        <v>0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N52" s="233" t="s">
        <v>291</v>
      </c>
      <c r="AO52" s="233">
        <v>0</v>
      </c>
      <c r="AP52" s="233">
        <v>0</v>
      </c>
      <c r="AQ52" s="233">
        <v>0</v>
      </c>
      <c r="AW52" s="1"/>
    </row>
    <row r="53" spans="1:49" ht="15" customHeight="1">
      <c r="A53" s="145" t="s">
        <v>603</v>
      </c>
      <c r="B53" s="139">
        <v>0</v>
      </c>
      <c r="C53" s="1"/>
      <c r="D53" s="1" t="s">
        <v>593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339">
        <f>SUM(E53:P53)</f>
        <v>0</v>
      </c>
      <c r="R53" s="1"/>
      <c r="S53" s="1">
        <v>0</v>
      </c>
      <c r="T53" s="1"/>
      <c r="U53" s="1">
        <v>0</v>
      </c>
      <c r="V53" s="1"/>
      <c r="W53" s="1">
        <v>0</v>
      </c>
      <c r="X53" s="1"/>
      <c r="Y53" s="1">
        <v>0</v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N53" s="233" t="s">
        <v>201</v>
      </c>
      <c r="AO53" s="390">
        <v>40279.51</v>
      </c>
      <c r="AP53" s="390">
        <v>33188.81</v>
      </c>
      <c r="AQ53" s="390">
        <v>20662.990000000002</v>
      </c>
      <c r="AW53" s="1"/>
    </row>
    <row r="54" spans="1:49" ht="15" customHeight="1">
      <c r="A54" s="116" t="s">
        <v>604</v>
      </c>
      <c r="B54" s="139">
        <v>0</v>
      </c>
      <c r="C54" s="1"/>
      <c r="N54" s="273"/>
      <c r="O54" s="273"/>
      <c r="P54" s="273"/>
      <c r="Q54" s="273"/>
      <c r="AA54" s="1"/>
      <c r="AB54" s="1"/>
      <c r="AC54" s="1"/>
      <c r="AD54" s="1"/>
      <c r="AE54" s="1"/>
      <c r="AF54" s="1"/>
      <c r="AG54" s="1"/>
      <c r="AH54" s="1"/>
      <c r="AI54" s="1"/>
      <c r="AJ54" s="1"/>
      <c r="AN54" s="233" t="s">
        <v>294</v>
      </c>
      <c r="AO54" s="390">
        <v>4500</v>
      </c>
      <c r="AP54" s="390">
        <v>4500</v>
      </c>
      <c r="AQ54" s="390">
        <v>4500</v>
      </c>
      <c r="AW54" s="1"/>
    </row>
    <row r="55" spans="1:49" ht="15" customHeight="1">
      <c r="A55" s="145" t="s">
        <v>615</v>
      </c>
      <c r="B55" s="139">
        <v>-250000</v>
      </c>
      <c r="C55" s="1"/>
      <c r="N55" s="273"/>
      <c r="O55" s="273"/>
      <c r="P55" s="273"/>
      <c r="Q55" s="273"/>
      <c r="AA55" s="1"/>
      <c r="AB55" s="1"/>
      <c r="AC55" s="1"/>
      <c r="AD55" s="1"/>
      <c r="AE55" s="1"/>
      <c r="AF55" s="1"/>
      <c r="AG55" s="1"/>
      <c r="AH55" s="1"/>
      <c r="AI55" s="1"/>
      <c r="AJ55" s="1"/>
      <c r="AN55" s="233" t="s">
        <v>295</v>
      </c>
      <c r="AO55" s="233">
        <v>0</v>
      </c>
      <c r="AP55" s="233">
        <v>0</v>
      </c>
      <c r="AQ55" s="233">
        <v>0</v>
      </c>
      <c r="AW55" s="1"/>
    </row>
    <row r="56" spans="1:49" ht="15" customHeight="1" thickBot="1">
      <c r="A56" s="146" t="s">
        <v>599</v>
      </c>
      <c r="B56" s="267">
        <f>SUM(B49:B55)</f>
        <v>-11549543.994401418</v>
      </c>
      <c r="C56" s="1"/>
      <c r="D56" s="438" t="s">
        <v>645</v>
      </c>
      <c r="E56" s="439">
        <f t="shared" ref="E56:Q56" si="35">E46</f>
        <v>-14704.013999999981</v>
      </c>
      <c r="F56" s="439">
        <f t="shared" si="35"/>
        <v>-12536.516799999983</v>
      </c>
      <c r="G56" s="439">
        <f t="shared" si="35"/>
        <v>-16029.136463499977</v>
      </c>
      <c r="H56" s="439">
        <f t="shared" si="35"/>
        <v>-4477.7645224757143</v>
      </c>
      <c r="I56" s="439">
        <f t="shared" si="35"/>
        <v>5928.1339089315297</v>
      </c>
      <c r="J56" s="439">
        <f t="shared" si="35"/>
        <v>6754.3024280131503</v>
      </c>
      <c r="K56" s="439">
        <f t="shared" si="35"/>
        <v>7319.9370916678163</v>
      </c>
      <c r="L56" s="439">
        <f t="shared" si="35"/>
        <v>1140.793604432838</v>
      </c>
      <c r="M56" s="439">
        <f t="shared" si="35"/>
        <v>32290.88648439986</v>
      </c>
      <c r="N56" s="439">
        <f t="shared" si="35"/>
        <v>33949.535883797042</v>
      </c>
      <c r="O56" s="439">
        <f t="shared" si="35"/>
        <v>32031.107328677157</v>
      </c>
      <c r="P56" s="439">
        <f t="shared" si="35"/>
        <v>32487.939650335626</v>
      </c>
      <c r="Q56" s="439">
        <f t="shared" si="35"/>
        <v>104155.20459427936</v>
      </c>
      <c r="R56" s="440"/>
      <c r="S56" s="439">
        <f>S46</f>
        <v>544888.75200301851</v>
      </c>
      <c r="T56" s="440"/>
      <c r="U56" s="439">
        <f>U46</f>
        <v>593275.23659101815</v>
      </c>
      <c r="V56" s="441"/>
      <c r="W56" s="439">
        <f>W46</f>
        <v>643251.48870901833</v>
      </c>
      <c r="X56" s="441"/>
      <c r="Y56" s="439">
        <f>Y46</f>
        <v>694867.96484276501</v>
      </c>
      <c r="Z56" s="441"/>
      <c r="AA56" s="1"/>
      <c r="AB56" s="1"/>
      <c r="AC56" s="1"/>
      <c r="AD56" s="1"/>
      <c r="AE56" s="1"/>
      <c r="AF56" s="1"/>
      <c r="AG56" s="1"/>
      <c r="AH56" s="1"/>
      <c r="AI56" s="1"/>
      <c r="AJ56" s="1"/>
      <c r="AW56" s="1"/>
    </row>
    <row r="57" spans="1:49" ht="15" customHeight="1" thickTop="1">
      <c r="A57" s="142"/>
      <c r="B57" s="147"/>
      <c r="C57" s="1"/>
      <c r="D57" s="280" t="s">
        <v>693</v>
      </c>
      <c r="E57" s="421">
        <f>IF(E$46&gt;0, E$46*0.7, 0)</f>
        <v>0</v>
      </c>
      <c r="F57" s="421">
        <f t="shared" ref="F57:Q57" si="36">IF(F$46&gt;0, F$46*0.7, 0)</f>
        <v>0</v>
      </c>
      <c r="G57" s="421">
        <f t="shared" si="36"/>
        <v>0</v>
      </c>
      <c r="H57" s="421">
        <f t="shared" si="36"/>
        <v>0</v>
      </c>
      <c r="I57" s="421">
        <f t="shared" si="36"/>
        <v>4149.6937362520703</v>
      </c>
      <c r="J57" s="421">
        <f t="shared" si="36"/>
        <v>4728.0116996092047</v>
      </c>
      <c r="K57" s="421">
        <f t="shared" si="36"/>
        <v>5123.9559641674714</v>
      </c>
      <c r="L57" s="421">
        <f t="shared" si="36"/>
        <v>798.55552310298663</v>
      </c>
      <c r="M57" s="421">
        <f t="shared" si="36"/>
        <v>22603.6205390799</v>
      </c>
      <c r="N57" s="421">
        <f t="shared" si="36"/>
        <v>23764.675118657928</v>
      </c>
      <c r="O57" s="421">
        <f t="shared" si="36"/>
        <v>22421.775130074009</v>
      </c>
      <c r="P57" s="421">
        <f t="shared" si="36"/>
        <v>22741.557755234935</v>
      </c>
      <c r="Q57" s="421">
        <f t="shared" si="36"/>
        <v>72908.643215995544</v>
      </c>
      <c r="R57" s="268"/>
      <c r="S57" s="421">
        <f t="shared" ref="S57" si="37">IF(S$46&gt;0, S$46*0.7, 0)</f>
        <v>381422.12640211295</v>
      </c>
      <c r="T57" s="268"/>
      <c r="U57" s="421">
        <f t="shared" ref="U57:Y57" si="38">IF(U$46&gt;0, U$46*0.7, 0)</f>
        <v>415292.66561371268</v>
      </c>
      <c r="V57" s="442"/>
      <c r="W57" s="421">
        <f t="shared" si="38"/>
        <v>450276.0420963128</v>
      </c>
      <c r="X57" s="442"/>
      <c r="Y57" s="421">
        <f t="shared" si="38"/>
        <v>486407.57538993546</v>
      </c>
      <c r="Z57" s="442"/>
      <c r="AA57" s="1"/>
      <c r="AB57" s="1"/>
      <c r="AC57" s="1"/>
      <c r="AD57" s="1"/>
      <c r="AE57" s="1"/>
      <c r="AF57" s="1"/>
      <c r="AG57" s="1"/>
      <c r="AH57" s="1"/>
      <c r="AI57" s="1"/>
      <c r="AJ57" s="1"/>
      <c r="AW57" s="1"/>
    </row>
    <row r="58" spans="1:49" ht="15" customHeight="1">
      <c r="A58" s="150" t="s">
        <v>520</v>
      </c>
      <c r="B58" s="151">
        <f>IF(B47&gt;B56, B47+B56, 0)</f>
        <v>816788.96569311805</v>
      </c>
      <c r="C58" s="1"/>
      <c r="D58" s="288" t="s">
        <v>694</v>
      </c>
      <c r="E58" s="443">
        <f>IF(E$46&gt;0, E$46*0.3, 0)</f>
        <v>0</v>
      </c>
      <c r="F58" s="443">
        <f t="shared" ref="F58:Q58" si="39">IF(F$46&gt;0, F$46*0.3, 0)</f>
        <v>0</v>
      </c>
      <c r="G58" s="443">
        <f t="shared" si="39"/>
        <v>0</v>
      </c>
      <c r="H58" s="443">
        <f t="shared" si="39"/>
        <v>0</v>
      </c>
      <c r="I58" s="443">
        <f t="shared" si="39"/>
        <v>1778.4401726794588</v>
      </c>
      <c r="J58" s="443">
        <f t="shared" si="39"/>
        <v>2026.290728403945</v>
      </c>
      <c r="K58" s="443">
        <f t="shared" si="39"/>
        <v>2195.9811275003449</v>
      </c>
      <c r="L58" s="443">
        <f t="shared" si="39"/>
        <v>342.23808132985141</v>
      </c>
      <c r="M58" s="443">
        <f t="shared" si="39"/>
        <v>9687.2659453199576</v>
      </c>
      <c r="N58" s="443">
        <f t="shared" si="39"/>
        <v>10184.860765139112</v>
      </c>
      <c r="O58" s="443">
        <f t="shared" si="39"/>
        <v>9609.332198603146</v>
      </c>
      <c r="P58" s="443">
        <f t="shared" si="39"/>
        <v>9746.381895100687</v>
      </c>
      <c r="Q58" s="443">
        <f t="shared" si="39"/>
        <v>31246.561378283808</v>
      </c>
      <c r="R58" s="291"/>
      <c r="S58" s="443">
        <f t="shared" ref="S58" si="40">IF(S$46&gt;0, S$46*0.3, 0)</f>
        <v>163466.62560090554</v>
      </c>
      <c r="T58" s="291"/>
      <c r="U58" s="443">
        <f t="shared" ref="U58:Y58" si="41">IF(U$46&gt;0, U$46*0.3, 0)</f>
        <v>177982.57097730544</v>
      </c>
      <c r="V58" s="444"/>
      <c r="W58" s="443">
        <f t="shared" si="41"/>
        <v>192975.44661270551</v>
      </c>
      <c r="X58" s="444"/>
      <c r="Y58" s="443">
        <f t="shared" si="41"/>
        <v>208460.38945282949</v>
      </c>
      <c r="Z58" s="444"/>
      <c r="AA58" s="1"/>
      <c r="AB58" s="1"/>
      <c r="AC58" s="1"/>
      <c r="AD58" s="1"/>
      <c r="AE58" s="1"/>
      <c r="AF58" s="1"/>
      <c r="AG58" s="1"/>
      <c r="AH58" s="1"/>
      <c r="AI58" s="1"/>
      <c r="AJ58" s="1"/>
      <c r="AW58" s="1"/>
    </row>
    <row r="59" spans="1:49" ht="14">
      <c r="A59" s="1"/>
      <c r="B59" s="1"/>
      <c r="C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W59" s="1"/>
    </row>
    <row r="60" spans="1:49" ht="14">
      <c r="A60" s="112" t="s">
        <v>522</v>
      </c>
      <c r="B60" s="113"/>
      <c r="C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W60" s="1"/>
    </row>
    <row r="61" spans="1:49" ht="14">
      <c r="A61" s="1" t="s">
        <v>523</v>
      </c>
      <c r="B61" s="1"/>
      <c r="C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W61" s="1"/>
    </row>
    <row r="62" spans="1:49" ht="14">
      <c r="A62" s="1" t="s">
        <v>524</v>
      </c>
      <c r="B62" s="118">
        <f>IF(ABS(B56)&gt;B45, ABS(B56+B45), 0)</f>
        <v>0</v>
      </c>
      <c r="C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W62" s="1"/>
    </row>
    <row r="63" spans="1:49" ht="14">
      <c r="A63" s="1" t="s">
        <v>525</v>
      </c>
      <c r="B63" s="115">
        <f>B62*2.5%</f>
        <v>0</v>
      </c>
      <c r="AW63" s="1"/>
    </row>
    <row r="64" spans="1:49" ht="14">
      <c r="A64" s="1" t="s">
        <v>526</v>
      </c>
      <c r="B64" s="115">
        <f>B62*1%</f>
        <v>0</v>
      </c>
      <c r="AW64" s="1"/>
    </row>
    <row r="65" spans="1:49" ht="14">
      <c r="A65" s="1" t="s">
        <v>527</v>
      </c>
      <c r="B65" s="114">
        <v>0.08</v>
      </c>
      <c r="AW65" s="1"/>
    </row>
    <row r="66" spans="1:49" ht="14">
      <c r="A66" s="1" t="s">
        <v>528</v>
      </c>
      <c r="B66" s="35">
        <v>0.06</v>
      </c>
      <c r="AW66" s="1"/>
    </row>
    <row r="67" spans="1:49" ht="14">
      <c r="A67" s="1" t="s">
        <v>608</v>
      </c>
      <c r="B67" s="34">
        <f>B62*B65</f>
        <v>0</v>
      </c>
      <c r="AW67" s="1"/>
    </row>
    <row r="68" spans="1:49" ht="14">
      <c r="A68" s="1" t="s">
        <v>609</v>
      </c>
      <c r="B68" s="34">
        <f>B62*B66</f>
        <v>0</v>
      </c>
      <c r="AW68" s="1"/>
    </row>
    <row r="69" spans="1:49" thickBot="1">
      <c r="A69" s="270"/>
      <c r="B69" s="271"/>
      <c r="AW69" s="1"/>
    </row>
    <row r="70" spans="1:49" thickTop="1">
      <c r="AW70" s="1"/>
    </row>
    <row r="71" spans="1:49" ht="14">
      <c r="AW71" s="1"/>
    </row>
    <row r="72" spans="1:49" ht="14">
      <c r="AW72" s="1"/>
    </row>
    <row r="73" spans="1:49" ht="14">
      <c r="AW73" s="1"/>
    </row>
    <row r="74" spans="1:49" ht="14">
      <c r="AW74" s="1"/>
    </row>
    <row r="75" spans="1:49" ht="14">
      <c r="AW75" s="1"/>
    </row>
    <row r="76" spans="1:49" ht="14">
      <c r="AW76" s="1"/>
    </row>
    <row r="77" spans="1:49" ht="14">
      <c r="AW77" s="1"/>
    </row>
    <row r="78" spans="1:49" ht="14">
      <c r="AW78" s="1"/>
    </row>
    <row r="79" spans="1:49" ht="14">
      <c r="AW79" s="1"/>
    </row>
    <row r="80" spans="1:49" ht="14">
      <c r="AW80" s="1"/>
    </row>
    <row r="81" spans="49:49" ht="14">
      <c r="AW81" s="1"/>
    </row>
    <row r="82" spans="49:49" ht="14">
      <c r="AW82" s="1"/>
    </row>
    <row r="83" spans="49:49" ht="14">
      <c r="AW83" s="1"/>
    </row>
    <row r="84" spans="49:49" ht="14">
      <c r="AW84" s="1"/>
    </row>
    <row r="85" spans="49:49" ht="14">
      <c r="AW85" s="1"/>
    </row>
    <row r="86" spans="49:49" ht="14">
      <c r="AW86" s="1"/>
    </row>
    <row r="87" spans="49:49" ht="14">
      <c r="AW87" s="1"/>
    </row>
    <row r="88" spans="49:49" ht="14">
      <c r="AW88" s="1"/>
    </row>
    <row r="89" spans="49:49" ht="14">
      <c r="AW89" s="1"/>
    </row>
    <row r="90" spans="49:49" ht="14">
      <c r="AW90" s="1"/>
    </row>
    <row r="91" spans="49:49" ht="14">
      <c r="AW91" s="1"/>
    </row>
    <row r="92" spans="49:49" ht="14">
      <c r="AW92" s="1"/>
    </row>
    <row r="93" spans="49:49" ht="14">
      <c r="AW93" s="1"/>
    </row>
    <row r="94" spans="49:49" ht="14">
      <c r="AW94" s="1"/>
    </row>
    <row r="95" spans="49:49" ht="14">
      <c r="AW95" s="1"/>
    </row>
    <row r="96" spans="49:49" ht="14">
      <c r="AW96" s="1"/>
    </row>
    <row r="97" spans="49:49" ht="14">
      <c r="AW97" s="1"/>
    </row>
    <row r="98" spans="49:49" ht="14">
      <c r="AW98" s="1"/>
    </row>
    <row r="99" spans="49:49" ht="14">
      <c r="AW99" s="1"/>
    </row>
    <row r="100" spans="49:49" ht="14">
      <c r="AW100" s="1"/>
    </row>
    <row r="101" spans="49:49" ht="14">
      <c r="AW101" s="1"/>
    </row>
    <row r="102" spans="49:49" ht="14">
      <c r="AW102" s="1"/>
    </row>
    <row r="103" spans="49:49" ht="14">
      <c r="AW103" s="1"/>
    </row>
    <row r="104" spans="49:49" ht="14">
      <c r="AW104" s="1"/>
    </row>
    <row r="105" spans="49:49" ht="14">
      <c r="AW105" s="1"/>
    </row>
    <row r="106" spans="49:49" ht="14">
      <c r="AW106" s="1"/>
    </row>
    <row r="107" spans="49:49" ht="14">
      <c r="AW107" s="1"/>
    </row>
    <row r="108" spans="49:49" ht="14">
      <c r="AW108" s="1"/>
    </row>
    <row r="109" spans="49:49" ht="14">
      <c r="AW109" s="1"/>
    </row>
    <row r="110" spans="49:49" ht="14">
      <c r="AW110" s="1"/>
    </row>
    <row r="111" spans="49:49" ht="14">
      <c r="AW111" s="1"/>
    </row>
    <row r="112" spans="49:49" ht="14">
      <c r="AW112" s="1"/>
    </row>
    <row r="113" spans="49:49" ht="14">
      <c r="AW113" s="1"/>
    </row>
    <row r="114" spans="49:49" ht="14">
      <c r="AW114" s="1"/>
    </row>
    <row r="115" spans="49:49" ht="14">
      <c r="AW115" s="1"/>
    </row>
    <row r="116" spans="49:49" ht="14">
      <c r="AW116" s="1"/>
    </row>
    <row r="117" spans="49:49" ht="14">
      <c r="AW117" s="1"/>
    </row>
    <row r="118" spans="49:49" ht="14">
      <c r="AW118" s="1"/>
    </row>
    <row r="119" spans="49:49" ht="14">
      <c r="AW119" s="1"/>
    </row>
    <row r="120" spans="49:49" ht="14">
      <c r="AW120" s="1"/>
    </row>
    <row r="121" spans="49:49" ht="14">
      <c r="AW121" s="1"/>
    </row>
    <row r="122" spans="49:49" ht="14">
      <c r="AW122" s="1"/>
    </row>
    <row r="123" spans="49:49" ht="14">
      <c r="AW123" s="1"/>
    </row>
    <row r="124" spans="49:49" ht="14">
      <c r="AW124" s="1"/>
    </row>
    <row r="125" spans="49:49" ht="14">
      <c r="AW125" s="1"/>
    </row>
    <row r="126" spans="49:49" ht="14">
      <c r="AW126" s="1"/>
    </row>
    <row r="127" spans="49:49" ht="14">
      <c r="AW127" s="1"/>
    </row>
    <row r="128" spans="49:49" ht="14">
      <c r="AW128" s="1"/>
    </row>
    <row r="129" spans="49:49" ht="14">
      <c r="AW129" s="1"/>
    </row>
    <row r="130" spans="49:49" ht="14">
      <c r="AW130" s="1"/>
    </row>
    <row r="131" spans="49:49" ht="14">
      <c r="AW131" s="1"/>
    </row>
    <row r="132" spans="49:49" ht="14">
      <c r="AW132" s="1"/>
    </row>
    <row r="133" spans="49:49" ht="14">
      <c r="AW133" s="1"/>
    </row>
    <row r="134" spans="49:49" ht="14">
      <c r="AW134" s="1"/>
    </row>
    <row r="135" spans="49:49" ht="14">
      <c r="AW135" s="1"/>
    </row>
    <row r="136" spans="49:49" ht="14">
      <c r="AW136" s="1"/>
    </row>
    <row r="137" spans="49:49" ht="14">
      <c r="AW137" s="1"/>
    </row>
    <row r="138" spans="49:49" ht="14">
      <c r="AW138" s="1"/>
    </row>
    <row r="139" spans="49:49" ht="14">
      <c r="AW139" s="1"/>
    </row>
    <row r="140" spans="49:49" ht="14">
      <c r="AW140" s="1"/>
    </row>
    <row r="141" spans="49:49" ht="14">
      <c r="AW141" s="1"/>
    </row>
    <row r="142" spans="49:49" ht="14">
      <c r="AW142" s="1"/>
    </row>
    <row r="143" spans="49:49" ht="14">
      <c r="AW143" s="1"/>
    </row>
    <row r="144" spans="49:49" ht="14">
      <c r="AW144" s="1"/>
    </row>
    <row r="145" spans="49:49" ht="14">
      <c r="AW145" s="1"/>
    </row>
    <row r="146" spans="49:49" ht="14">
      <c r="AW146" s="1"/>
    </row>
    <row r="147" spans="49:49" ht="14">
      <c r="AW147" s="1"/>
    </row>
    <row r="148" spans="49:49" ht="14">
      <c r="AW148" s="1"/>
    </row>
    <row r="149" spans="49:49" ht="14">
      <c r="AW149" s="1"/>
    </row>
    <row r="150" spans="49:49" ht="14">
      <c r="AW150" s="1"/>
    </row>
    <row r="151" spans="49:49" ht="14">
      <c r="AW151" s="1"/>
    </row>
    <row r="152" spans="49:49" ht="14">
      <c r="AW152" s="1"/>
    </row>
    <row r="153" spans="49:49" ht="14">
      <c r="AW153" s="1"/>
    </row>
    <row r="154" spans="49:49" ht="14">
      <c r="AW154" s="1"/>
    </row>
    <row r="155" spans="49:49" ht="14">
      <c r="AW155" s="1"/>
    </row>
    <row r="156" spans="49:49" ht="14">
      <c r="AW156" s="1"/>
    </row>
    <row r="157" spans="49:49" ht="14">
      <c r="AW157" s="1"/>
    </row>
    <row r="158" spans="49:49" ht="14">
      <c r="AW158" s="1"/>
    </row>
    <row r="159" spans="49:49" ht="14">
      <c r="AW159" s="1"/>
    </row>
    <row r="160" spans="49:49" ht="14">
      <c r="AW160" s="1"/>
    </row>
    <row r="161" spans="49:49" ht="14">
      <c r="AW161" s="1"/>
    </row>
    <row r="162" spans="49:49" ht="14">
      <c r="AW162" s="1"/>
    </row>
    <row r="163" spans="49:49" ht="14">
      <c r="AW163" s="1"/>
    </row>
    <row r="164" spans="49:49" ht="14">
      <c r="AW164" s="1"/>
    </row>
    <row r="165" spans="49:49" ht="14">
      <c r="AW165" s="1"/>
    </row>
    <row r="166" spans="49:49" ht="14">
      <c r="AW166" s="1"/>
    </row>
    <row r="167" spans="49:49" ht="14">
      <c r="AW167" s="1"/>
    </row>
    <row r="168" spans="49:49" ht="14">
      <c r="AW168" s="1"/>
    </row>
    <row r="169" spans="49:49" ht="14">
      <c r="AW169" s="1"/>
    </row>
    <row r="170" spans="49:49" ht="14">
      <c r="AW170" s="1"/>
    </row>
    <row r="171" spans="49:49" ht="14">
      <c r="AW171" s="1"/>
    </row>
    <row r="172" spans="49:49" ht="14">
      <c r="AW172" s="1"/>
    </row>
    <row r="173" spans="49:49" ht="14">
      <c r="AW173" s="1"/>
    </row>
    <row r="174" spans="49:49" ht="14">
      <c r="AW174" s="1"/>
    </row>
    <row r="175" spans="49:49" ht="14">
      <c r="AW175" s="1"/>
    </row>
    <row r="176" spans="49:49" ht="14">
      <c r="AW176" s="1"/>
    </row>
    <row r="177" spans="49:49" ht="14">
      <c r="AW177" s="1"/>
    </row>
    <row r="178" spans="49:49" ht="14">
      <c r="AW178" s="1"/>
    </row>
    <row r="179" spans="49:49" ht="14">
      <c r="AW179" s="1"/>
    </row>
    <row r="180" spans="49:49" ht="14">
      <c r="AW180" s="1"/>
    </row>
    <row r="181" spans="49:49" ht="14">
      <c r="AW181" s="1"/>
    </row>
    <row r="182" spans="49:49" ht="14">
      <c r="AW182" s="1"/>
    </row>
    <row r="183" spans="49:49" ht="14">
      <c r="AW183" s="1"/>
    </row>
    <row r="184" spans="49:49" ht="14">
      <c r="AW184" s="1"/>
    </row>
    <row r="185" spans="49:49" ht="14">
      <c r="AW185" s="1"/>
    </row>
    <row r="186" spans="49:49" ht="14">
      <c r="AW186" s="1"/>
    </row>
    <row r="187" spans="49:49" ht="14">
      <c r="AW187" s="1"/>
    </row>
    <row r="188" spans="49:49" ht="14">
      <c r="AW188" s="1"/>
    </row>
    <row r="189" spans="49:49" ht="14">
      <c r="AW189" s="1"/>
    </row>
    <row r="190" spans="49:49" ht="14">
      <c r="AW190" s="1"/>
    </row>
    <row r="191" spans="49:49" ht="14">
      <c r="AW191" s="1"/>
    </row>
    <row r="192" spans="49:49" ht="14">
      <c r="AW192" s="1"/>
    </row>
    <row r="193" spans="49:49" ht="14">
      <c r="AW193" s="1"/>
    </row>
    <row r="194" spans="49:49" ht="14">
      <c r="AW194" s="1"/>
    </row>
    <row r="195" spans="49:49" ht="14">
      <c r="AW195" s="1"/>
    </row>
    <row r="196" spans="49:49" ht="14">
      <c r="AW196" s="1"/>
    </row>
    <row r="197" spans="49:49" ht="14">
      <c r="AW197" s="1"/>
    </row>
    <row r="198" spans="49:49" ht="14">
      <c r="AW198" s="1"/>
    </row>
    <row r="199" spans="49:49" ht="14">
      <c r="AW199" s="1"/>
    </row>
    <row r="200" spans="49:49" ht="14">
      <c r="AW200" s="1"/>
    </row>
    <row r="201" spans="49:49" ht="14">
      <c r="AW201" s="1"/>
    </row>
    <row r="202" spans="49:49" ht="14">
      <c r="AW202" s="1"/>
    </row>
    <row r="203" spans="49:49" ht="14">
      <c r="AW203" s="1"/>
    </row>
    <row r="204" spans="49:49" ht="14">
      <c r="AW204" s="1"/>
    </row>
    <row r="205" spans="49:49" ht="14">
      <c r="AW205" s="1"/>
    </row>
    <row r="206" spans="49:49" ht="14">
      <c r="AW206" s="1"/>
    </row>
    <row r="207" spans="49:49" ht="14">
      <c r="AW207" s="1"/>
    </row>
    <row r="208" spans="49:49" ht="14">
      <c r="AW208" s="1"/>
    </row>
    <row r="209" spans="49:49" ht="14">
      <c r="AW209" s="1"/>
    </row>
    <row r="210" spans="49:49" ht="14">
      <c r="AW210" s="1"/>
    </row>
    <row r="211" spans="49:49" ht="14">
      <c r="AW211" s="1"/>
    </row>
    <row r="212" spans="49:49" ht="14">
      <c r="AW212" s="1"/>
    </row>
    <row r="213" spans="49:49" ht="14">
      <c r="AW213" s="1"/>
    </row>
    <row r="214" spans="49:49" ht="14">
      <c r="AW214" s="1"/>
    </row>
    <row r="215" spans="49:49" ht="14">
      <c r="AW215" s="1"/>
    </row>
    <row r="216" spans="49:49" ht="14">
      <c r="AW216" s="1"/>
    </row>
    <row r="217" spans="49:49" ht="14">
      <c r="AW217" s="1"/>
    </row>
    <row r="218" spans="49:49" ht="14">
      <c r="AW218" s="1"/>
    </row>
    <row r="219" spans="49:49" ht="14">
      <c r="AW219" s="1"/>
    </row>
    <row r="220" spans="49:49" ht="14">
      <c r="AW220" s="1"/>
    </row>
    <row r="221" spans="49:49" ht="14">
      <c r="AW221" s="1"/>
    </row>
    <row r="222" spans="49:49" ht="14">
      <c r="AW222" s="1"/>
    </row>
    <row r="223" spans="49:49" ht="14">
      <c r="AW223" s="1"/>
    </row>
    <row r="224" spans="49:49" ht="14">
      <c r="AW224" s="1"/>
    </row>
    <row r="225" spans="49:49" ht="14">
      <c r="AW225" s="1"/>
    </row>
    <row r="226" spans="49:49" ht="14">
      <c r="AW226" s="1"/>
    </row>
    <row r="227" spans="49:49" ht="14">
      <c r="AW227" s="1"/>
    </row>
    <row r="228" spans="49:49" ht="14">
      <c r="AW228" s="1"/>
    </row>
    <row r="229" spans="49:49" ht="14">
      <c r="AW229" s="1"/>
    </row>
    <row r="230" spans="49:49" ht="14">
      <c r="AW230" s="1"/>
    </row>
    <row r="231" spans="49:49" ht="14">
      <c r="AW231" s="1"/>
    </row>
    <row r="232" spans="49:49" ht="14">
      <c r="AW232" s="1"/>
    </row>
    <row r="233" spans="49:49" ht="14">
      <c r="AW233" s="1"/>
    </row>
    <row r="234" spans="49:49" ht="14">
      <c r="AW234" s="1"/>
    </row>
    <row r="235" spans="49:49" ht="14">
      <c r="AW235" s="1"/>
    </row>
    <row r="236" spans="49:49" ht="14">
      <c r="AW236" s="1"/>
    </row>
    <row r="237" spans="49:49" ht="14">
      <c r="AW237" s="1"/>
    </row>
    <row r="238" spans="49:49" ht="14">
      <c r="AW238" s="1"/>
    </row>
    <row r="239" spans="49:49" ht="14">
      <c r="AW239" s="1"/>
    </row>
    <row r="240" spans="49:49" ht="14">
      <c r="AW240" s="1"/>
    </row>
    <row r="241" spans="49:49" ht="14">
      <c r="AW241" s="1"/>
    </row>
    <row r="242" spans="49:49" ht="14">
      <c r="AW242" s="1"/>
    </row>
    <row r="243" spans="49:49" ht="14">
      <c r="AW243" s="1"/>
    </row>
    <row r="244" spans="49:49" ht="14">
      <c r="AW244" s="1"/>
    </row>
    <row r="245" spans="49:49" ht="14">
      <c r="AW245" s="1"/>
    </row>
    <row r="246" spans="49:49" ht="14">
      <c r="AW246" s="1"/>
    </row>
    <row r="247" spans="49:49" ht="14">
      <c r="AW247" s="1"/>
    </row>
    <row r="248" spans="49:49" ht="14">
      <c r="AW248" s="1"/>
    </row>
    <row r="249" spans="49:49" ht="14">
      <c r="AW249" s="1"/>
    </row>
    <row r="250" spans="49:49" ht="14">
      <c r="AW250" s="1"/>
    </row>
    <row r="251" spans="49:49" ht="14">
      <c r="AW251" s="1"/>
    </row>
    <row r="252" spans="49:49" ht="14">
      <c r="AW252" s="1"/>
    </row>
    <row r="253" spans="49:49" ht="14">
      <c r="AW253" s="1"/>
    </row>
    <row r="254" spans="49:49" ht="14">
      <c r="AW254" s="1"/>
    </row>
    <row r="255" spans="49:49" ht="14">
      <c r="AW255" s="1"/>
    </row>
    <row r="256" spans="49:49" ht="14">
      <c r="AW256" s="1"/>
    </row>
    <row r="257" spans="49:49" ht="14">
      <c r="AW257" s="1"/>
    </row>
    <row r="258" spans="49:49" ht="14">
      <c r="AW258" s="1"/>
    </row>
    <row r="259" spans="49:49" ht="14">
      <c r="AW259" s="1"/>
    </row>
    <row r="260" spans="49:49" ht="14">
      <c r="AW260" s="1"/>
    </row>
    <row r="261" spans="49:49" ht="14">
      <c r="AW261" s="1"/>
    </row>
    <row r="262" spans="49:49" ht="14">
      <c r="AW262" s="1"/>
    </row>
    <row r="263" spans="49:49" ht="14">
      <c r="AW263" s="1"/>
    </row>
    <row r="264" spans="49:49" ht="14">
      <c r="AW264" s="1"/>
    </row>
    <row r="265" spans="49:49" ht="14">
      <c r="AW265" s="1"/>
    </row>
    <row r="266" spans="49:49" ht="14">
      <c r="AW266" s="1"/>
    </row>
    <row r="267" spans="49:49" ht="14">
      <c r="AW267" s="1"/>
    </row>
    <row r="268" spans="49:49" ht="14">
      <c r="AW268" s="1"/>
    </row>
    <row r="269" spans="49:49" ht="14">
      <c r="AW269" s="1"/>
    </row>
    <row r="270" spans="49:49" ht="14">
      <c r="AW270" s="1"/>
    </row>
    <row r="271" spans="49:49" ht="14">
      <c r="AW271" s="1"/>
    </row>
    <row r="272" spans="49:49" ht="14">
      <c r="AW272" s="1"/>
    </row>
    <row r="273" spans="49:49" ht="14">
      <c r="AW273" s="1"/>
    </row>
    <row r="274" spans="49:49" ht="14">
      <c r="AW274" s="1"/>
    </row>
    <row r="275" spans="49:49" ht="14">
      <c r="AW275" s="1"/>
    </row>
    <row r="276" spans="49:49" ht="14">
      <c r="AW276" s="1"/>
    </row>
    <row r="277" spans="49:49" ht="14">
      <c r="AW277" s="1"/>
    </row>
    <row r="278" spans="49:49" ht="14">
      <c r="AW278" s="1"/>
    </row>
    <row r="279" spans="49:49" ht="14">
      <c r="AW279" s="1"/>
    </row>
    <row r="280" spans="49:49" ht="14">
      <c r="AW280" s="1"/>
    </row>
    <row r="281" spans="49:49" ht="14">
      <c r="AW281" s="1"/>
    </row>
    <row r="282" spans="49:49" ht="14">
      <c r="AW282" s="1"/>
    </row>
    <row r="283" spans="49:49" ht="14">
      <c r="AW283" s="1"/>
    </row>
    <row r="284" spans="49:49" ht="14">
      <c r="AW284" s="1"/>
    </row>
    <row r="285" spans="49:49" ht="14">
      <c r="AW285" s="1"/>
    </row>
    <row r="286" spans="49:49" ht="14">
      <c r="AW286" s="1"/>
    </row>
    <row r="287" spans="49:49" ht="14">
      <c r="AW287" s="1"/>
    </row>
    <row r="288" spans="49:49" ht="14">
      <c r="AW288" s="1"/>
    </row>
    <row r="289" spans="49:49" ht="14">
      <c r="AW289" s="1"/>
    </row>
    <row r="290" spans="49:49" ht="14">
      <c r="AW290" s="1"/>
    </row>
    <row r="291" spans="49:49" ht="14">
      <c r="AW291" s="1"/>
    </row>
    <row r="292" spans="49:49" ht="14">
      <c r="AW292" s="1"/>
    </row>
    <row r="293" spans="49:49" ht="14">
      <c r="AW293" s="1"/>
    </row>
    <row r="294" spans="49:49" ht="14">
      <c r="AW294" s="1"/>
    </row>
    <row r="295" spans="49:49" ht="14">
      <c r="AW295" s="1"/>
    </row>
    <row r="296" spans="49:49" ht="14">
      <c r="AW296" s="1"/>
    </row>
    <row r="297" spans="49:49" ht="14">
      <c r="AW297" s="1"/>
    </row>
    <row r="298" spans="49:49" ht="14">
      <c r="AW298" s="1"/>
    </row>
    <row r="299" spans="49:49" ht="14">
      <c r="AW299" s="1"/>
    </row>
    <row r="300" spans="49:49" ht="14">
      <c r="AW300" s="1"/>
    </row>
    <row r="301" spans="49:49" ht="14">
      <c r="AW301" s="1"/>
    </row>
    <row r="302" spans="49:49" ht="14">
      <c r="AW302" s="1"/>
    </row>
    <row r="303" spans="49:49" ht="14">
      <c r="AW303" s="1"/>
    </row>
    <row r="304" spans="49:49" ht="14">
      <c r="AW304" s="1"/>
    </row>
    <row r="305" spans="49:49" ht="14">
      <c r="AW305" s="1"/>
    </row>
    <row r="306" spans="49:49" ht="14">
      <c r="AW306" s="1"/>
    </row>
    <row r="307" spans="49:49" ht="14">
      <c r="AW307" s="1"/>
    </row>
    <row r="308" spans="49:49" ht="14">
      <c r="AW308" s="1"/>
    </row>
    <row r="309" spans="49:49" ht="14">
      <c r="AW309" s="1"/>
    </row>
    <row r="310" spans="49:49" ht="14">
      <c r="AW310" s="1"/>
    </row>
    <row r="311" spans="49:49" ht="14">
      <c r="AW311" s="1"/>
    </row>
    <row r="312" spans="49:49" ht="14">
      <c r="AW312" s="1"/>
    </row>
    <row r="313" spans="49:49" ht="14">
      <c r="AW313" s="1"/>
    </row>
    <row r="314" spans="49:49" ht="14">
      <c r="AW314" s="1"/>
    </row>
    <row r="315" spans="49:49" ht="14">
      <c r="AW315" s="1"/>
    </row>
    <row r="316" spans="49:49" ht="14">
      <c r="AW316" s="1"/>
    </row>
    <row r="317" spans="49:49" ht="14">
      <c r="AW317" s="1"/>
    </row>
    <row r="318" spans="49:49" ht="14">
      <c r="AW318" s="1"/>
    </row>
    <row r="319" spans="49:49" ht="14">
      <c r="AW319" s="1"/>
    </row>
    <row r="320" spans="49:49" ht="14">
      <c r="AW320" s="1"/>
    </row>
    <row r="321" spans="49:49" ht="14">
      <c r="AW321" s="1"/>
    </row>
    <row r="322" spans="49:49" ht="14">
      <c r="AW322" s="1"/>
    </row>
    <row r="323" spans="49:49" ht="14">
      <c r="AW323" s="1"/>
    </row>
    <row r="324" spans="49:49" ht="14">
      <c r="AW324" s="1"/>
    </row>
    <row r="325" spans="49:49" ht="14">
      <c r="AW325" s="1"/>
    </row>
    <row r="326" spans="49:49" ht="14">
      <c r="AW326" s="1"/>
    </row>
    <row r="327" spans="49:49" ht="14">
      <c r="AW327" s="1"/>
    </row>
    <row r="328" spans="49:49" ht="14">
      <c r="AW328" s="1"/>
    </row>
    <row r="329" spans="49:49" ht="14">
      <c r="AW329" s="1"/>
    </row>
    <row r="330" spans="49:49" ht="14">
      <c r="AW330" s="1"/>
    </row>
    <row r="331" spans="49:49" ht="14">
      <c r="AW331" s="1"/>
    </row>
    <row r="332" spans="49:49" ht="14">
      <c r="AW332" s="1"/>
    </row>
    <row r="333" spans="49:49" ht="14">
      <c r="AW333" s="1"/>
    </row>
    <row r="334" spans="49:49" ht="14">
      <c r="AW334" s="1"/>
    </row>
    <row r="335" spans="49:49" ht="14">
      <c r="AW335" s="1"/>
    </row>
    <row r="336" spans="49:49" ht="14">
      <c r="AW336" s="1"/>
    </row>
    <row r="337" spans="49:49" ht="14">
      <c r="AW337" s="1"/>
    </row>
    <row r="338" spans="49:49" ht="14">
      <c r="AW338" s="1"/>
    </row>
    <row r="339" spans="49:49" ht="14">
      <c r="AW339" s="1"/>
    </row>
    <row r="340" spans="49:49" ht="14">
      <c r="AW340" s="1"/>
    </row>
    <row r="341" spans="49:49" ht="14">
      <c r="AW341" s="1"/>
    </row>
    <row r="342" spans="49:49" ht="14">
      <c r="AW342" s="1"/>
    </row>
    <row r="343" spans="49:49" ht="14">
      <c r="AW343" s="1"/>
    </row>
    <row r="344" spans="49:49" ht="14">
      <c r="AW344" s="1"/>
    </row>
    <row r="345" spans="49:49" ht="14">
      <c r="AW345" s="1"/>
    </row>
    <row r="346" spans="49:49" ht="14">
      <c r="AW346" s="1"/>
    </row>
    <row r="347" spans="49:49" ht="14">
      <c r="AW347" s="1"/>
    </row>
    <row r="348" spans="49:49" ht="14">
      <c r="AW348" s="1"/>
    </row>
    <row r="349" spans="49:49" ht="14">
      <c r="AW349" s="1"/>
    </row>
    <row r="350" spans="49:49" ht="14">
      <c r="AW350" s="1"/>
    </row>
    <row r="351" spans="49:49" ht="14">
      <c r="AW351" s="1"/>
    </row>
    <row r="352" spans="49:49" ht="14">
      <c r="AW352" s="1"/>
    </row>
    <row r="353" spans="49:49" ht="14">
      <c r="AW353" s="1"/>
    </row>
    <row r="354" spans="49:49" ht="14">
      <c r="AW354" s="1"/>
    </row>
    <row r="355" spans="49:49" ht="14">
      <c r="AW355" s="1"/>
    </row>
    <row r="356" spans="49:49" ht="14">
      <c r="AW356" s="1"/>
    </row>
    <row r="357" spans="49:49" ht="14">
      <c r="AW357" s="1"/>
    </row>
    <row r="358" spans="49:49" ht="14">
      <c r="AW358" s="1"/>
    </row>
    <row r="359" spans="49:49" ht="14">
      <c r="AW359" s="1"/>
    </row>
    <row r="360" spans="49:49" ht="14">
      <c r="AW360" s="1"/>
    </row>
    <row r="361" spans="49:49" ht="14">
      <c r="AW361" s="1"/>
    </row>
    <row r="362" spans="49:49" ht="14">
      <c r="AW362" s="1"/>
    </row>
    <row r="363" spans="49:49" ht="14">
      <c r="AW363" s="1"/>
    </row>
    <row r="364" spans="49:49" ht="14">
      <c r="AW364" s="1"/>
    </row>
    <row r="365" spans="49:49" ht="14">
      <c r="AW365" s="1"/>
    </row>
    <row r="366" spans="49:49" ht="14">
      <c r="AW366" s="1"/>
    </row>
    <row r="367" spans="49:49" ht="14">
      <c r="AW367" s="1"/>
    </row>
    <row r="368" spans="49:49" ht="14">
      <c r="AW368" s="1"/>
    </row>
    <row r="369" spans="49:49" ht="14">
      <c r="AW369" s="1"/>
    </row>
    <row r="370" spans="49:49" ht="14">
      <c r="AW370" s="1"/>
    </row>
    <row r="371" spans="49:49" ht="14">
      <c r="AW371" s="1"/>
    </row>
    <row r="372" spans="49:49" ht="14">
      <c r="AW372" s="1"/>
    </row>
    <row r="373" spans="49:49" ht="14">
      <c r="AW373" s="1"/>
    </row>
    <row r="374" spans="49:49" ht="14">
      <c r="AW374" s="1"/>
    </row>
    <row r="375" spans="49:49" ht="14">
      <c r="AW375" s="1"/>
    </row>
    <row r="376" spans="49:49" ht="14">
      <c r="AW376" s="1"/>
    </row>
    <row r="377" spans="49:49" ht="14">
      <c r="AW377" s="1"/>
    </row>
    <row r="378" spans="49:49" ht="14">
      <c r="AW378" s="1"/>
    </row>
    <row r="379" spans="49:49" ht="14">
      <c r="AW379" s="1"/>
    </row>
    <row r="380" spans="49:49" ht="14">
      <c r="AW380" s="1"/>
    </row>
    <row r="381" spans="49:49" ht="14">
      <c r="AW381" s="1"/>
    </row>
    <row r="382" spans="49:49" ht="14">
      <c r="AW382" s="1"/>
    </row>
    <row r="383" spans="49:49" ht="14">
      <c r="AW383" s="1"/>
    </row>
    <row r="384" spans="49:49" ht="14">
      <c r="AW384" s="1"/>
    </row>
    <row r="385" spans="49:49" ht="14">
      <c r="AW385" s="1"/>
    </row>
    <row r="386" spans="49:49" ht="14">
      <c r="AW386" s="1"/>
    </row>
    <row r="387" spans="49:49" ht="14">
      <c r="AW387" s="1"/>
    </row>
    <row r="388" spans="49:49" ht="14">
      <c r="AW388" s="1"/>
    </row>
    <row r="389" spans="49:49" ht="14">
      <c r="AW389" s="1"/>
    </row>
    <row r="390" spans="49:49" ht="14">
      <c r="AW390" s="1"/>
    </row>
    <row r="391" spans="49:49" ht="14">
      <c r="AW391" s="1"/>
    </row>
    <row r="392" spans="49:49" ht="14">
      <c r="AW392" s="1"/>
    </row>
    <row r="393" spans="49:49" ht="14">
      <c r="AW393" s="1"/>
    </row>
    <row r="394" spans="49:49" ht="14">
      <c r="AW394" s="1"/>
    </row>
    <row r="395" spans="49:49" ht="14">
      <c r="AW395" s="1"/>
    </row>
    <row r="396" spans="49:49" ht="14">
      <c r="AW396" s="1"/>
    </row>
    <row r="397" spans="49:49" ht="14">
      <c r="AW397" s="1"/>
    </row>
    <row r="398" spans="49:49" ht="14">
      <c r="AW398" s="1"/>
    </row>
    <row r="399" spans="49:49" ht="14">
      <c r="AW399" s="1"/>
    </row>
    <row r="400" spans="49:49" ht="14">
      <c r="AW400" s="1"/>
    </row>
    <row r="401" spans="49:49" ht="14">
      <c r="AW401" s="1"/>
    </row>
    <row r="402" spans="49:49" ht="14">
      <c r="AW402" s="1"/>
    </row>
    <row r="403" spans="49:49" ht="14">
      <c r="AW403" s="1"/>
    </row>
    <row r="404" spans="49:49" ht="14">
      <c r="AW404" s="1"/>
    </row>
    <row r="405" spans="49:49" ht="14">
      <c r="AW405" s="1"/>
    </row>
    <row r="406" spans="49:49" ht="14">
      <c r="AW406" s="1"/>
    </row>
    <row r="407" spans="49:49" ht="14">
      <c r="AW407" s="1"/>
    </row>
    <row r="408" spans="49:49" ht="14">
      <c r="AW408" s="1"/>
    </row>
    <row r="409" spans="49:49" ht="14">
      <c r="AW409" s="1"/>
    </row>
    <row r="410" spans="49:49" ht="14">
      <c r="AW410" s="1"/>
    </row>
    <row r="411" spans="49:49" ht="14">
      <c r="AW411" s="1"/>
    </row>
    <row r="412" spans="49:49" ht="14">
      <c r="AW412" s="1"/>
    </row>
    <row r="413" spans="49:49" ht="14">
      <c r="AW413" s="1"/>
    </row>
    <row r="414" spans="49:49" ht="14">
      <c r="AW414" s="1"/>
    </row>
    <row r="415" spans="49:49" ht="14">
      <c r="AW415" s="1"/>
    </row>
    <row r="416" spans="49:49" ht="14">
      <c r="AW416" s="1"/>
    </row>
    <row r="417" spans="49:49" ht="14">
      <c r="AW417" s="1"/>
    </row>
    <row r="418" spans="49:49" ht="14">
      <c r="AW418" s="1"/>
    </row>
    <row r="419" spans="49:49" ht="14">
      <c r="AW419" s="1"/>
    </row>
    <row r="420" spans="49:49" ht="14">
      <c r="AW420" s="1"/>
    </row>
    <row r="421" spans="49:49" ht="14">
      <c r="AW421" s="1"/>
    </row>
    <row r="422" spans="49:49" ht="14">
      <c r="AW422" s="1"/>
    </row>
    <row r="423" spans="49:49" ht="14">
      <c r="AW423" s="1"/>
    </row>
    <row r="424" spans="49:49" ht="14">
      <c r="AW424" s="1"/>
    </row>
    <row r="425" spans="49:49" ht="14">
      <c r="AW425" s="1"/>
    </row>
    <row r="426" spans="49:49" ht="14">
      <c r="AW426" s="1"/>
    </row>
    <row r="427" spans="49:49" ht="14">
      <c r="AW427" s="1"/>
    </row>
    <row r="428" spans="49:49" ht="14">
      <c r="AW428" s="1"/>
    </row>
    <row r="429" spans="49:49" ht="14">
      <c r="AW429" s="1"/>
    </row>
    <row r="430" spans="49:49" ht="14">
      <c r="AW430" s="1"/>
    </row>
    <row r="431" spans="49:49" ht="14">
      <c r="AW431" s="1"/>
    </row>
    <row r="432" spans="49:49" ht="14">
      <c r="AW432" s="1"/>
    </row>
    <row r="433" spans="49:49" ht="14">
      <c r="AW433" s="1"/>
    </row>
    <row r="434" spans="49:49" ht="14">
      <c r="AW434" s="1"/>
    </row>
    <row r="435" spans="49:49" ht="14">
      <c r="AW435" s="1"/>
    </row>
    <row r="436" spans="49:49" ht="14">
      <c r="AW436" s="1"/>
    </row>
    <row r="437" spans="49:49" ht="14">
      <c r="AW437" s="1"/>
    </row>
    <row r="438" spans="49:49" ht="14">
      <c r="AW438" s="1"/>
    </row>
    <row r="439" spans="49:49" ht="14">
      <c r="AW439" s="1"/>
    </row>
    <row r="440" spans="49:49" ht="14">
      <c r="AW440" s="1"/>
    </row>
    <row r="441" spans="49:49" ht="14">
      <c r="AW441" s="1"/>
    </row>
    <row r="442" spans="49:49" ht="14">
      <c r="AW442" s="1"/>
    </row>
    <row r="443" spans="49:49" ht="14">
      <c r="AW443" s="1"/>
    </row>
    <row r="444" spans="49:49" ht="14">
      <c r="AW444" s="1"/>
    </row>
    <row r="445" spans="49:49" ht="14">
      <c r="AW445" s="1"/>
    </row>
    <row r="446" spans="49:49" ht="14">
      <c r="AW446" s="1"/>
    </row>
    <row r="447" spans="49:49" ht="14">
      <c r="AW447" s="1"/>
    </row>
    <row r="448" spans="49:49" ht="14">
      <c r="AW448" s="1"/>
    </row>
    <row r="449" spans="49:49" ht="14">
      <c r="AW449" s="1"/>
    </row>
    <row r="450" spans="49:49" ht="14">
      <c r="AW450" s="1"/>
    </row>
    <row r="451" spans="49:49" ht="14">
      <c r="AW451" s="1"/>
    </row>
    <row r="452" spans="49:49" ht="14">
      <c r="AW452" s="1"/>
    </row>
    <row r="453" spans="49:49" ht="14">
      <c r="AW453" s="1"/>
    </row>
    <row r="454" spans="49:49" ht="14">
      <c r="AW454" s="1"/>
    </row>
    <row r="455" spans="49:49" ht="14">
      <c r="AW455" s="1"/>
    </row>
    <row r="456" spans="49:49" ht="14">
      <c r="AW456" s="1"/>
    </row>
    <row r="457" spans="49:49" ht="14">
      <c r="AW457" s="1"/>
    </row>
    <row r="458" spans="49:49" ht="14">
      <c r="AW458" s="1"/>
    </row>
    <row r="459" spans="49:49" ht="14">
      <c r="AW459" s="1"/>
    </row>
    <row r="460" spans="49:49" ht="14">
      <c r="AW460" s="1"/>
    </row>
    <row r="461" spans="49:49" ht="14">
      <c r="AW461" s="1"/>
    </row>
    <row r="462" spans="49:49" ht="14">
      <c r="AW462" s="1"/>
    </row>
    <row r="463" spans="49:49" ht="14">
      <c r="AW463" s="1"/>
    </row>
    <row r="464" spans="49:49" ht="14">
      <c r="AW464" s="1"/>
    </row>
    <row r="465" spans="49:49" ht="14">
      <c r="AW465" s="1"/>
    </row>
    <row r="466" spans="49:49" ht="14">
      <c r="AW466" s="1"/>
    </row>
    <row r="467" spans="49:49" ht="14">
      <c r="AW467" s="1"/>
    </row>
    <row r="468" spans="49:49" ht="14">
      <c r="AW468" s="1"/>
    </row>
    <row r="469" spans="49:49" ht="14">
      <c r="AW469" s="1"/>
    </row>
    <row r="470" spans="49:49" ht="14">
      <c r="AW470" s="1"/>
    </row>
    <row r="471" spans="49:49" ht="14">
      <c r="AW471" s="1"/>
    </row>
    <row r="472" spans="49:49" ht="14">
      <c r="AW472" s="1"/>
    </row>
    <row r="473" spans="49:49" ht="14">
      <c r="AW473" s="1"/>
    </row>
    <row r="474" spans="49:49" ht="14">
      <c r="AW474" s="1"/>
    </row>
    <row r="475" spans="49:49" ht="14">
      <c r="AW475" s="1"/>
    </row>
    <row r="476" spans="49:49" ht="14">
      <c r="AW476" s="1"/>
    </row>
    <row r="477" spans="49:49" ht="14">
      <c r="AW477" s="1"/>
    </row>
    <row r="478" spans="49:49" ht="14">
      <c r="AW478" s="1"/>
    </row>
    <row r="479" spans="49:49" ht="14">
      <c r="AW479" s="1"/>
    </row>
    <row r="480" spans="49:49" ht="14">
      <c r="AW480" s="1"/>
    </row>
    <row r="481" spans="49:49" ht="14">
      <c r="AW481" s="1"/>
    </row>
    <row r="482" spans="49:49" ht="14">
      <c r="AW482" s="1"/>
    </row>
    <row r="483" spans="49:49" ht="14">
      <c r="AW483" s="1"/>
    </row>
    <row r="484" spans="49:49" ht="14">
      <c r="AW484" s="1"/>
    </row>
    <row r="485" spans="49:49" ht="14">
      <c r="AW485" s="1"/>
    </row>
    <row r="486" spans="49:49" ht="14">
      <c r="AW486" s="1"/>
    </row>
    <row r="487" spans="49:49" ht="14">
      <c r="AW487" s="1"/>
    </row>
    <row r="488" spans="49:49" ht="14">
      <c r="AW488" s="1"/>
    </row>
    <row r="489" spans="49:49" ht="14">
      <c r="AW489" s="1"/>
    </row>
    <row r="490" spans="49:49" ht="14">
      <c r="AW490" s="1"/>
    </row>
    <row r="491" spans="49:49" ht="14">
      <c r="AW491" s="1"/>
    </row>
    <row r="492" spans="49:49" ht="14">
      <c r="AW492" s="1"/>
    </row>
    <row r="493" spans="49:49" ht="14">
      <c r="AW493" s="1"/>
    </row>
    <row r="494" spans="49:49" ht="14">
      <c r="AW494" s="1"/>
    </row>
    <row r="495" spans="49:49" ht="14">
      <c r="AW495" s="1"/>
    </row>
    <row r="496" spans="49:49" ht="14">
      <c r="AW496" s="1"/>
    </row>
    <row r="497" spans="49:49" ht="14">
      <c r="AW497" s="1"/>
    </row>
    <row r="498" spans="49:49" ht="14">
      <c r="AW498" s="1"/>
    </row>
    <row r="499" spans="49:49" ht="14">
      <c r="AW499" s="1"/>
    </row>
    <row r="500" spans="49:49" ht="14">
      <c r="AW500" s="1"/>
    </row>
    <row r="501" spans="49:49" ht="14">
      <c r="AW501" s="1"/>
    </row>
    <row r="502" spans="49:49" ht="14">
      <c r="AW502" s="1"/>
    </row>
    <row r="503" spans="49:49" ht="14">
      <c r="AW503" s="1"/>
    </row>
    <row r="504" spans="49:49" ht="14">
      <c r="AW504" s="1"/>
    </row>
    <row r="505" spans="49:49" ht="14">
      <c r="AW505" s="1"/>
    </row>
    <row r="506" spans="49:49" ht="14">
      <c r="AW506" s="1"/>
    </row>
    <row r="507" spans="49:49" ht="14">
      <c r="AW507" s="1"/>
    </row>
    <row r="508" spans="49:49" ht="14">
      <c r="AW508" s="1"/>
    </row>
    <row r="509" spans="49:49" ht="14">
      <c r="AW509" s="1"/>
    </row>
    <row r="510" spans="49:49" ht="14">
      <c r="AW510" s="1"/>
    </row>
    <row r="511" spans="49:49" ht="14">
      <c r="AW511" s="1"/>
    </row>
    <row r="512" spans="49:49" ht="14">
      <c r="AW512" s="1"/>
    </row>
    <row r="513" spans="49:49" ht="14">
      <c r="AW513" s="1"/>
    </row>
    <row r="514" spans="49:49" ht="14">
      <c r="AW514" s="1"/>
    </row>
    <row r="515" spans="49:49" ht="14">
      <c r="AW515" s="1"/>
    </row>
    <row r="516" spans="49:49" ht="14">
      <c r="AW516" s="1"/>
    </row>
    <row r="517" spans="49:49" ht="14">
      <c r="AW517" s="1"/>
    </row>
    <row r="518" spans="49:49" ht="14">
      <c r="AW518" s="1"/>
    </row>
    <row r="519" spans="49:49" ht="14">
      <c r="AW519" s="1"/>
    </row>
    <row r="520" spans="49:49" ht="14">
      <c r="AW520" s="1"/>
    </row>
    <row r="521" spans="49:49" ht="14">
      <c r="AW521" s="1"/>
    </row>
    <row r="522" spans="49:49" ht="14">
      <c r="AW522" s="1"/>
    </row>
    <row r="523" spans="49:49" ht="14">
      <c r="AW523" s="1"/>
    </row>
    <row r="524" spans="49:49" ht="14">
      <c r="AW524" s="1"/>
    </row>
    <row r="525" spans="49:49" ht="14">
      <c r="AW525" s="1"/>
    </row>
    <row r="526" spans="49:49" ht="14">
      <c r="AW526" s="1"/>
    </row>
    <row r="527" spans="49:49" ht="14">
      <c r="AW527" s="1"/>
    </row>
    <row r="528" spans="49:49" ht="14">
      <c r="AW528" s="1"/>
    </row>
    <row r="529" spans="49:49" ht="14">
      <c r="AW529" s="1"/>
    </row>
    <row r="530" spans="49:49" ht="14">
      <c r="AW530" s="1"/>
    </row>
    <row r="531" spans="49:49" ht="14">
      <c r="AW531" s="1"/>
    </row>
    <row r="532" spans="49:49" ht="14">
      <c r="AW532" s="1"/>
    </row>
    <row r="533" spans="49:49" ht="14">
      <c r="AW533" s="1"/>
    </row>
    <row r="534" spans="49:49" ht="14">
      <c r="AW534" s="1"/>
    </row>
    <row r="535" spans="49:49" ht="14">
      <c r="AW535" s="1"/>
    </row>
    <row r="536" spans="49:49" ht="14">
      <c r="AW536" s="1"/>
    </row>
    <row r="537" spans="49:49" ht="14">
      <c r="AW537" s="1"/>
    </row>
    <row r="538" spans="49:49" ht="14">
      <c r="AW538" s="1"/>
    </row>
    <row r="539" spans="49:49" ht="14">
      <c r="AW539" s="1"/>
    </row>
    <row r="540" spans="49:49" ht="14">
      <c r="AW540" s="1"/>
    </row>
    <row r="541" spans="49:49" ht="14">
      <c r="AW541" s="1"/>
    </row>
    <row r="542" spans="49:49" ht="14">
      <c r="AW542" s="1"/>
    </row>
    <row r="543" spans="49:49" ht="14">
      <c r="AW543" s="1"/>
    </row>
    <row r="544" spans="49:49" ht="14">
      <c r="AW544" s="1"/>
    </row>
    <row r="545" spans="49:49" ht="14">
      <c r="AW545" s="1"/>
    </row>
    <row r="546" spans="49:49" ht="14">
      <c r="AW546" s="1"/>
    </row>
    <row r="547" spans="49:49" ht="14">
      <c r="AW547" s="1"/>
    </row>
    <row r="548" spans="49:49" ht="14">
      <c r="AW548" s="1"/>
    </row>
    <row r="549" spans="49:49" ht="14">
      <c r="AW549" s="1"/>
    </row>
    <row r="550" spans="49:49" ht="14">
      <c r="AW550" s="1"/>
    </row>
    <row r="551" spans="49:49" ht="14">
      <c r="AW551" s="1"/>
    </row>
    <row r="552" spans="49:49" ht="14">
      <c r="AW552" s="1"/>
    </row>
    <row r="553" spans="49:49" ht="14">
      <c r="AW553" s="1"/>
    </row>
    <row r="554" spans="49:49" ht="14">
      <c r="AW554" s="1"/>
    </row>
    <row r="555" spans="49:49" ht="14">
      <c r="AW555" s="1"/>
    </row>
    <row r="556" spans="49:49" ht="14">
      <c r="AW556" s="1"/>
    </row>
    <row r="557" spans="49:49" ht="14">
      <c r="AW557" s="1"/>
    </row>
    <row r="558" spans="49:49" ht="14">
      <c r="AW558" s="1"/>
    </row>
    <row r="559" spans="49:49" ht="14">
      <c r="AW559" s="1"/>
    </row>
    <row r="560" spans="49:49" ht="14">
      <c r="AW560" s="1"/>
    </row>
    <row r="561" spans="49:49" ht="14">
      <c r="AW561" s="1"/>
    </row>
    <row r="562" spans="49:49" ht="14">
      <c r="AW562" s="1"/>
    </row>
    <row r="563" spans="49:49" ht="14">
      <c r="AW563" s="1"/>
    </row>
    <row r="564" spans="49:49" ht="14">
      <c r="AW564" s="1"/>
    </row>
    <row r="565" spans="49:49" ht="14">
      <c r="AW565" s="1"/>
    </row>
    <row r="566" spans="49:49" ht="14">
      <c r="AW566" s="1"/>
    </row>
    <row r="567" spans="49:49" ht="14">
      <c r="AW567" s="1"/>
    </row>
    <row r="568" spans="49:49" ht="14">
      <c r="AW568" s="1"/>
    </row>
    <row r="569" spans="49:49" ht="14">
      <c r="AW569" s="1"/>
    </row>
    <row r="570" spans="49:49" ht="14">
      <c r="AW570" s="1"/>
    </row>
    <row r="571" spans="49:49" ht="14">
      <c r="AW571" s="1"/>
    </row>
    <row r="572" spans="49:49" ht="14">
      <c r="AW572" s="1"/>
    </row>
    <row r="573" spans="49:49" ht="14">
      <c r="AW573" s="1"/>
    </row>
    <row r="574" spans="49:49" ht="14">
      <c r="AW574" s="1"/>
    </row>
    <row r="575" spans="49:49" ht="14">
      <c r="AW575" s="1"/>
    </row>
    <row r="576" spans="49:49" ht="14">
      <c r="AW576" s="1"/>
    </row>
    <row r="577" spans="49:49" ht="14">
      <c r="AW577" s="1"/>
    </row>
    <row r="578" spans="49:49" ht="14">
      <c r="AW578" s="1"/>
    </row>
    <row r="579" spans="49:49" ht="14">
      <c r="AW579" s="1"/>
    </row>
    <row r="580" spans="49:49" ht="14">
      <c r="AW580" s="1"/>
    </row>
    <row r="581" spans="49:49" ht="14">
      <c r="AW581" s="1"/>
    </row>
    <row r="582" spans="49:49" ht="14">
      <c r="AW582" s="1"/>
    </row>
    <row r="583" spans="49:49" ht="14">
      <c r="AW583" s="1"/>
    </row>
    <row r="584" spans="49:49" ht="14">
      <c r="AW584" s="1"/>
    </row>
    <row r="585" spans="49:49" ht="14">
      <c r="AW585" s="1"/>
    </row>
    <row r="586" spans="49:49" ht="14">
      <c r="AW586" s="1"/>
    </row>
    <row r="587" spans="49:49" ht="14">
      <c r="AW587" s="1"/>
    </row>
    <row r="588" spans="49:49" ht="14">
      <c r="AW588" s="1"/>
    </row>
    <row r="589" spans="49:49" ht="14">
      <c r="AW589" s="1"/>
    </row>
    <row r="590" spans="49:49" ht="14">
      <c r="AW590" s="1"/>
    </row>
    <row r="591" spans="49:49" ht="14">
      <c r="AW591" s="1"/>
    </row>
    <row r="592" spans="49:49" ht="14">
      <c r="AW592" s="1"/>
    </row>
    <row r="593" spans="49:49" ht="14">
      <c r="AW593" s="1"/>
    </row>
    <row r="594" spans="49:49" ht="14">
      <c r="AW594" s="1"/>
    </row>
    <row r="595" spans="49:49" ht="14">
      <c r="AW595" s="1"/>
    </row>
    <row r="596" spans="49:49" ht="14">
      <c r="AW596" s="1"/>
    </row>
    <row r="597" spans="49:49" ht="14">
      <c r="AW597" s="1"/>
    </row>
    <row r="598" spans="49:49" ht="14">
      <c r="AW598" s="1"/>
    </row>
    <row r="599" spans="49:49" ht="14">
      <c r="AW599" s="1"/>
    </row>
    <row r="600" spans="49:49" ht="14">
      <c r="AW600" s="1"/>
    </row>
    <row r="601" spans="49:49" ht="14">
      <c r="AW601" s="1"/>
    </row>
    <row r="602" spans="49:49" ht="14">
      <c r="AW602" s="1"/>
    </row>
    <row r="603" spans="49:49" ht="14">
      <c r="AW603" s="1"/>
    </row>
    <row r="604" spans="49:49" ht="14">
      <c r="AW604" s="1"/>
    </row>
    <row r="605" spans="49:49" ht="14">
      <c r="AW605" s="1"/>
    </row>
    <row r="606" spans="49:49" ht="14">
      <c r="AW606" s="1"/>
    </row>
    <row r="607" spans="49:49" ht="14">
      <c r="AW607" s="1"/>
    </row>
    <row r="608" spans="49:49" ht="14">
      <c r="AW608" s="1"/>
    </row>
    <row r="609" spans="49:49" ht="14">
      <c r="AW609" s="1"/>
    </row>
    <row r="610" spans="49:49" ht="14">
      <c r="AW610" s="1"/>
    </row>
    <row r="611" spans="49:49" ht="14">
      <c r="AW611" s="1"/>
    </row>
    <row r="612" spans="49:49" ht="14">
      <c r="AW612" s="1"/>
    </row>
    <row r="613" spans="49:49" ht="14">
      <c r="AW613" s="1"/>
    </row>
    <row r="614" spans="49:49" ht="14">
      <c r="AW614" s="1"/>
    </row>
    <row r="615" spans="49:49" ht="14">
      <c r="AW615" s="1"/>
    </row>
    <row r="616" spans="49:49" ht="14">
      <c r="AW616" s="1"/>
    </row>
    <row r="617" spans="49:49" ht="14">
      <c r="AW617" s="1"/>
    </row>
    <row r="618" spans="49:49" ht="14">
      <c r="AW618" s="1"/>
    </row>
    <row r="619" spans="49:49" ht="14">
      <c r="AW619" s="1"/>
    </row>
    <row r="620" spans="49:49" ht="14">
      <c r="AW620" s="1"/>
    </row>
    <row r="621" spans="49:49" ht="14">
      <c r="AW621" s="1"/>
    </row>
    <row r="622" spans="49:49" ht="14">
      <c r="AW622" s="1"/>
    </row>
    <row r="623" spans="49:49" ht="14">
      <c r="AW623" s="1"/>
    </row>
    <row r="624" spans="49:49" ht="14">
      <c r="AW624" s="1"/>
    </row>
    <row r="625" spans="49:49" ht="14">
      <c r="AW625" s="1"/>
    </row>
    <row r="626" spans="49:49" ht="14">
      <c r="AW626" s="1"/>
    </row>
    <row r="627" spans="49:49" ht="14">
      <c r="AW627" s="1"/>
    </row>
    <row r="628" spans="49:49" ht="14">
      <c r="AW628" s="1"/>
    </row>
    <row r="629" spans="49:49" ht="14">
      <c r="AW629" s="1"/>
    </row>
    <row r="630" spans="49:49" ht="14">
      <c r="AW630" s="1"/>
    </row>
    <row r="631" spans="49:49" ht="14">
      <c r="AW631" s="1"/>
    </row>
    <row r="632" spans="49:49" ht="14">
      <c r="AW632" s="1"/>
    </row>
    <row r="633" spans="49:49" ht="14">
      <c r="AW633" s="1"/>
    </row>
    <row r="634" spans="49:49" ht="14">
      <c r="AW634" s="1"/>
    </row>
    <row r="635" spans="49:49" ht="14">
      <c r="AW635" s="1"/>
    </row>
    <row r="636" spans="49:49" ht="14">
      <c r="AW636" s="1"/>
    </row>
    <row r="637" spans="49:49" ht="14">
      <c r="AW637" s="1"/>
    </row>
    <row r="638" spans="49:49" ht="14">
      <c r="AW638" s="1"/>
    </row>
    <row r="639" spans="49:49" ht="14">
      <c r="AW639" s="1"/>
    </row>
    <row r="640" spans="49:49" ht="14">
      <c r="AW640" s="1"/>
    </row>
    <row r="641" spans="49:49" ht="14">
      <c r="AW641" s="1"/>
    </row>
    <row r="642" spans="49:49" ht="14">
      <c r="AW642" s="1"/>
    </row>
    <row r="643" spans="49:49" ht="14">
      <c r="AW643" s="1"/>
    </row>
    <row r="644" spans="49:49" ht="14">
      <c r="AW644" s="1"/>
    </row>
    <row r="645" spans="49:49" ht="14">
      <c r="AW645" s="1"/>
    </row>
    <row r="646" spans="49:49" ht="14">
      <c r="AW646" s="1"/>
    </row>
    <row r="647" spans="49:49" ht="14">
      <c r="AW647" s="1"/>
    </row>
    <row r="648" spans="49:49" ht="14">
      <c r="AW648" s="1"/>
    </row>
    <row r="649" spans="49:49" ht="14">
      <c r="AW649" s="1"/>
    </row>
    <row r="650" spans="49:49" ht="14">
      <c r="AW650" s="1"/>
    </row>
    <row r="651" spans="49:49" ht="14">
      <c r="AW651" s="1"/>
    </row>
    <row r="652" spans="49:49" ht="14">
      <c r="AW652" s="1"/>
    </row>
    <row r="653" spans="49:49" ht="14">
      <c r="AW653" s="1"/>
    </row>
    <row r="654" spans="49:49" ht="14">
      <c r="AW654" s="1"/>
    </row>
    <row r="655" spans="49:49" ht="14">
      <c r="AW655" s="1"/>
    </row>
    <row r="656" spans="49:49" ht="14">
      <c r="AW656" s="1"/>
    </row>
    <row r="657" spans="49:49" ht="14">
      <c r="AW657" s="1"/>
    </row>
    <row r="658" spans="49:49" ht="14">
      <c r="AW658" s="1"/>
    </row>
    <row r="659" spans="49:49" ht="14">
      <c r="AW659" s="1"/>
    </row>
    <row r="660" spans="49:49" ht="14">
      <c r="AW660" s="1"/>
    </row>
    <row r="661" spans="49:49" ht="14">
      <c r="AW661" s="1"/>
    </row>
    <row r="662" spans="49:49" ht="14">
      <c r="AW662" s="1"/>
    </row>
    <row r="663" spans="49:49" ht="14">
      <c r="AW663" s="1"/>
    </row>
    <row r="664" spans="49:49" ht="14">
      <c r="AW664" s="1"/>
    </row>
    <row r="665" spans="49:49" ht="14">
      <c r="AW665" s="1"/>
    </row>
    <row r="666" spans="49:49" ht="14">
      <c r="AW666" s="1"/>
    </row>
    <row r="667" spans="49:49" ht="14">
      <c r="AW667" s="1"/>
    </row>
    <row r="668" spans="49:49" ht="14">
      <c r="AW668" s="1"/>
    </row>
    <row r="669" spans="49:49" ht="14">
      <c r="AW669" s="1"/>
    </row>
    <row r="670" spans="49:49" ht="14">
      <c r="AW670" s="1"/>
    </row>
    <row r="671" spans="49:49" ht="14">
      <c r="AW671" s="1"/>
    </row>
    <row r="672" spans="49:49" ht="14">
      <c r="AW672" s="1"/>
    </row>
    <row r="673" spans="49:49" ht="14">
      <c r="AW673" s="1"/>
    </row>
    <row r="674" spans="49:49" ht="14">
      <c r="AW674" s="1"/>
    </row>
    <row r="675" spans="49:49" ht="14">
      <c r="AW675" s="1"/>
    </row>
    <row r="676" spans="49:49" ht="14">
      <c r="AW676" s="1"/>
    </row>
    <row r="677" spans="49:49" ht="14">
      <c r="AW677" s="1"/>
    </row>
    <row r="678" spans="49:49" ht="14">
      <c r="AW678" s="1"/>
    </row>
    <row r="679" spans="49:49" ht="14">
      <c r="AW679" s="1"/>
    </row>
    <row r="680" spans="49:49" ht="14">
      <c r="AW680" s="1"/>
    </row>
    <row r="681" spans="49:49" ht="14">
      <c r="AW681" s="1"/>
    </row>
    <row r="682" spans="49:49" ht="14">
      <c r="AW682" s="1"/>
    </row>
    <row r="683" spans="49:49" ht="14">
      <c r="AW683" s="1"/>
    </row>
    <row r="684" spans="49:49" ht="14">
      <c r="AW684" s="1"/>
    </row>
    <row r="685" spans="49:49" ht="14">
      <c r="AW685" s="1"/>
    </row>
    <row r="686" spans="49:49" ht="14">
      <c r="AW686" s="1"/>
    </row>
    <row r="687" spans="49:49" ht="14">
      <c r="AW687" s="1"/>
    </row>
    <row r="688" spans="49:49" ht="14">
      <c r="AW688" s="1"/>
    </row>
    <row r="689" spans="49:49" ht="14">
      <c r="AW689" s="1"/>
    </row>
    <row r="690" spans="49:49" ht="14">
      <c r="AW690" s="1"/>
    </row>
    <row r="691" spans="49:49" ht="14">
      <c r="AW691" s="1"/>
    </row>
    <row r="692" spans="49:49" ht="14">
      <c r="AW692" s="1"/>
    </row>
    <row r="693" spans="49:49" ht="14">
      <c r="AW693" s="1"/>
    </row>
    <row r="694" spans="49:49" ht="14">
      <c r="AW694" s="1"/>
    </row>
    <row r="695" spans="49:49" ht="14">
      <c r="AW695" s="1"/>
    </row>
    <row r="696" spans="49:49" ht="14">
      <c r="AW696" s="1"/>
    </row>
    <row r="697" spans="49:49" ht="14">
      <c r="AW697" s="1"/>
    </row>
    <row r="698" spans="49:49" ht="14">
      <c r="AW698" s="1"/>
    </row>
    <row r="699" spans="49:49" ht="14">
      <c r="AW699" s="1"/>
    </row>
    <row r="700" spans="49:49" ht="14">
      <c r="AW700" s="1"/>
    </row>
    <row r="701" spans="49:49" ht="14">
      <c r="AW701" s="1"/>
    </row>
    <row r="702" spans="49:49" ht="14">
      <c r="AW702" s="1"/>
    </row>
    <row r="703" spans="49:49" ht="14">
      <c r="AW703" s="1"/>
    </row>
    <row r="704" spans="49:49" ht="14">
      <c r="AW704" s="1"/>
    </row>
    <row r="705" spans="49:49" ht="14">
      <c r="AW705" s="1"/>
    </row>
    <row r="706" spans="49:49" ht="14">
      <c r="AW706" s="1"/>
    </row>
    <row r="707" spans="49:49" ht="14">
      <c r="AW707" s="1"/>
    </row>
    <row r="708" spans="49:49" ht="14">
      <c r="AW708" s="1"/>
    </row>
    <row r="709" spans="49:49" ht="14">
      <c r="AW709" s="1"/>
    </row>
    <row r="710" spans="49:49" ht="14">
      <c r="AW710" s="1"/>
    </row>
    <row r="711" spans="49:49" ht="14">
      <c r="AW711" s="1"/>
    </row>
    <row r="712" spans="49:49" ht="14">
      <c r="AW712" s="1"/>
    </row>
    <row r="713" spans="49:49" ht="14">
      <c r="AW713" s="1"/>
    </row>
    <row r="714" spans="49:49" ht="14">
      <c r="AW714" s="1"/>
    </row>
    <row r="715" spans="49:49" ht="14">
      <c r="AW715" s="1"/>
    </row>
    <row r="716" spans="49:49" ht="14">
      <c r="AW716" s="1"/>
    </row>
    <row r="717" spans="49:49" ht="14">
      <c r="AW717" s="1"/>
    </row>
    <row r="718" spans="49:49" ht="14">
      <c r="AW718" s="1"/>
    </row>
    <row r="719" spans="49:49" ht="14">
      <c r="AW719" s="1"/>
    </row>
    <row r="720" spans="49:49" ht="14">
      <c r="AW720" s="1"/>
    </row>
    <row r="721" spans="49:49" ht="14">
      <c r="AW721" s="1"/>
    </row>
    <row r="722" spans="49:49" ht="14">
      <c r="AW722" s="1"/>
    </row>
    <row r="723" spans="49:49" ht="14">
      <c r="AW723" s="1"/>
    </row>
    <row r="724" spans="49:49" ht="14">
      <c r="AW724" s="1"/>
    </row>
    <row r="725" spans="49:49" ht="14">
      <c r="AW725" s="1"/>
    </row>
    <row r="726" spans="49:49" ht="14">
      <c r="AW726" s="1"/>
    </row>
    <row r="727" spans="49:49" ht="14">
      <c r="AW727" s="1"/>
    </row>
    <row r="728" spans="49:49" ht="14">
      <c r="AW728" s="1"/>
    </row>
    <row r="729" spans="49:49" ht="14">
      <c r="AW729" s="1"/>
    </row>
    <row r="730" spans="49:49" ht="14">
      <c r="AW730" s="1"/>
    </row>
    <row r="731" spans="49:49" ht="14">
      <c r="AW731" s="1"/>
    </row>
    <row r="732" spans="49:49" ht="14">
      <c r="AW732" s="1"/>
    </row>
    <row r="733" spans="49:49" ht="14">
      <c r="AW733" s="1"/>
    </row>
    <row r="734" spans="49:49" ht="14">
      <c r="AW734" s="1"/>
    </row>
    <row r="735" spans="49:49" ht="14">
      <c r="AW735" s="1"/>
    </row>
    <row r="736" spans="49:49" ht="14">
      <c r="AW736" s="1"/>
    </row>
    <row r="737" spans="49:49" ht="14">
      <c r="AW737" s="1"/>
    </row>
    <row r="738" spans="49:49" ht="14">
      <c r="AW738" s="1"/>
    </row>
    <row r="739" spans="49:49" ht="14">
      <c r="AW739" s="1"/>
    </row>
    <row r="740" spans="49:49" ht="14">
      <c r="AW740" s="1"/>
    </row>
    <row r="741" spans="49:49" ht="14">
      <c r="AW741" s="1"/>
    </row>
    <row r="742" spans="49:49" ht="14">
      <c r="AW742" s="1"/>
    </row>
    <row r="743" spans="49:49" ht="14">
      <c r="AW743" s="1"/>
    </row>
    <row r="744" spans="49:49" ht="14">
      <c r="AW744" s="1"/>
    </row>
    <row r="745" spans="49:49" ht="14">
      <c r="AW745" s="1"/>
    </row>
    <row r="746" spans="49:49" ht="14">
      <c r="AW746" s="1"/>
    </row>
    <row r="747" spans="49:49" ht="14">
      <c r="AW747" s="1"/>
    </row>
    <row r="748" spans="49:49" ht="14">
      <c r="AW748" s="1"/>
    </row>
    <row r="749" spans="49:49" ht="14">
      <c r="AW749" s="1"/>
    </row>
    <row r="750" spans="49:49" ht="14">
      <c r="AW750" s="1"/>
    </row>
    <row r="751" spans="49:49" ht="14">
      <c r="AW751" s="1"/>
    </row>
    <row r="752" spans="49:49" ht="14">
      <c r="AW752" s="1"/>
    </row>
    <row r="753" spans="49:49" ht="14">
      <c r="AW753" s="1"/>
    </row>
    <row r="754" spans="49:49" ht="14">
      <c r="AW754" s="1"/>
    </row>
    <row r="755" spans="49:49" ht="14">
      <c r="AW755" s="1"/>
    </row>
    <row r="756" spans="49:49" ht="14">
      <c r="AW756" s="1"/>
    </row>
    <row r="757" spans="49:49" ht="14">
      <c r="AW757" s="1"/>
    </row>
    <row r="758" spans="49:49" ht="14">
      <c r="AW758" s="1"/>
    </row>
    <row r="759" spans="49:49" ht="14">
      <c r="AW759" s="1"/>
    </row>
    <row r="760" spans="49:49" ht="14">
      <c r="AW760" s="1"/>
    </row>
    <row r="761" spans="49:49" ht="14">
      <c r="AW761" s="1"/>
    </row>
    <row r="762" spans="49:49" ht="14">
      <c r="AW762" s="1"/>
    </row>
    <row r="763" spans="49:49" ht="14">
      <c r="AW763" s="1"/>
    </row>
    <row r="764" spans="49:49" ht="14">
      <c r="AW764" s="1"/>
    </row>
    <row r="765" spans="49:49" ht="14">
      <c r="AW765" s="1"/>
    </row>
    <row r="766" spans="49:49" ht="14">
      <c r="AW766" s="1"/>
    </row>
    <row r="767" spans="49:49" ht="14">
      <c r="AW767" s="1"/>
    </row>
    <row r="768" spans="49:49" ht="14">
      <c r="AW768" s="1"/>
    </row>
    <row r="769" spans="49:49" ht="14">
      <c r="AW769" s="1"/>
    </row>
    <row r="770" spans="49:49" ht="14">
      <c r="AW770" s="1"/>
    </row>
    <row r="771" spans="49:49" ht="14">
      <c r="AW771" s="1"/>
    </row>
    <row r="772" spans="49:49" ht="14">
      <c r="AW772" s="1"/>
    </row>
    <row r="773" spans="49:49" ht="14">
      <c r="AW773" s="1"/>
    </row>
    <row r="774" spans="49:49" ht="14">
      <c r="AW774" s="1"/>
    </row>
    <row r="775" spans="49:49" ht="14">
      <c r="AW775" s="1"/>
    </row>
    <row r="776" spans="49:49" ht="14">
      <c r="AW776" s="1"/>
    </row>
    <row r="777" spans="49:49" ht="14">
      <c r="AW777" s="1"/>
    </row>
    <row r="778" spans="49:49" ht="14">
      <c r="AW778" s="1"/>
    </row>
    <row r="779" spans="49:49" ht="14">
      <c r="AW779" s="1"/>
    </row>
    <row r="780" spans="49:49" ht="14">
      <c r="AW780" s="1"/>
    </row>
    <row r="781" spans="49:49" ht="14">
      <c r="AW781" s="1"/>
    </row>
    <row r="782" spans="49:49" ht="14">
      <c r="AW782" s="1"/>
    </row>
    <row r="783" spans="49:49" ht="14">
      <c r="AW783" s="1"/>
    </row>
    <row r="784" spans="49:49" ht="14">
      <c r="AW784" s="1"/>
    </row>
    <row r="785" spans="49:49" ht="14">
      <c r="AW785" s="1"/>
    </row>
    <row r="786" spans="49:49" ht="14">
      <c r="AW786" s="1"/>
    </row>
    <row r="787" spans="49:49" ht="14">
      <c r="AW787" s="1"/>
    </row>
    <row r="788" spans="49:49" ht="14">
      <c r="AW788" s="1"/>
    </row>
    <row r="789" spans="49:49" ht="14">
      <c r="AW789" s="1"/>
    </row>
    <row r="790" spans="49:49" ht="14">
      <c r="AW790" s="1"/>
    </row>
    <row r="791" spans="49:49" ht="14">
      <c r="AW791" s="1"/>
    </row>
    <row r="792" spans="49:49" ht="14">
      <c r="AW792" s="1"/>
    </row>
    <row r="793" spans="49:49" ht="14">
      <c r="AW793" s="1"/>
    </row>
    <row r="794" spans="49:49" ht="14">
      <c r="AW794" s="1"/>
    </row>
    <row r="795" spans="49:49" ht="14">
      <c r="AW795" s="1"/>
    </row>
    <row r="796" spans="49:49" ht="14">
      <c r="AW796" s="1"/>
    </row>
    <row r="797" spans="49:49" ht="14">
      <c r="AW797" s="1"/>
    </row>
    <row r="798" spans="49:49" ht="14">
      <c r="AW798" s="1"/>
    </row>
    <row r="799" spans="49:49" ht="14">
      <c r="AW799" s="1"/>
    </row>
    <row r="800" spans="49:49" ht="14">
      <c r="AW800" s="1"/>
    </row>
    <row r="801" spans="49:49" ht="14">
      <c r="AW801" s="1"/>
    </row>
    <row r="802" spans="49:49" ht="14">
      <c r="AW802" s="1"/>
    </row>
    <row r="803" spans="49:49" ht="14">
      <c r="AW803" s="1"/>
    </row>
    <row r="804" spans="49:49" ht="14">
      <c r="AW804" s="1"/>
    </row>
    <row r="805" spans="49:49" ht="14">
      <c r="AW805" s="1"/>
    </row>
    <row r="806" spans="49:49" ht="14">
      <c r="AW806" s="1"/>
    </row>
    <row r="807" spans="49:49" ht="14">
      <c r="AW807" s="1"/>
    </row>
    <row r="808" spans="49:49" ht="14">
      <c r="AW808" s="1"/>
    </row>
    <row r="809" spans="49:49" ht="14">
      <c r="AW809" s="1"/>
    </row>
    <row r="810" spans="49:49" ht="14">
      <c r="AW810" s="1"/>
    </row>
    <row r="811" spans="49:49" ht="14">
      <c r="AW811" s="1"/>
    </row>
    <row r="812" spans="49:49" ht="14">
      <c r="AW812" s="1"/>
    </row>
    <row r="813" spans="49:49" ht="14">
      <c r="AW813" s="1"/>
    </row>
    <row r="814" spans="49:49" ht="14">
      <c r="AW814" s="1"/>
    </row>
    <row r="815" spans="49:49" ht="14">
      <c r="AW815" s="1"/>
    </row>
    <row r="816" spans="49:49" ht="14">
      <c r="AW816" s="1"/>
    </row>
    <row r="817" spans="49:49" ht="14">
      <c r="AW817" s="1"/>
    </row>
    <row r="818" spans="49:49" ht="14">
      <c r="AW818" s="1"/>
    </row>
    <row r="819" spans="49:49" ht="14">
      <c r="AW819" s="1"/>
    </row>
    <row r="820" spans="49:49" ht="14">
      <c r="AW820" s="1"/>
    </row>
    <row r="821" spans="49:49" ht="14">
      <c r="AW821" s="1"/>
    </row>
    <row r="822" spans="49:49" ht="14">
      <c r="AW822" s="1"/>
    </row>
    <row r="823" spans="49:49" ht="14">
      <c r="AW823" s="1"/>
    </row>
    <row r="824" spans="49:49" ht="14">
      <c r="AW824" s="1"/>
    </row>
    <row r="825" spans="49:49" ht="14">
      <c r="AW825" s="1"/>
    </row>
    <row r="826" spans="49:49" ht="14">
      <c r="AW826" s="1"/>
    </row>
    <row r="827" spans="49:49" ht="14">
      <c r="AW827" s="1"/>
    </row>
    <row r="828" spans="49:49" ht="14">
      <c r="AW828" s="1"/>
    </row>
    <row r="829" spans="49:49" ht="14">
      <c r="AW829" s="1"/>
    </row>
    <row r="830" spans="49:49" ht="14">
      <c r="AW830" s="1"/>
    </row>
    <row r="831" spans="49:49" ht="14">
      <c r="AW831" s="1"/>
    </row>
    <row r="832" spans="49:49" ht="14">
      <c r="AW832" s="1"/>
    </row>
    <row r="833" spans="49:49" ht="14">
      <c r="AW833" s="1"/>
    </row>
    <row r="834" spans="49:49" ht="14">
      <c r="AW834" s="1"/>
    </row>
    <row r="835" spans="49:49" ht="14">
      <c r="AW835" s="1"/>
    </row>
    <row r="836" spans="49:49" ht="14">
      <c r="AW836" s="1"/>
    </row>
    <row r="837" spans="49:49" ht="14">
      <c r="AW837" s="1"/>
    </row>
    <row r="838" spans="49:49" ht="14">
      <c r="AW838" s="1"/>
    </row>
    <row r="839" spans="49:49" ht="14">
      <c r="AW839" s="1"/>
    </row>
    <row r="840" spans="49:49" ht="14">
      <c r="AW840" s="1"/>
    </row>
    <row r="841" spans="49:49" ht="14">
      <c r="AW841" s="1"/>
    </row>
    <row r="842" spans="49:49" ht="14">
      <c r="AW842" s="1"/>
    </row>
    <row r="843" spans="49:49" ht="14">
      <c r="AW843" s="1"/>
    </row>
    <row r="844" spans="49:49" ht="14">
      <c r="AW844" s="1"/>
    </row>
    <row r="845" spans="49:49" ht="14">
      <c r="AW845" s="1"/>
    </row>
    <row r="846" spans="49:49" ht="14">
      <c r="AW846" s="1"/>
    </row>
    <row r="847" spans="49:49" ht="14">
      <c r="AW847" s="1"/>
    </row>
    <row r="848" spans="49:49" ht="14">
      <c r="AW848" s="1"/>
    </row>
    <row r="849" spans="49:49" ht="14">
      <c r="AW849" s="1"/>
    </row>
    <row r="850" spans="49:49" ht="14">
      <c r="AW850" s="1"/>
    </row>
    <row r="851" spans="49:49" ht="14">
      <c r="AW851" s="1"/>
    </row>
    <row r="852" spans="49:49" ht="14">
      <c r="AW852" s="1"/>
    </row>
    <row r="853" spans="49:49" ht="14">
      <c r="AW853" s="1"/>
    </row>
    <row r="854" spans="49:49" ht="14">
      <c r="AW854" s="1"/>
    </row>
    <row r="855" spans="49:49" ht="14">
      <c r="AW855" s="1"/>
    </row>
    <row r="856" spans="49:49" ht="14">
      <c r="AW856" s="1"/>
    </row>
    <row r="857" spans="49:49" ht="14">
      <c r="AW857" s="1"/>
    </row>
    <row r="858" spans="49:49" ht="14">
      <c r="AW858" s="1"/>
    </row>
    <row r="859" spans="49:49" ht="14">
      <c r="AW859" s="1"/>
    </row>
    <row r="860" spans="49:49" ht="14">
      <c r="AW860" s="1"/>
    </row>
    <row r="861" spans="49:49" ht="14">
      <c r="AW861" s="1"/>
    </row>
    <row r="862" spans="49:49" ht="14">
      <c r="AW862" s="1"/>
    </row>
    <row r="863" spans="49:49" ht="14">
      <c r="AW863" s="1"/>
    </row>
    <row r="864" spans="49:49" ht="14">
      <c r="AW864" s="1"/>
    </row>
    <row r="865" spans="49:49" ht="14">
      <c r="AW865" s="1"/>
    </row>
    <row r="866" spans="49:49" ht="14">
      <c r="AW866" s="1"/>
    </row>
    <row r="867" spans="49:49" ht="14">
      <c r="AW867" s="1"/>
    </row>
    <row r="868" spans="49:49" ht="14">
      <c r="AW868" s="1"/>
    </row>
    <row r="869" spans="49:49" ht="14">
      <c r="AW869" s="1"/>
    </row>
    <row r="870" spans="49:49" ht="14">
      <c r="AW870" s="1"/>
    </row>
    <row r="871" spans="49:49" ht="14">
      <c r="AW871" s="1"/>
    </row>
    <row r="872" spans="49:49" ht="14">
      <c r="AW872" s="1"/>
    </row>
    <row r="873" spans="49:49" ht="14">
      <c r="AW873" s="1"/>
    </row>
    <row r="874" spans="49:49" ht="14">
      <c r="AW874" s="1"/>
    </row>
    <row r="875" spans="49:49" ht="14">
      <c r="AW875" s="1"/>
    </row>
    <row r="876" spans="49:49" ht="14">
      <c r="AW876" s="1"/>
    </row>
    <row r="877" spans="49:49" ht="14">
      <c r="AW877" s="1"/>
    </row>
    <row r="878" spans="49:49" ht="14">
      <c r="AW878" s="1"/>
    </row>
    <row r="879" spans="49:49" ht="14">
      <c r="AW879" s="1"/>
    </row>
    <row r="880" spans="49:49" ht="14">
      <c r="AW880" s="1"/>
    </row>
    <row r="881" spans="49:49" ht="14">
      <c r="AW881" s="1"/>
    </row>
    <row r="882" spans="49:49" ht="14">
      <c r="AW882" s="1"/>
    </row>
    <row r="883" spans="49:49" ht="14">
      <c r="AW883" s="1"/>
    </row>
    <row r="884" spans="49:49" ht="14">
      <c r="AW884" s="1"/>
    </row>
    <row r="885" spans="49:49" ht="14">
      <c r="AW885" s="1"/>
    </row>
    <row r="886" spans="49:49" ht="14">
      <c r="AW886" s="1"/>
    </row>
    <row r="887" spans="49:49" ht="14">
      <c r="AW887" s="1"/>
    </row>
    <row r="888" spans="49:49" ht="14">
      <c r="AW888" s="1"/>
    </row>
    <row r="889" spans="49:49" ht="14">
      <c r="AW889" s="1"/>
    </row>
    <row r="890" spans="49:49" ht="14">
      <c r="AW890" s="1"/>
    </row>
    <row r="891" spans="49:49" ht="14">
      <c r="AW891" s="1"/>
    </row>
    <row r="892" spans="49:49" ht="14">
      <c r="AW892" s="1"/>
    </row>
    <row r="893" spans="49:49" ht="14">
      <c r="AW893" s="1"/>
    </row>
    <row r="894" spans="49:49" ht="14">
      <c r="AW894" s="1"/>
    </row>
    <row r="895" spans="49:49" ht="14">
      <c r="AW895" s="1"/>
    </row>
    <row r="896" spans="49:49" ht="14">
      <c r="AW896" s="1"/>
    </row>
    <row r="897" spans="49:49" ht="14">
      <c r="AW897" s="1"/>
    </row>
    <row r="898" spans="49:49" ht="14">
      <c r="AW898" s="1"/>
    </row>
    <row r="899" spans="49:49" ht="14">
      <c r="AW899" s="1"/>
    </row>
    <row r="900" spans="49:49" ht="14">
      <c r="AW900" s="1"/>
    </row>
    <row r="901" spans="49:49" ht="14">
      <c r="AW901" s="1"/>
    </row>
    <row r="902" spans="49:49" ht="14">
      <c r="AW902" s="1"/>
    </row>
    <row r="903" spans="49:49" ht="14">
      <c r="AW903" s="1"/>
    </row>
    <row r="904" spans="49:49" ht="14">
      <c r="AW904" s="1"/>
    </row>
    <row r="905" spans="49:49" ht="14">
      <c r="AW905" s="1"/>
    </row>
    <row r="906" spans="49:49" ht="14">
      <c r="AW906" s="1"/>
    </row>
    <row r="907" spans="49:49" ht="14">
      <c r="AW907" s="1"/>
    </row>
    <row r="908" spans="49:49" ht="14">
      <c r="AW908" s="1"/>
    </row>
    <row r="909" spans="49:49" ht="14">
      <c r="AW909" s="1"/>
    </row>
    <row r="910" spans="49:49" ht="14">
      <c r="AW910" s="1"/>
    </row>
    <row r="911" spans="49:49" ht="14">
      <c r="AW911" s="1"/>
    </row>
    <row r="912" spans="49:49" ht="14">
      <c r="AW912" s="1"/>
    </row>
    <row r="913" spans="49:49" ht="14">
      <c r="AW913" s="1"/>
    </row>
    <row r="914" spans="49:49" ht="14">
      <c r="AW914" s="1"/>
    </row>
    <row r="915" spans="49:49" ht="14">
      <c r="AW915" s="1"/>
    </row>
    <row r="916" spans="49:49" ht="14">
      <c r="AW916" s="1"/>
    </row>
    <row r="917" spans="49:49" ht="14">
      <c r="AW917" s="1"/>
    </row>
    <row r="918" spans="49:49" ht="14">
      <c r="AW918" s="1"/>
    </row>
    <row r="919" spans="49:49" ht="14">
      <c r="AW919" s="1"/>
    </row>
    <row r="920" spans="49:49" ht="14">
      <c r="AW920" s="1"/>
    </row>
    <row r="921" spans="49:49" ht="14">
      <c r="AW921" s="1"/>
    </row>
    <row r="922" spans="49:49" ht="14">
      <c r="AW922" s="1"/>
    </row>
    <row r="923" spans="49:49" ht="14">
      <c r="AW923" s="1"/>
    </row>
    <row r="924" spans="49:49" ht="14">
      <c r="AW924" s="1"/>
    </row>
    <row r="925" spans="49:49" ht="14">
      <c r="AW925" s="1"/>
    </row>
    <row r="926" spans="49:49" ht="14">
      <c r="AW926" s="1"/>
    </row>
    <row r="927" spans="49:49" ht="14">
      <c r="AW927" s="1"/>
    </row>
    <row r="928" spans="49:49" ht="14">
      <c r="AW928" s="1"/>
    </row>
    <row r="929" spans="49:49" ht="14">
      <c r="AW929" s="1"/>
    </row>
    <row r="930" spans="49:49" ht="14">
      <c r="AW930" s="1"/>
    </row>
    <row r="931" spans="49:49" ht="14">
      <c r="AW931" s="1"/>
    </row>
    <row r="932" spans="49:49" ht="14">
      <c r="AW932" s="1"/>
    </row>
    <row r="933" spans="49:49" ht="14">
      <c r="AW933" s="1"/>
    </row>
    <row r="934" spans="49:49" ht="14">
      <c r="AW934" s="1"/>
    </row>
    <row r="935" spans="49:49" ht="14">
      <c r="AW935" s="1"/>
    </row>
    <row r="936" spans="49:49" ht="14">
      <c r="AW936" s="1"/>
    </row>
    <row r="937" spans="49:49" ht="14">
      <c r="AW937" s="1"/>
    </row>
    <row r="938" spans="49:49" ht="14">
      <c r="AW938" s="1"/>
    </row>
    <row r="939" spans="49:49" ht="14">
      <c r="AW939" s="1"/>
    </row>
    <row r="940" spans="49:49" ht="14">
      <c r="AW940" s="1"/>
    </row>
    <row r="941" spans="49:49" ht="14">
      <c r="AW941" s="1"/>
    </row>
    <row r="942" spans="49:49" ht="14">
      <c r="AW942" s="1"/>
    </row>
    <row r="943" spans="49:49" ht="14">
      <c r="AW943" s="1"/>
    </row>
    <row r="944" spans="49:49" ht="14">
      <c r="AW944" s="1"/>
    </row>
    <row r="945" spans="49:49" ht="14">
      <c r="AW945" s="1"/>
    </row>
    <row r="946" spans="49:49" ht="14">
      <c r="AW946" s="1"/>
    </row>
    <row r="947" spans="49:49" ht="14">
      <c r="AW947" s="1"/>
    </row>
    <row r="948" spans="49:49" ht="14">
      <c r="AW948" s="1"/>
    </row>
    <row r="949" spans="49:49" ht="14">
      <c r="AW949" s="1"/>
    </row>
    <row r="950" spans="49:49" ht="14">
      <c r="AW950" s="1"/>
    </row>
    <row r="951" spans="49:49" ht="14">
      <c r="AW951" s="1"/>
    </row>
    <row r="952" spans="49:49" ht="14">
      <c r="AW952" s="1"/>
    </row>
    <row r="953" spans="49:49" ht="14">
      <c r="AW953" s="1"/>
    </row>
    <row r="954" spans="49:49" ht="14">
      <c r="AW954" s="1"/>
    </row>
    <row r="955" spans="49:49" ht="14">
      <c r="AW955" s="1"/>
    </row>
    <row r="956" spans="49:49" ht="14">
      <c r="AW956" s="1"/>
    </row>
    <row r="957" spans="49:49" ht="14">
      <c r="AW957" s="1"/>
    </row>
    <row r="958" spans="49:49" ht="14">
      <c r="AW958" s="1"/>
    </row>
    <row r="959" spans="49:49" ht="14">
      <c r="AW959" s="1"/>
    </row>
    <row r="960" spans="49:49" ht="14">
      <c r="AW960" s="1"/>
    </row>
    <row r="961" spans="49:49" ht="14">
      <c r="AW961" s="1"/>
    </row>
    <row r="962" spans="49:49" ht="14">
      <c r="AW962" s="1"/>
    </row>
    <row r="963" spans="49:49" ht="14">
      <c r="AW963" s="1"/>
    </row>
    <row r="964" spans="49:49" ht="14">
      <c r="AW964" s="1"/>
    </row>
    <row r="965" spans="49:49" ht="14">
      <c r="AW965" s="1"/>
    </row>
    <row r="966" spans="49:49" ht="14">
      <c r="AW966" s="1"/>
    </row>
    <row r="967" spans="49:49" ht="14">
      <c r="AW967" s="1"/>
    </row>
    <row r="968" spans="49:49" ht="14">
      <c r="AW968" s="1"/>
    </row>
    <row r="969" spans="49:49" ht="14">
      <c r="AW969" s="1"/>
    </row>
    <row r="970" spans="49:49" ht="14">
      <c r="AW970" s="1"/>
    </row>
    <row r="971" spans="49:49" ht="14">
      <c r="AW971" s="1"/>
    </row>
    <row r="972" spans="49:49" ht="14">
      <c r="AW972" s="1"/>
    </row>
    <row r="973" spans="49:49" ht="14">
      <c r="AW973" s="1"/>
    </row>
    <row r="974" spans="49:49" ht="14">
      <c r="AW974" s="1"/>
    </row>
    <row r="975" spans="49:49" ht="14">
      <c r="AW975" s="1"/>
    </row>
    <row r="976" spans="49:49" ht="14">
      <c r="AW976" s="1"/>
    </row>
    <row r="977" spans="49:49" ht="14">
      <c r="AW977" s="1"/>
    </row>
    <row r="978" spans="49:49" ht="14">
      <c r="AW978" s="1"/>
    </row>
    <row r="979" spans="49:49" ht="14">
      <c r="AW979" s="1"/>
    </row>
    <row r="980" spans="49:49" ht="14">
      <c r="AW980" s="1"/>
    </row>
    <row r="981" spans="49:49" ht="14">
      <c r="AW981" s="1"/>
    </row>
    <row r="982" spans="49:49" ht="14">
      <c r="AW982" s="1"/>
    </row>
    <row r="983" spans="49:49" ht="14">
      <c r="AW983" s="1"/>
    </row>
    <row r="984" spans="49:49" ht="14">
      <c r="AW984" s="1"/>
    </row>
    <row r="985" spans="49:49" ht="14">
      <c r="AW985" s="1"/>
    </row>
    <row r="986" spans="49:49" ht="14">
      <c r="AW986" s="1"/>
    </row>
    <row r="987" spans="49:49" ht="14">
      <c r="AW987" s="1"/>
    </row>
    <row r="988" spans="49:49" ht="14">
      <c r="AW988" s="1"/>
    </row>
    <row r="989" spans="49:49" ht="14">
      <c r="AW989" s="1"/>
    </row>
    <row r="990" spans="49:49" ht="14">
      <c r="AW990" s="1"/>
    </row>
    <row r="991" spans="49:49" ht="14">
      <c r="AW991" s="1"/>
    </row>
    <row r="992" spans="49:49" ht="14">
      <c r="AW992" s="1"/>
    </row>
    <row r="993" spans="49:49" ht="14">
      <c r="AW993" s="1"/>
    </row>
    <row r="994" spans="49:49" ht="14">
      <c r="AW994" s="1"/>
    </row>
    <row r="995" spans="49:49" ht="14">
      <c r="AW995" s="1"/>
    </row>
    <row r="996" spans="49:49" ht="14">
      <c r="AW996" s="1"/>
    </row>
    <row r="997" spans="49:49" ht="14">
      <c r="AW997" s="1"/>
    </row>
    <row r="998" spans="49:49" ht="14">
      <c r="AW998" s="1"/>
    </row>
    <row r="999" spans="49:49" ht="14">
      <c r="AW999" s="1"/>
    </row>
    <row r="1000" spans="49:49" ht="14">
      <c r="AW1000" s="1"/>
    </row>
    <row r="1001" spans="49:49" ht="14">
      <c r="AW1001" s="1"/>
    </row>
    <row r="1002" spans="49:49" ht="14">
      <c r="AW1002" s="1"/>
    </row>
    <row r="1003" spans="49:49" ht="14">
      <c r="AW1003" s="1"/>
    </row>
  </sheetData>
  <mergeCells count="11">
    <mergeCell ref="E3:R3"/>
    <mergeCell ref="W3:X3"/>
    <mergeCell ref="W4:X4"/>
    <mergeCell ref="Y2:Z2"/>
    <mergeCell ref="Y3:Z3"/>
    <mergeCell ref="Y4:Z4"/>
    <mergeCell ref="AB4:AI4"/>
    <mergeCell ref="S4:T4"/>
    <mergeCell ref="S3:T3"/>
    <mergeCell ref="U4:V4"/>
    <mergeCell ref="U3:V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1664-F29A-0545-8E44-5F058341A37A}">
  <dimension ref="I7:AJ1048567"/>
  <sheetViews>
    <sheetView topLeftCell="I1" workbookViewId="0">
      <selection activeCell="AD21" sqref="AD21"/>
    </sheetView>
  </sheetViews>
  <sheetFormatPr baseColWidth="10" defaultRowHeight="14"/>
  <cols>
    <col min="9" max="9" width="33.33203125" bestFit="1" customWidth="1"/>
    <col min="10" max="10" width="10.33203125" bestFit="1" customWidth="1"/>
    <col min="11" max="11" width="9.6640625" bestFit="1" customWidth="1"/>
    <col min="12" max="12" width="10.6640625" bestFit="1" customWidth="1"/>
    <col min="13" max="13" width="10.5" bestFit="1" customWidth="1"/>
    <col min="14" max="14" width="10" bestFit="1" customWidth="1"/>
    <col min="15" max="15" width="10.5" bestFit="1" customWidth="1"/>
    <col min="16" max="16" width="10.33203125" bestFit="1" customWidth="1"/>
    <col min="17" max="17" width="10.1640625" bestFit="1" customWidth="1"/>
    <col min="18" max="19" width="10.33203125" bestFit="1" customWidth="1"/>
    <col min="20" max="20" width="10.1640625" bestFit="1" customWidth="1"/>
    <col min="21" max="21" width="10.6640625" bestFit="1" customWidth="1"/>
    <col min="22" max="22" width="10.33203125" bestFit="1" customWidth="1"/>
    <col min="23" max="23" width="9.6640625" bestFit="1" customWidth="1"/>
    <col min="24" max="24" width="10.6640625" bestFit="1" customWidth="1"/>
    <col min="25" max="25" width="10.5" bestFit="1" customWidth="1"/>
    <col min="26" max="26" width="10" bestFit="1" customWidth="1"/>
    <col min="27" max="27" width="10.5" bestFit="1" customWidth="1"/>
    <col min="28" max="28" width="10.33203125" bestFit="1" customWidth="1"/>
    <col min="29" max="29" width="11.6640625" bestFit="1" customWidth="1"/>
    <col min="30" max="30" width="19.5" bestFit="1" customWidth="1"/>
    <col min="31" max="31" width="14.5" bestFit="1" customWidth="1"/>
    <col min="32" max="32" width="15.33203125" bestFit="1" customWidth="1"/>
    <col min="33" max="33" width="17.33203125" bestFit="1" customWidth="1"/>
  </cols>
  <sheetData>
    <row r="7" spans="9:36" ht="17">
      <c r="I7" s="75" t="s">
        <v>1</v>
      </c>
      <c r="J7" s="90">
        <v>45809</v>
      </c>
      <c r="K7" s="90">
        <v>45839</v>
      </c>
      <c r="L7" s="90">
        <v>45870</v>
      </c>
      <c r="M7" s="90">
        <v>45901</v>
      </c>
      <c r="N7" s="90">
        <v>45931</v>
      </c>
      <c r="O7" s="90">
        <v>45962</v>
      </c>
      <c r="P7" s="401" t="s">
        <v>689</v>
      </c>
      <c r="Q7" s="90">
        <v>46023</v>
      </c>
      <c r="R7" s="315">
        <v>46054</v>
      </c>
      <c r="S7" s="315">
        <v>46082</v>
      </c>
      <c r="T7" s="315">
        <v>46113</v>
      </c>
      <c r="U7" s="315">
        <v>46143</v>
      </c>
      <c r="V7" s="315">
        <v>46174</v>
      </c>
      <c r="W7" s="315">
        <v>46204</v>
      </c>
      <c r="X7" s="315">
        <v>46235</v>
      </c>
      <c r="Y7" s="315">
        <v>46266</v>
      </c>
      <c r="Z7" s="315">
        <v>46296</v>
      </c>
      <c r="AA7" s="315">
        <v>46327</v>
      </c>
      <c r="AB7" s="315">
        <v>46357</v>
      </c>
      <c r="AC7" s="235" t="s">
        <v>464</v>
      </c>
      <c r="AD7" s="233" t="s">
        <v>752</v>
      </c>
      <c r="AE7" s="233" t="s">
        <v>746</v>
      </c>
      <c r="AF7" s="233" t="s">
        <v>747</v>
      </c>
      <c r="AG7" s="233" t="s">
        <v>748</v>
      </c>
      <c r="AH7" s="233" t="s">
        <v>749</v>
      </c>
      <c r="AI7" s="233" t="s">
        <v>750</v>
      </c>
      <c r="AJ7" s="233" t="s">
        <v>751</v>
      </c>
    </row>
    <row r="8" spans="9:36" ht="16">
      <c r="I8" s="9" t="s">
        <v>187</v>
      </c>
      <c r="J8" s="477">
        <v>106694.97</v>
      </c>
      <c r="K8" s="477">
        <v>108561.68</v>
      </c>
      <c r="L8" s="477">
        <v>100393.75</v>
      </c>
      <c r="M8" s="477">
        <v>85547.93</v>
      </c>
      <c r="N8" s="477">
        <v>102980.78</v>
      </c>
      <c r="O8" s="477">
        <v>121043.54</v>
      </c>
      <c r="P8" s="477">
        <v>116656.75</v>
      </c>
      <c r="Q8" s="478">
        <v>123636.20000000001</v>
      </c>
      <c r="R8" s="478">
        <v>124816.64000000001</v>
      </c>
      <c r="S8" s="478">
        <v>131933.95542500002</v>
      </c>
      <c r="T8" s="478">
        <v>142474.00576581503</v>
      </c>
      <c r="U8" s="478">
        <v>141769.77253571741</v>
      </c>
      <c r="V8" s="478">
        <v>141954.47624001384</v>
      </c>
      <c r="W8" s="478">
        <v>143103.16535965033</v>
      </c>
      <c r="X8" s="478">
        <v>143361.30905729771</v>
      </c>
      <c r="Y8" s="478">
        <v>144814.35656226144</v>
      </c>
      <c r="Z8" s="478">
        <v>145797.79803531111</v>
      </c>
      <c r="AA8" s="478">
        <v>145885.46271413227</v>
      </c>
      <c r="AB8" s="478">
        <v>147169.77042114118</v>
      </c>
      <c r="AC8" s="402">
        <f>SUM(P8:AB8)</f>
        <v>1793373.6621163404</v>
      </c>
    </row>
    <row r="9" spans="9:36" ht="16">
      <c r="I9" s="9" t="s">
        <v>188</v>
      </c>
      <c r="J9" s="477">
        <v>16538.849999999999</v>
      </c>
      <c r="K9" s="477">
        <v>11410.24</v>
      </c>
      <c r="L9" s="477">
        <v>14422.98</v>
      </c>
      <c r="M9" s="477">
        <v>13112.8</v>
      </c>
      <c r="N9" s="477">
        <v>13988.72</v>
      </c>
      <c r="O9" s="477">
        <v>17456.189999999999</v>
      </c>
      <c r="P9" s="477">
        <v>13773.1</v>
      </c>
      <c r="Q9" s="478">
        <v>16410</v>
      </c>
      <c r="R9" s="478">
        <v>16593.2</v>
      </c>
      <c r="S9" s="478">
        <v>18195</v>
      </c>
      <c r="T9" s="478">
        <v>18286.599999999999</v>
      </c>
      <c r="U9" s="478">
        <v>18286.599999999999</v>
      </c>
      <c r="V9" s="478">
        <v>18286.599999999999</v>
      </c>
      <c r="W9" s="478">
        <v>18286.599999999999</v>
      </c>
      <c r="X9" s="478">
        <v>18286.599999999999</v>
      </c>
      <c r="Y9" s="478">
        <v>18332.400000000001</v>
      </c>
      <c r="Z9" s="478">
        <v>18332.400000000001</v>
      </c>
      <c r="AA9" s="478">
        <v>18332.400000000001</v>
      </c>
      <c r="AB9" s="478">
        <v>18500.2</v>
      </c>
      <c r="AC9" s="402">
        <f>SUM(P9:AB9)</f>
        <v>229901.7</v>
      </c>
    </row>
    <row r="10" spans="9:36" ht="17" thickBot="1">
      <c r="I10" s="9" t="s">
        <v>189</v>
      </c>
      <c r="J10" s="479">
        <v>123233.82</v>
      </c>
      <c r="K10" s="479">
        <v>119971.92</v>
      </c>
      <c r="L10" s="479">
        <v>114816.73</v>
      </c>
      <c r="M10" s="479">
        <v>98660.73</v>
      </c>
      <c r="N10" s="479">
        <v>116969.5</v>
      </c>
      <c r="O10" s="479">
        <v>138499.73000000001</v>
      </c>
      <c r="P10" s="479">
        <v>130429.85</v>
      </c>
      <c r="Q10" s="479">
        <v>140046.20000000001</v>
      </c>
      <c r="R10" s="479">
        <v>141409.84000000003</v>
      </c>
      <c r="S10" s="479">
        <v>150128.95542500002</v>
      </c>
      <c r="T10" s="479">
        <v>160760.60576581504</v>
      </c>
      <c r="U10" s="479">
        <v>160056.37253571741</v>
      </c>
      <c r="V10" s="478">
        <f>SUM(V8:V9)</f>
        <v>160241.07624001385</v>
      </c>
      <c r="W10" s="478">
        <v>161389.76535965034</v>
      </c>
      <c r="X10" s="478">
        <v>161647.90905729771</v>
      </c>
      <c r="Y10" s="478">
        <v>163146.75656226143</v>
      </c>
      <c r="Z10" s="478">
        <v>164130.1980353111</v>
      </c>
      <c r="AA10" s="478">
        <v>164217.86271413226</v>
      </c>
      <c r="AB10" s="478">
        <v>165669.97042114119</v>
      </c>
      <c r="AC10" s="402">
        <f>SUM(P10:AB10)</f>
        <v>2023275.3621163405</v>
      </c>
    </row>
    <row r="11" spans="9:36" ht="17" thickTop="1">
      <c r="I11" s="350" t="s">
        <v>190</v>
      </c>
      <c r="J11" s="350"/>
      <c r="K11" s="350"/>
      <c r="L11" s="350"/>
      <c r="M11" s="350"/>
      <c r="N11" s="350"/>
      <c r="O11" s="350"/>
      <c r="P11" s="350"/>
      <c r="Q11" s="350"/>
      <c r="R11" s="350"/>
      <c r="S11" s="350"/>
      <c r="T11" s="350"/>
      <c r="U11" s="350"/>
      <c r="V11" s="350"/>
      <c r="W11" s="350"/>
      <c r="X11" s="350"/>
      <c r="Y11" s="350"/>
      <c r="Z11" s="350"/>
      <c r="AA11" s="350"/>
      <c r="AB11" s="350"/>
    </row>
    <row r="12" spans="9:36" ht="16">
      <c r="I12" s="328" t="s">
        <v>334</v>
      </c>
      <c r="J12" s="346">
        <v>4500</v>
      </c>
      <c r="K12" s="346">
        <v>4500</v>
      </c>
      <c r="L12" s="346">
        <v>4500</v>
      </c>
      <c r="M12" s="346">
        <v>4500</v>
      </c>
      <c r="N12" s="346">
        <v>4500</v>
      </c>
      <c r="O12" s="346">
        <v>4500</v>
      </c>
      <c r="P12" s="475">
        <v>4500</v>
      </c>
      <c r="Q12" s="327">
        <v>4500</v>
      </c>
      <c r="R12" s="327">
        <v>4500</v>
      </c>
      <c r="S12" s="327">
        <v>4503.8686627500001</v>
      </c>
      <c r="T12" s="327">
        <v>4822.818172974451</v>
      </c>
      <c r="U12" s="327">
        <v>4801.691176071522</v>
      </c>
      <c r="V12" s="327">
        <v>4807.2322872004152</v>
      </c>
      <c r="W12" s="327">
        <v>4841.6929607895099</v>
      </c>
      <c r="X12" s="327">
        <v>4849.4372717189317</v>
      </c>
      <c r="Y12" s="327">
        <v>4894.4026968678427</v>
      </c>
      <c r="Z12" s="327">
        <v>4923.9059410593327</v>
      </c>
      <c r="AA12" s="327">
        <v>4926.535881423968</v>
      </c>
      <c r="AB12" s="327">
        <v>4970.0991126342351</v>
      </c>
      <c r="AC12" s="402">
        <f t="shared" ref="AC12:AC21" si="0">SUM(P12:AB12)</f>
        <v>61841.684163490208</v>
      </c>
      <c r="AD12" s="388">
        <f t="shared" ref="AD12:AJ12" si="1">SUM(J12:U12)</f>
        <v>54628.378011795976</v>
      </c>
      <c r="AE12" s="388">
        <f t="shared" si="1"/>
        <v>54935.610298996391</v>
      </c>
      <c r="AF12" s="388">
        <f t="shared" si="1"/>
        <v>55277.303259785898</v>
      </c>
      <c r="AG12" s="388">
        <f t="shared" si="1"/>
        <v>55626.740531504831</v>
      </c>
      <c r="AH12" s="388">
        <f t="shared" si="1"/>
        <v>56021.143228372668</v>
      </c>
      <c r="AI12" s="388">
        <f t="shared" si="1"/>
        <v>56445.049169432001</v>
      </c>
      <c r="AJ12" s="388">
        <f t="shared" si="1"/>
        <v>56871.585050855974</v>
      </c>
    </row>
    <row r="13" spans="9:36" ht="16">
      <c r="I13" s="328" t="s">
        <v>192</v>
      </c>
      <c r="J13" s="327">
        <v>1458.99</v>
      </c>
      <c r="K13" s="476">
        <v>9822.9500000000007</v>
      </c>
      <c r="L13" s="327">
        <v>3470.28</v>
      </c>
      <c r="M13" s="327">
        <v>1775.6</v>
      </c>
      <c r="N13" s="327">
        <v>2899.94</v>
      </c>
      <c r="O13" s="327">
        <v>1765.76</v>
      </c>
      <c r="P13" s="475">
        <v>1965.88</v>
      </c>
      <c r="Q13" s="327">
        <v>2781.05</v>
      </c>
      <c r="R13" s="327">
        <v>3093.77</v>
      </c>
      <c r="S13" s="327">
        <v>2297.0500000000002</v>
      </c>
      <c r="T13" s="327">
        <v>7597.05</v>
      </c>
      <c r="U13" s="327">
        <v>2997.3999999999996</v>
      </c>
      <c r="V13" s="327">
        <v>2297.0500000000002</v>
      </c>
      <c r="W13" s="327">
        <v>2297.0500000000002</v>
      </c>
      <c r="X13" s="327">
        <v>4497.0499999999993</v>
      </c>
      <c r="Y13" s="327">
        <v>2597.0500000000002</v>
      </c>
      <c r="Z13" s="327">
        <v>2297.0500000000002</v>
      </c>
      <c r="AA13" s="327">
        <v>2723.1499999999996</v>
      </c>
      <c r="AB13" s="327">
        <v>2297.0500000000002</v>
      </c>
      <c r="AC13" s="402">
        <f t="shared" si="0"/>
        <v>39737.65</v>
      </c>
      <c r="AD13" s="388">
        <f t="shared" ref="AD13:AJ20" si="2">SUM(J13:U13)</f>
        <v>41925.72</v>
      </c>
      <c r="AE13" s="388">
        <f t="shared" si="2"/>
        <v>42763.780000000006</v>
      </c>
      <c r="AF13" s="388">
        <f t="shared" si="2"/>
        <v>35237.880000000005</v>
      </c>
      <c r="AG13" s="388">
        <f t="shared" si="2"/>
        <v>36264.649999999994</v>
      </c>
      <c r="AH13" s="388">
        <f t="shared" si="2"/>
        <v>37086.100000000006</v>
      </c>
      <c r="AI13" s="388">
        <f t="shared" si="2"/>
        <v>36483.21</v>
      </c>
      <c r="AJ13" s="388">
        <f t="shared" si="2"/>
        <v>37440.6</v>
      </c>
    </row>
    <row r="14" spans="9:36" ht="16">
      <c r="I14" s="328" t="s">
        <v>193</v>
      </c>
      <c r="J14" s="476">
        <v>0</v>
      </c>
      <c r="K14" s="476">
        <v>0</v>
      </c>
      <c r="L14" s="327">
        <v>3303.8</v>
      </c>
      <c r="M14" s="327">
        <v>8685.7800000000007</v>
      </c>
      <c r="N14" s="327">
        <v>2766.2</v>
      </c>
      <c r="O14" s="327">
        <v>1258.46</v>
      </c>
      <c r="P14" s="475">
        <v>1460.93</v>
      </c>
      <c r="Q14" s="327">
        <v>2210</v>
      </c>
      <c r="R14" s="327">
        <v>2210</v>
      </c>
      <c r="S14" s="327">
        <v>1610</v>
      </c>
      <c r="T14" s="327">
        <v>3110</v>
      </c>
      <c r="U14" s="327">
        <v>1910</v>
      </c>
      <c r="V14" s="327">
        <v>4898.0400000000009</v>
      </c>
      <c r="W14" s="327">
        <v>2510</v>
      </c>
      <c r="X14" s="327">
        <v>5210</v>
      </c>
      <c r="Y14" s="327">
        <v>2810</v>
      </c>
      <c r="Z14" s="327">
        <v>2760</v>
      </c>
      <c r="AA14" s="327">
        <v>2510</v>
      </c>
      <c r="AB14" s="327">
        <v>3110</v>
      </c>
      <c r="AC14" s="402">
        <f t="shared" si="0"/>
        <v>36318.97</v>
      </c>
      <c r="AD14" s="388">
        <f t="shared" si="2"/>
        <v>28525.170000000002</v>
      </c>
      <c r="AE14" s="388">
        <f t="shared" si="2"/>
        <v>33423.210000000006</v>
      </c>
      <c r="AF14" s="388">
        <f t="shared" si="2"/>
        <v>35933.210000000006</v>
      </c>
      <c r="AG14" s="388">
        <f t="shared" si="2"/>
        <v>37839.410000000003</v>
      </c>
      <c r="AH14" s="388">
        <f t="shared" si="2"/>
        <v>31963.63</v>
      </c>
      <c r="AI14" s="388">
        <f t="shared" si="2"/>
        <v>31957.43</v>
      </c>
      <c r="AJ14" s="388">
        <f t="shared" si="2"/>
        <v>33208.97</v>
      </c>
    </row>
    <row r="15" spans="9:36" ht="16">
      <c r="I15" s="328" t="s">
        <v>195</v>
      </c>
      <c r="J15" s="327">
        <v>5691.04</v>
      </c>
      <c r="K15" s="327">
        <v>3691.38</v>
      </c>
      <c r="L15" s="327">
        <v>4535.2299999999996</v>
      </c>
      <c r="M15" s="327">
        <v>4396.92</v>
      </c>
      <c r="N15" s="327">
        <v>3631</v>
      </c>
      <c r="O15" s="327">
        <v>3812</v>
      </c>
      <c r="P15" s="327">
        <v>2936.62</v>
      </c>
      <c r="Q15" s="327">
        <v>3562</v>
      </c>
      <c r="R15" s="327">
        <v>3562</v>
      </c>
      <c r="S15" s="327">
        <v>3562</v>
      </c>
      <c r="T15" s="327">
        <v>3562</v>
      </c>
      <c r="U15" s="327">
        <v>3562</v>
      </c>
      <c r="V15" s="327">
        <v>3327</v>
      </c>
      <c r="W15" s="327">
        <v>3562</v>
      </c>
      <c r="X15" s="327">
        <v>3562</v>
      </c>
      <c r="Y15" s="327">
        <v>3562</v>
      </c>
      <c r="Z15" s="327">
        <v>2193.9499999999998</v>
      </c>
      <c r="AA15" s="327">
        <v>2030</v>
      </c>
      <c r="AB15" s="327">
        <v>2030</v>
      </c>
      <c r="AC15" s="402">
        <f t="shared" si="0"/>
        <v>41013.569999999992</v>
      </c>
      <c r="AD15" s="388">
        <f t="shared" si="2"/>
        <v>46504.19</v>
      </c>
      <c r="AE15" s="388">
        <f t="shared" si="2"/>
        <v>44140.149999999994</v>
      </c>
      <c r="AF15" s="388">
        <f t="shared" si="2"/>
        <v>44010.770000000004</v>
      </c>
      <c r="AG15" s="388">
        <f t="shared" si="2"/>
        <v>43037.54</v>
      </c>
      <c r="AH15" s="388">
        <f t="shared" si="2"/>
        <v>42202.619999999995</v>
      </c>
      <c r="AI15" s="388">
        <f t="shared" si="2"/>
        <v>40765.569999999992</v>
      </c>
      <c r="AJ15" s="388">
        <f t="shared" si="2"/>
        <v>38983.569999999992</v>
      </c>
    </row>
    <row r="16" spans="9:36" ht="16">
      <c r="I16" s="328" t="s">
        <v>196</v>
      </c>
      <c r="J16" s="327">
        <v>5700.66</v>
      </c>
      <c r="K16" s="327">
        <v>702.97</v>
      </c>
      <c r="L16" s="327">
        <v>5245.66</v>
      </c>
      <c r="M16" s="327">
        <v>5314.97</v>
      </c>
      <c r="N16" s="327">
        <v>5026.3999999999996</v>
      </c>
      <c r="O16" s="327">
        <v>6685.8</v>
      </c>
      <c r="P16" s="475">
        <v>10229.92</v>
      </c>
      <c r="Q16" s="327">
        <v>3327</v>
      </c>
      <c r="R16" s="327">
        <v>3327</v>
      </c>
      <c r="S16" s="327">
        <v>3327</v>
      </c>
      <c r="T16" s="327">
        <v>3327</v>
      </c>
      <c r="U16" s="327">
        <v>3327</v>
      </c>
      <c r="V16" s="327">
        <v>1910</v>
      </c>
      <c r="W16" s="327">
        <v>3327</v>
      </c>
      <c r="X16" s="327">
        <v>3327</v>
      </c>
      <c r="Y16" s="327">
        <v>3327</v>
      </c>
      <c r="Z16" s="327">
        <v>3327</v>
      </c>
      <c r="AA16" s="327">
        <v>3327</v>
      </c>
      <c r="AB16" s="327">
        <v>3327</v>
      </c>
      <c r="AC16" s="402">
        <f t="shared" si="0"/>
        <v>48736.92</v>
      </c>
      <c r="AD16" s="388">
        <f t="shared" si="2"/>
        <v>55541.380000000005</v>
      </c>
      <c r="AE16" s="388">
        <f t="shared" si="2"/>
        <v>51750.720000000001</v>
      </c>
      <c r="AF16" s="388">
        <f t="shared" si="2"/>
        <v>54374.75</v>
      </c>
      <c r="AG16" s="388">
        <f t="shared" si="2"/>
        <v>52456.09</v>
      </c>
      <c r="AH16" s="388">
        <f t="shared" si="2"/>
        <v>50468.12</v>
      </c>
      <c r="AI16" s="388">
        <f t="shared" si="2"/>
        <v>48768.72</v>
      </c>
      <c r="AJ16" s="388">
        <f t="shared" si="2"/>
        <v>45409.919999999998</v>
      </c>
    </row>
    <row r="17" spans="9:36" ht="16">
      <c r="I17" s="328" t="s">
        <v>198</v>
      </c>
      <c r="J17" s="327">
        <v>5013.05</v>
      </c>
      <c r="K17" s="327">
        <v>3890.75</v>
      </c>
      <c r="L17" s="327">
        <v>5456.68</v>
      </c>
      <c r="M17" s="327">
        <v>4976.3599999999997</v>
      </c>
      <c r="N17" s="327">
        <v>5351.97</v>
      </c>
      <c r="O17" s="327">
        <v>7348.6</v>
      </c>
      <c r="P17" s="475">
        <v>4528.6000000000004</v>
      </c>
      <c r="Q17" s="327">
        <v>5573.66</v>
      </c>
      <c r="R17" s="327">
        <v>4898.0400000000009</v>
      </c>
      <c r="S17" s="327">
        <v>4898.0400000000009</v>
      </c>
      <c r="T17" s="327">
        <v>5573.66</v>
      </c>
      <c r="U17" s="327">
        <v>4898.0400000000009</v>
      </c>
      <c r="V17" s="327">
        <v>5028.88</v>
      </c>
      <c r="W17" s="327">
        <v>5573.66</v>
      </c>
      <c r="X17" s="327">
        <v>4898.0400000000009</v>
      </c>
      <c r="Y17" s="327">
        <v>4898.0400000000009</v>
      </c>
      <c r="Z17" s="327">
        <v>5573.66</v>
      </c>
      <c r="AA17" s="327">
        <v>6973.17</v>
      </c>
      <c r="AB17" s="327">
        <v>4898.0400000000009</v>
      </c>
      <c r="AC17" s="402">
        <f t="shared" si="0"/>
        <v>68213.53</v>
      </c>
      <c r="AD17" s="388">
        <f t="shared" si="2"/>
        <v>62407.450000000004</v>
      </c>
      <c r="AE17" s="388">
        <f t="shared" si="2"/>
        <v>62423.28</v>
      </c>
      <c r="AF17" s="388">
        <f t="shared" si="2"/>
        <v>64106.19</v>
      </c>
      <c r="AG17" s="388">
        <f t="shared" si="2"/>
        <v>63547.55000000001</v>
      </c>
      <c r="AH17" s="388">
        <f t="shared" si="2"/>
        <v>63469.229999999996</v>
      </c>
      <c r="AI17" s="388">
        <f t="shared" si="2"/>
        <v>63690.920000000013</v>
      </c>
      <c r="AJ17" s="388">
        <f t="shared" si="2"/>
        <v>63315.490000000005</v>
      </c>
    </row>
    <row r="18" spans="9:36" ht="16">
      <c r="I18" s="9" t="s">
        <v>199</v>
      </c>
      <c r="J18" s="327">
        <v>6743.78</v>
      </c>
      <c r="K18" s="327">
        <v>6410.55</v>
      </c>
      <c r="L18" s="327">
        <v>7404.19</v>
      </c>
      <c r="M18" s="327">
        <v>6924.26</v>
      </c>
      <c r="N18" s="327">
        <v>5967.88</v>
      </c>
      <c r="O18" s="327">
        <v>6320.12</v>
      </c>
      <c r="P18" s="475">
        <v>6240.74</v>
      </c>
      <c r="Q18" s="327">
        <v>5028.88</v>
      </c>
      <c r="R18" s="327">
        <v>5028.88</v>
      </c>
      <c r="S18" s="327">
        <v>5028.88</v>
      </c>
      <c r="T18" s="327">
        <v>5028.88</v>
      </c>
      <c r="U18" s="327">
        <v>5028.88</v>
      </c>
      <c r="V18" s="327">
        <v>2297.0500000000002</v>
      </c>
      <c r="W18" s="327">
        <v>5028.88</v>
      </c>
      <c r="X18" s="327">
        <v>5028.88</v>
      </c>
      <c r="Y18" s="327">
        <v>5028.88</v>
      </c>
      <c r="Z18" s="327">
        <v>5028.88</v>
      </c>
      <c r="AA18" s="327">
        <v>5028.88</v>
      </c>
      <c r="AB18" s="327">
        <v>5028.88</v>
      </c>
      <c r="AC18" s="402">
        <f t="shared" si="0"/>
        <v>63855.469999999987</v>
      </c>
      <c r="AD18" s="388">
        <f t="shared" si="2"/>
        <v>71155.92</v>
      </c>
      <c r="AE18" s="388">
        <f t="shared" si="2"/>
        <v>66709.189999999988</v>
      </c>
      <c r="AF18" s="388">
        <f t="shared" si="2"/>
        <v>65327.51999999999</v>
      </c>
      <c r="AG18" s="388">
        <f t="shared" si="2"/>
        <v>62952.209999999992</v>
      </c>
      <c r="AH18" s="388">
        <f t="shared" si="2"/>
        <v>61056.829999999987</v>
      </c>
      <c r="AI18" s="388">
        <f t="shared" si="2"/>
        <v>60117.829999999994</v>
      </c>
      <c r="AJ18" s="388">
        <f t="shared" si="2"/>
        <v>58826.589999999989</v>
      </c>
    </row>
    <row r="19" spans="9:36" ht="16">
      <c r="I19" s="9" t="s">
        <v>200</v>
      </c>
      <c r="J19" s="327">
        <v>30149.1</v>
      </c>
      <c r="K19" s="327">
        <v>30149.1</v>
      </c>
      <c r="L19" s="327">
        <v>36042</v>
      </c>
      <c r="M19" s="327">
        <v>36042</v>
      </c>
      <c r="N19" s="327">
        <v>36042</v>
      </c>
      <c r="O19" s="327">
        <v>28518.86</v>
      </c>
      <c r="P19" s="327">
        <v>44207.66</v>
      </c>
      <c r="Q19" s="327">
        <v>0</v>
      </c>
      <c r="R19" s="327">
        <v>21140</v>
      </c>
      <c r="S19" s="327">
        <v>21140</v>
      </c>
      <c r="T19" s="327">
        <v>21140</v>
      </c>
      <c r="U19" s="327">
        <v>21140</v>
      </c>
      <c r="V19" s="327">
        <v>21140</v>
      </c>
      <c r="W19" s="327">
        <v>21140</v>
      </c>
      <c r="X19" s="327">
        <v>21140</v>
      </c>
      <c r="Y19" s="327">
        <v>21140</v>
      </c>
      <c r="Z19" s="327">
        <v>21140</v>
      </c>
      <c r="AA19" s="327">
        <v>21140</v>
      </c>
      <c r="AB19" s="327">
        <v>21140</v>
      </c>
      <c r="AC19" s="402">
        <f t="shared" si="0"/>
        <v>276747.66000000003</v>
      </c>
      <c r="AD19" s="388">
        <f t="shared" si="2"/>
        <v>325710.71999999997</v>
      </c>
      <c r="AE19" s="388">
        <f t="shared" si="2"/>
        <v>316701.62</v>
      </c>
      <c r="AF19" s="388">
        <f t="shared" si="2"/>
        <v>307692.52</v>
      </c>
      <c r="AG19" s="388">
        <f t="shared" si="2"/>
        <v>292790.52</v>
      </c>
      <c r="AH19" s="388">
        <f t="shared" si="2"/>
        <v>277888.52</v>
      </c>
      <c r="AI19" s="388">
        <f t="shared" si="2"/>
        <v>262986.52</v>
      </c>
      <c r="AJ19" s="388">
        <f t="shared" si="2"/>
        <v>255607.66</v>
      </c>
    </row>
    <row r="20" spans="9:36" ht="16">
      <c r="I20" s="9" t="s">
        <v>202</v>
      </c>
      <c r="J20" s="327">
        <v>14595.66</v>
      </c>
      <c r="K20" s="327">
        <v>20007.3</v>
      </c>
      <c r="L20" s="327">
        <v>18746.52</v>
      </c>
      <c r="M20" s="327">
        <v>12406.7</v>
      </c>
      <c r="N20" s="327">
        <v>15143.6</v>
      </c>
      <c r="O20" s="327">
        <v>12182.34</v>
      </c>
      <c r="P20" s="327">
        <v>14019.56</v>
      </c>
      <c r="Q20" s="327">
        <v>12241.7</v>
      </c>
      <c r="R20" s="327">
        <v>12241.7</v>
      </c>
      <c r="S20" s="327">
        <v>12991.7</v>
      </c>
      <c r="T20" s="327">
        <v>12241.7</v>
      </c>
      <c r="U20" s="327">
        <v>12241.7</v>
      </c>
      <c r="V20" s="327">
        <v>12241.7</v>
      </c>
      <c r="W20" s="327">
        <v>12241.7</v>
      </c>
      <c r="X20" s="327">
        <v>12241.7</v>
      </c>
      <c r="Y20" s="327">
        <v>12991.7</v>
      </c>
      <c r="Z20" s="327">
        <v>12241.7</v>
      </c>
      <c r="AA20" s="327">
        <v>12241.7</v>
      </c>
      <c r="AB20" s="327">
        <v>15491.7</v>
      </c>
      <c r="AC20" s="402">
        <f t="shared" si="0"/>
        <v>165669.96000000002</v>
      </c>
      <c r="AD20" s="388">
        <f t="shared" si="2"/>
        <v>169060.18000000002</v>
      </c>
      <c r="AE20" s="388">
        <f t="shared" si="2"/>
        <v>166706.22000000003</v>
      </c>
      <c r="AF20" s="388">
        <f t="shared" si="2"/>
        <v>158940.62000000002</v>
      </c>
      <c r="AG20" s="388">
        <f t="shared" si="2"/>
        <v>152435.79999999999</v>
      </c>
      <c r="AH20" s="388">
        <f t="shared" si="2"/>
        <v>153020.79999999999</v>
      </c>
      <c r="AI20" s="388">
        <f t="shared" si="2"/>
        <v>150118.9</v>
      </c>
      <c r="AJ20" s="388">
        <f t="shared" si="2"/>
        <v>150178.26</v>
      </c>
    </row>
    <row r="21" spans="9:36" ht="17" thickBot="1">
      <c r="I21" s="9" t="s">
        <v>203</v>
      </c>
      <c r="J21" s="348">
        <f t="shared" ref="J21:O21" si="3">SUM(J12:J20)</f>
        <v>73852.28</v>
      </c>
      <c r="K21" s="348">
        <f t="shared" si="3"/>
        <v>79175</v>
      </c>
      <c r="L21" s="348">
        <f t="shared" si="3"/>
        <v>88704.36</v>
      </c>
      <c r="M21" s="348">
        <f t="shared" si="3"/>
        <v>85022.590000000011</v>
      </c>
      <c r="N21" s="348">
        <f t="shared" si="3"/>
        <v>81328.990000000005</v>
      </c>
      <c r="O21" s="348">
        <f t="shared" si="3"/>
        <v>72391.94</v>
      </c>
      <c r="P21" s="348">
        <v>90089.91</v>
      </c>
      <c r="Q21" s="348">
        <v>60364.289999999994</v>
      </c>
      <c r="R21" s="348">
        <v>60001.39</v>
      </c>
      <c r="S21" s="348">
        <v>59358.538662749997</v>
      </c>
      <c r="T21" s="348">
        <v>66403.108172974447</v>
      </c>
      <c r="U21" s="348">
        <v>59906.71117607152</v>
      </c>
      <c r="V21" s="348">
        <f>SUM(V12:V20)</f>
        <v>57946.952287200416</v>
      </c>
      <c r="W21" s="348">
        <v>60521.982960789508</v>
      </c>
      <c r="X21" s="348">
        <v>64754.107271718938</v>
      </c>
      <c r="Y21" s="348">
        <v>61249.07269686785</v>
      </c>
      <c r="Z21" s="348">
        <v>59486.145941059338</v>
      </c>
      <c r="AA21" s="348">
        <v>60900.435881423968</v>
      </c>
      <c r="AB21" s="348">
        <v>62292.76911263424</v>
      </c>
      <c r="AC21" s="402">
        <f t="shared" si="0"/>
        <v>823275.41416349029</v>
      </c>
      <c r="AD21" s="388">
        <f t="shared" ref="AD21:AJ21" si="4">SUM(AD12:AD20)</f>
        <v>855459.10801179602</v>
      </c>
      <c r="AE21" s="388">
        <f t="shared" si="4"/>
        <v>839553.78029899648</v>
      </c>
      <c r="AF21" s="388">
        <f t="shared" si="4"/>
        <v>820900.76325978595</v>
      </c>
      <c r="AG21" s="388">
        <f t="shared" si="4"/>
        <v>796950.51053150487</v>
      </c>
      <c r="AH21" s="388">
        <f t="shared" si="4"/>
        <v>773176.99322837265</v>
      </c>
      <c r="AI21" s="388">
        <f t="shared" si="4"/>
        <v>751334.14916943212</v>
      </c>
      <c r="AJ21" s="388">
        <f t="shared" si="4"/>
        <v>739842.64505085594</v>
      </c>
    </row>
    <row r="22" spans="9:36" ht="17" thickTop="1">
      <c r="I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9:36" ht="17" thickBot="1">
      <c r="I23" s="328" t="s">
        <v>427</v>
      </c>
      <c r="J23" s="344">
        <f t="shared" ref="J23:P23" si="5">J10-J21</f>
        <v>49381.540000000008</v>
      </c>
      <c r="K23" s="344">
        <f t="shared" si="5"/>
        <v>40796.92</v>
      </c>
      <c r="L23" s="344">
        <f t="shared" si="5"/>
        <v>26112.369999999995</v>
      </c>
      <c r="M23" s="344">
        <f t="shared" si="5"/>
        <v>13638.139999999985</v>
      </c>
      <c r="N23" s="344">
        <f t="shared" si="5"/>
        <v>35640.509999999995</v>
      </c>
      <c r="O23" s="344">
        <f t="shared" si="5"/>
        <v>66107.790000000008</v>
      </c>
      <c r="P23" s="344">
        <f t="shared" si="5"/>
        <v>40339.94</v>
      </c>
      <c r="Q23" s="344">
        <v>79681.910000000018</v>
      </c>
      <c r="R23" s="344">
        <v>81408.450000000026</v>
      </c>
      <c r="S23" s="344">
        <v>90770.416762250024</v>
      </c>
      <c r="T23" s="344">
        <v>94357.497592840591</v>
      </c>
      <c r="U23" s="344">
        <v>100149.66135964589</v>
      </c>
      <c r="V23" s="344">
        <f>V10-V21</f>
        <v>102294.12395281343</v>
      </c>
      <c r="W23" s="344">
        <v>100867.78239886083</v>
      </c>
      <c r="X23" s="344">
        <v>96893.801785578777</v>
      </c>
      <c r="Y23" s="344">
        <v>101897.68386539358</v>
      </c>
      <c r="Z23" s="344">
        <v>104644.05209425176</v>
      </c>
      <c r="AA23" s="344">
        <v>103317.4268327083</v>
      </c>
      <c r="AB23" s="344">
        <v>103377.20130850695</v>
      </c>
      <c r="AC23" s="402">
        <f>SUM(P23:AB23)</f>
        <v>1199999.9479528503</v>
      </c>
    </row>
    <row r="24" spans="9:36" ht="16">
      <c r="J24" s="306"/>
      <c r="K24" s="306"/>
      <c r="L24" s="306"/>
      <c r="M24" s="306"/>
      <c r="N24" s="306"/>
      <c r="O24" s="306"/>
      <c r="P24" s="306"/>
    </row>
    <row r="1048567" spans="28:28">
      <c r="AB1048567" s="229">
        <f>SUM(J1048567:U1048576)</f>
        <v>0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3C5B-1CD2-FF49-896C-6DDB047C5CCB}">
  <dimension ref="A1:XEV76"/>
  <sheetViews>
    <sheetView workbookViewId="0">
      <selection activeCell="C15" sqref="C15"/>
    </sheetView>
  </sheetViews>
  <sheetFormatPr baseColWidth="10" defaultRowHeight="14" outlineLevelRow="1"/>
  <cols>
    <col min="1" max="1" width="46.5" bestFit="1" customWidth="1"/>
    <col min="2" max="2" width="12.5" bestFit="1" customWidth="1"/>
    <col min="3" max="4" width="10.5" bestFit="1" customWidth="1"/>
    <col min="5" max="11" width="12.83203125" bestFit="1" customWidth="1"/>
    <col min="12" max="12" width="14" bestFit="1" customWidth="1"/>
    <col min="13" max="13" width="11" bestFit="1" customWidth="1"/>
    <col min="14" max="14" width="12.83203125" customWidth="1"/>
    <col min="15" max="15" width="8.33203125" bestFit="1" customWidth="1"/>
    <col min="16" max="16" width="29.5" bestFit="1" customWidth="1"/>
    <col min="17" max="17" width="18.6640625" bestFit="1" customWidth="1"/>
    <col min="18" max="18" width="18.83203125" bestFit="1" customWidth="1"/>
    <col min="19" max="19" width="25.83203125" bestFit="1" customWidth="1"/>
    <col min="20" max="20" width="22.5" bestFit="1" customWidth="1"/>
    <col min="21" max="21" width="31" bestFit="1" customWidth="1"/>
    <col min="22" max="22" width="30.1640625" customWidth="1"/>
    <col min="23" max="23" width="8.33203125" bestFit="1" customWidth="1"/>
    <col min="24" max="24" width="44.5" bestFit="1" customWidth="1"/>
    <col min="25" max="32" width="5.5" bestFit="1" customWidth="1"/>
    <col min="33" max="33" width="22.83203125" bestFit="1" customWidth="1"/>
    <col min="34" max="44" width="5.5" bestFit="1" customWidth="1"/>
    <col min="45" max="64" width="5.33203125" bestFit="1" customWidth="1"/>
    <col min="65" max="80" width="5.6640625" bestFit="1" customWidth="1"/>
    <col min="81" max="92" width="5.5" bestFit="1" customWidth="1"/>
    <col min="93" max="108" width="4.6640625" bestFit="1" customWidth="1"/>
    <col min="109" max="120" width="5.1640625" bestFit="1" customWidth="1"/>
    <col min="121" max="121" width="11.6640625" bestFit="1" customWidth="1"/>
  </cols>
  <sheetData>
    <row r="1" spans="1:15" ht="15" thickBot="1">
      <c r="A1" s="406" t="s">
        <v>684</v>
      </c>
      <c r="B1" s="407">
        <v>1180.44</v>
      </c>
    </row>
    <row r="2" spans="1:15">
      <c r="A2" s="233" t="s">
        <v>184</v>
      </c>
      <c r="B2">
        <v>127</v>
      </c>
    </row>
    <row r="3" spans="1:15">
      <c r="A3" s="335" t="s">
        <v>640</v>
      </c>
      <c r="B3" s="333">
        <v>0</v>
      </c>
      <c r="C3" s="333">
        <v>4</v>
      </c>
      <c r="D3" s="333">
        <v>11</v>
      </c>
      <c r="E3" s="333">
        <v>2</v>
      </c>
      <c r="F3" s="333">
        <v>3</v>
      </c>
      <c r="G3" s="333">
        <v>3</v>
      </c>
      <c r="H3" s="333">
        <v>2</v>
      </c>
      <c r="I3" s="333">
        <v>2</v>
      </c>
      <c r="J3" s="333">
        <v>2</v>
      </c>
      <c r="K3" s="333">
        <v>1</v>
      </c>
      <c r="L3" s="333">
        <v>1</v>
      </c>
      <c r="M3" s="333">
        <v>1</v>
      </c>
    </row>
    <row r="4" spans="1:15">
      <c r="A4" s="335" t="s">
        <v>580</v>
      </c>
      <c r="B4" s="333">
        <v>12</v>
      </c>
      <c r="C4" s="333">
        <v>8</v>
      </c>
      <c r="D4" s="333">
        <v>4</v>
      </c>
      <c r="E4" s="333">
        <v>4</v>
      </c>
      <c r="F4" s="333">
        <v>4</v>
      </c>
      <c r="G4" s="333">
        <v>4</v>
      </c>
      <c r="H4" s="333">
        <v>4</v>
      </c>
      <c r="I4" s="333">
        <v>4</v>
      </c>
      <c r="J4" s="333">
        <v>3</v>
      </c>
      <c r="K4" s="333">
        <v>3</v>
      </c>
      <c r="L4" s="333">
        <v>3</v>
      </c>
      <c r="M4" s="333">
        <v>3</v>
      </c>
    </row>
    <row r="5" spans="1:15">
      <c r="A5" s="335" t="s">
        <v>639</v>
      </c>
      <c r="B5" s="333">
        <v>105</v>
      </c>
      <c r="C5" s="333">
        <v>109</v>
      </c>
      <c r="D5" s="333">
        <v>110</v>
      </c>
      <c r="E5" s="333">
        <v>122</v>
      </c>
      <c r="F5" s="333">
        <v>122</v>
      </c>
      <c r="G5" s="333">
        <v>122</v>
      </c>
      <c r="H5" s="333">
        <v>122</v>
      </c>
      <c r="I5" s="333">
        <v>122</v>
      </c>
      <c r="J5" s="333">
        <v>123</v>
      </c>
      <c r="K5" s="333">
        <v>123</v>
      </c>
      <c r="L5" s="333">
        <v>123</v>
      </c>
      <c r="M5" s="333">
        <v>124</v>
      </c>
    </row>
    <row r="6" spans="1:15">
      <c r="A6" s="400" t="s">
        <v>682</v>
      </c>
      <c r="B6">
        <f t="shared" ref="B6:M6" si="0">ABS(SUM(B4:B5)-$B$2)</f>
        <v>10</v>
      </c>
      <c r="C6">
        <f t="shared" si="0"/>
        <v>10</v>
      </c>
      <c r="D6">
        <f t="shared" si="0"/>
        <v>13</v>
      </c>
      <c r="E6">
        <f t="shared" si="0"/>
        <v>1</v>
      </c>
      <c r="F6">
        <f t="shared" si="0"/>
        <v>1</v>
      </c>
      <c r="G6">
        <f t="shared" si="0"/>
        <v>1</v>
      </c>
      <c r="H6">
        <f t="shared" si="0"/>
        <v>1</v>
      </c>
      <c r="I6">
        <f t="shared" si="0"/>
        <v>1</v>
      </c>
      <c r="J6">
        <f t="shared" si="0"/>
        <v>1</v>
      </c>
      <c r="K6">
        <f t="shared" si="0"/>
        <v>1</v>
      </c>
      <c r="L6">
        <f t="shared" si="0"/>
        <v>1</v>
      </c>
      <c r="M6">
        <f t="shared" si="0"/>
        <v>0</v>
      </c>
    </row>
    <row r="7" spans="1:15">
      <c r="A7" s="335" t="s">
        <v>564</v>
      </c>
      <c r="B7" s="408"/>
      <c r="C7" s="334">
        <v>0</v>
      </c>
      <c r="D7" s="334">
        <v>2.5000000000000001E-3</v>
      </c>
      <c r="E7" s="334">
        <v>1.2999999999999999E-3</v>
      </c>
      <c r="F7" s="334">
        <v>1.2999999999999999E-3</v>
      </c>
      <c r="G7" s="334">
        <v>1.2999999999999999E-3</v>
      </c>
      <c r="H7" s="334">
        <v>1.8E-3</v>
      </c>
      <c r="I7" s="334">
        <v>1.8E-3</v>
      </c>
      <c r="J7" s="334">
        <v>1.8E-3</v>
      </c>
      <c r="K7" s="334">
        <v>5.9999999999999995E-4</v>
      </c>
      <c r="L7" s="334">
        <v>5.9999999999999995E-4</v>
      </c>
      <c r="M7" s="334">
        <v>5.9999999999999995E-4</v>
      </c>
    </row>
    <row r="8" spans="1:15">
      <c r="B8" s="409">
        <f>B1</f>
        <v>1180.44</v>
      </c>
      <c r="C8" s="236">
        <f t="shared" ref="C8:M8" si="1">B8*(1+C7)</f>
        <v>1180.44</v>
      </c>
      <c r="D8" s="236">
        <f t="shared" si="1"/>
        <v>1183.3911000000001</v>
      </c>
      <c r="E8" s="236">
        <f t="shared" si="1"/>
        <v>1184.9295084300002</v>
      </c>
      <c r="F8" s="236">
        <f t="shared" si="1"/>
        <v>1186.4699167909594</v>
      </c>
      <c r="G8" s="236">
        <f t="shared" si="1"/>
        <v>1188.0123276827876</v>
      </c>
      <c r="H8" s="236">
        <f t="shared" si="1"/>
        <v>1190.1507498726166</v>
      </c>
      <c r="I8" s="236">
        <f t="shared" si="1"/>
        <v>1192.2930212223873</v>
      </c>
      <c r="J8" s="236">
        <f t="shared" si="1"/>
        <v>1194.4391486605878</v>
      </c>
      <c r="K8" s="236">
        <f t="shared" si="1"/>
        <v>1195.155812149784</v>
      </c>
      <c r="L8" s="236">
        <f t="shared" si="1"/>
        <v>1195.8729056370737</v>
      </c>
      <c r="M8" s="236">
        <f t="shared" si="1"/>
        <v>1196.5904293804558</v>
      </c>
    </row>
    <row r="10" spans="1:15">
      <c r="A10" s="400" t="s">
        <v>753</v>
      </c>
      <c r="B10" s="230">
        <f>(B18+B15)/B5</f>
        <v>1174.5352380952381</v>
      </c>
    </row>
    <row r="11" spans="1:15">
      <c r="B11" s="215">
        <v>1</v>
      </c>
      <c r="C11" s="215">
        <f>B11+1</f>
        <v>2</v>
      </c>
      <c r="D11" s="215">
        <f t="shared" ref="D11:M11" si="2">C11+1</f>
        <v>3</v>
      </c>
      <c r="E11" s="216">
        <f t="shared" si="2"/>
        <v>4</v>
      </c>
      <c r="F11" s="216">
        <f t="shared" si="2"/>
        <v>5</v>
      </c>
      <c r="G11" s="216">
        <f t="shared" si="2"/>
        <v>6</v>
      </c>
      <c r="H11" s="217">
        <f t="shared" si="2"/>
        <v>7</v>
      </c>
      <c r="I11" s="217">
        <f t="shared" si="2"/>
        <v>8</v>
      </c>
      <c r="J11" s="217">
        <f>I11+1</f>
        <v>9</v>
      </c>
      <c r="K11" s="218">
        <f t="shared" si="2"/>
        <v>10</v>
      </c>
      <c r="L11" s="218">
        <f t="shared" si="2"/>
        <v>11</v>
      </c>
      <c r="M11" s="218">
        <f t="shared" si="2"/>
        <v>12</v>
      </c>
      <c r="N11" s="235" t="s">
        <v>579</v>
      </c>
      <c r="O11" s="235" t="s">
        <v>581</v>
      </c>
    </row>
    <row r="12" spans="1:15">
      <c r="A12" s="1" t="s">
        <v>483</v>
      </c>
      <c r="B12" s="231">
        <f>'2026 Rent Strategy'!$N$12</f>
        <v>159666</v>
      </c>
      <c r="C12" s="231">
        <f>'2026 Rent Strategy'!$N$12</f>
        <v>159666</v>
      </c>
      <c r="D12" s="231">
        <f>'2026 Rent Strategy'!$N$12</f>
        <v>159666</v>
      </c>
      <c r="E12" s="231">
        <f>'2026 Rent Strategy'!$N$12</f>
        <v>159666</v>
      </c>
      <c r="F12" s="231">
        <f>'2026 Rent Strategy'!$N$12</f>
        <v>159666</v>
      </c>
      <c r="G12" s="231">
        <f>'2026 Rent Strategy'!$N$12</f>
        <v>159666</v>
      </c>
      <c r="H12" s="231">
        <f>'2026 Rent Strategy'!$N$12</f>
        <v>159666</v>
      </c>
      <c r="I12" s="231">
        <f>'2026 Rent Strategy'!$N$12</f>
        <v>159666</v>
      </c>
      <c r="J12" s="231">
        <f>'2026 Rent Strategy'!$N$12</f>
        <v>159666</v>
      </c>
      <c r="K12" s="231">
        <f>'2026 Rent Strategy'!$N$12</f>
        <v>159666</v>
      </c>
      <c r="L12" s="231">
        <f>'2026 Rent Strategy'!$N$12</f>
        <v>159666</v>
      </c>
      <c r="M12" s="231">
        <f>'2026 Rent Strategy'!$N$12</f>
        <v>159666</v>
      </c>
      <c r="N12" s="231">
        <f>SUM(B12:M12)</f>
        <v>1915992</v>
      </c>
      <c r="O12" s="242"/>
    </row>
    <row r="13" spans="1:15">
      <c r="A13" s="1" t="s">
        <v>485</v>
      </c>
      <c r="B13" s="244">
        <f t="shared" ref="B13:M13" si="3">-B8*B4</f>
        <v>-14165.28</v>
      </c>
      <c r="C13" s="244">
        <f t="shared" si="3"/>
        <v>-9443.52</v>
      </c>
      <c r="D13" s="244">
        <f t="shared" si="3"/>
        <v>-4733.5644000000002</v>
      </c>
      <c r="E13" s="244">
        <f t="shared" si="3"/>
        <v>-4739.7180337200007</v>
      </c>
      <c r="F13" s="244">
        <f t="shared" si="3"/>
        <v>-4745.8796671638374</v>
      </c>
      <c r="G13" s="244">
        <f t="shared" si="3"/>
        <v>-4752.0493107311504</v>
      </c>
      <c r="H13" s="244">
        <f t="shared" si="3"/>
        <v>-4760.6029994904666</v>
      </c>
      <c r="I13" s="244">
        <f t="shared" si="3"/>
        <v>-4769.1720848895493</v>
      </c>
      <c r="J13" s="244">
        <f t="shared" si="3"/>
        <v>-3583.3174459817633</v>
      </c>
      <c r="K13" s="244">
        <f t="shared" si="3"/>
        <v>-3585.4674364493521</v>
      </c>
      <c r="L13" s="244">
        <f t="shared" si="3"/>
        <v>-3587.6187169112209</v>
      </c>
      <c r="M13" s="244">
        <f t="shared" si="3"/>
        <v>-3589.7712881413672</v>
      </c>
      <c r="N13" s="231">
        <f>SUM(B13:M13)</f>
        <v>-66455.961383478716</v>
      </c>
      <c r="O13" s="243">
        <f>ABS(N13/$N$12)</f>
        <v>3.4684884583797176E-2</v>
      </c>
    </row>
    <row r="14" spans="1:15">
      <c r="A14" s="1" t="s">
        <v>487</v>
      </c>
      <c r="B14" s="231"/>
      <c r="C14" s="231"/>
      <c r="D14" s="231"/>
      <c r="E14" s="231"/>
      <c r="F14" s="231"/>
      <c r="G14" s="231"/>
      <c r="H14" s="231"/>
      <c r="I14" s="231"/>
      <c r="J14" s="231"/>
      <c r="K14" s="231"/>
      <c r="L14" s="231"/>
      <c r="M14" s="231"/>
      <c r="N14" s="231"/>
      <c r="O14" s="239"/>
    </row>
    <row r="15" spans="1:15">
      <c r="A15" s="1" t="s">
        <v>489</v>
      </c>
      <c r="B15" s="231">
        <f t="shared" ref="B15:M15" si="4">(-B3*B8*0.75)-310</f>
        <v>-310</v>
      </c>
      <c r="C15" s="231">
        <f t="shared" si="4"/>
        <v>-3851.32</v>
      </c>
      <c r="D15" s="231">
        <f t="shared" si="4"/>
        <v>-10072.976575000001</v>
      </c>
      <c r="E15" s="231">
        <f t="shared" si="4"/>
        <v>-2087.3942626450003</v>
      </c>
      <c r="F15" s="231">
        <f t="shared" si="4"/>
        <v>-2979.5573127796588</v>
      </c>
      <c r="G15" s="231">
        <f t="shared" si="4"/>
        <v>-2983.027737286272</v>
      </c>
      <c r="H15" s="231">
        <f t="shared" si="4"/>
        <v>-2095.2261248089249</v>
      </c>
      <c r="I15" s="231">
        <f t="shared" si="4"/>
        <v>-2098.439531833581</v>
      </c>
      <c r="J15" s="231">
        <f t="shared" si="4"/>
        <v>-2101.6587229908819</v>
      </c>
      <c r="K15" s="231">
        <f t="shared" si="4"/>
        <v>-1206.366859112338</v>
      </c>
      <c r="L15" s="231">
        <f t="shared" si="4"/>
        <v>-1206.9046792278052</v>
      </c>
      <c r="M15" s="231">
        <f t="shared" si="4"/>
        <v>-1207.4428220353418</v>
      </c>
      <c r="N15" s="231">
        <f t="shared" ref="N15:N20" si="5">SUM(B15:M15)</f>
        <v>-32200.314627719807</v>
      </c>
      <c r="O15" s="243">
        <f>ABS(N15/$N$12)</f>
        <v>1.680607989371553E-2</v>
      </c>
    </row>
    <row r="16" spans="1:15">
      <c r="A16" s="1" t="s">
        <v>490</v>
      </c>
      <c r="B16" s="231">
        <f t="shared" ref="B16:M16" si="6">(B8-(B12/$B$2))*$B$2</f>
        <v>-9750.1199999999862</v>
      </c>
      <c r="C16" s="231">
        <f t="shared" si="6"/>
        <v>-9750.1199999999862</v>
      </c>
      <c r="D16" s="231">
        <f t="shared" si="6"/>
        <v>-9375.3302999999869</v>
      </c>
      <c r="E16" s="231">
        <f t="shared" si="6"/>
        <v>-9179.9524293899722</v>
      </c>
      <c r="F16" s="231">
        <f t="shared" si="6"/>
        <v>-8984.3205675481549</v>
      </c>
      <c r="G16" s="231">
        <f t="shared" si="6"/>
        <v>-8788.4343842859689</v>
      </c>
      <c r="H16" s="231">
        <f t="shared" si="6"/>
        <v>-8516.8547661776793</v>
      </c>
      <c r="I16" s="231">
        <f t="shared" si="6"/>
        <v>-8244.7863047568044</v>
      </c>
      <c r="J16" s="231">
        <f t="shared" si="6"/>
        <v>-7972.2281201053484</v>
      </c>
      <c r="K16" s="231">
        <f t="shared" si="6"/>
        <v>-7881.2118569774302</v>
      </c>
      <c r="L16" s="231">
        <f t="shared" si="6"/>
        <v>-7790.140984091634</v>
      </c>
      <c r="M16" s="231">
        <f t="shared" si="6"/>
        <v>-7699.0154686821052</v>
      </c>
      <c r="N16" s="231">
        <f t="shared" si="5"/>
        <v>-103932.51518201506</v>
      </c>
      <c r="O16" s="243">
        <f>ABS(N16/$N$12)</f>
        <v>5.4244754248459842E-2</v>
      </c>
    </row>
    <row r="17" spans="1:15 16376:16376">
      <c r="A17" s="1" t="s">
        <v>491</v>
      </c>
      <c r="B17" s="231">
        <f>($B$2-(B5+B4))*-B8</f>
        <v>-11804.400000000001</v>
      </c>
      <c r="C17" s="231">
        <f>($B$2-(C5+C4))*-C8</f>
        <v>-11804.400000000001</v>
      </c>
      <c r="D17" s="231">
        <f t="shared" ref="D17:M17" si="7">(SUM(D4:D5)-$B$2)*D8</f>
        <v>-15384.0843</v>
      </c>
      <c r="E17" s="231">
        <f t="shared" si="7"/>
        <v>-1184.9295084300002</v>
      </c>
      <c r="F17" s="231">
        <f t="shared" si="7"/>
        <v>-1186.4699167909594</v>
      </c>
      <c r="G17" s="231">
        <f t="shared" si="7"/>
        <v>-1188.0123276827876</v>
      </c>
      <c r="H17" s="231">
        <f t="shared" si="7"/>
        <v>-1190.1507498726166</v>
      </c>
      <c r="I17" s="231">
        <f t="shared" si="7"/>
        <v>-1192.2930212223873</v>
      </c>
      <c r="J17" s="231">
        <f t="shared" si="7"/>
        <v>-1194.4391486605878</v>
      </c>
      <c r="K17" s="231">
        <f t="shared" si="7"/>
        <v>-1195.155812149784</v>
      </c>
      <c r="L17" s="231">
        <f t="shared" si="7"/>
        <v>-1195.8729056370737</v>
      </c>
      <c r="M17" s="231">
        <f t="shared" si="7"/>
        <v>0</v>
      </c>
      <c r="N17" s="231">
        <f t="shared" si="5"/>
        <v>-48520.207690446201</v>
      </c>
      <c r="O17" s="243">
        <f>ABS(N17/$N$12)</f>
        <v>2.5323804948270245E-2</v>
      </c>
    </row>
    <row r="18" spans="1:15 16376:16376">
      <c r="A18" s="27" t="s">
        <v>492</v>
      </c>
      <c r="B18" s="240">
        <f t="shared" ref="B18:M18" si="8">SUM(B12:B17)</f>
        <v>123636.20000000001</v>
      </c>
      <c r="C18" s="240">
        <f t="shared" si="8"/>
        <v>124816.64000000001</v>
      </c>
      <c r="D18" s="240">
        <f t="shared" si="8"/>
        <v>120100.04442500001</v>
      </c>
      <c r="E18" s="240">
        <f t="shared" si="8"/>
        <v>142474.00576581503</v>
      </c>
      <c r="F18" s="240">
        <f t="shared" si="8"/>
        <v>141769.77253571741</v>
      </c>
      <c r="G18" s="240">
        <f t="shared" si="8"/>
        <v>141954.47624001384</v>
      </c>
      <c r="H18" s="240">
        <f t="shared" si="8"/>
        <v>143103.16535965033</v>
      </c>
      <c r="I18" s="240">
        <f t="shared" si="8"/>
        <v>143361.30905729771</v>
      </c>
      <c r="J18" s="240">
        <f t="shared" si="8"/>
        <v>144814.35656226144</v>
      </c>
      <c r="K18" s="240">
        <f t="shared" si="8"/>
        <v>145797.79803531111</v>
      </c>
      <c r="L18" s="240">
        <f t="shared" si="8"/>
        <v>145885.46271413227</v>
      </c>
      <c r="M18" s="240">
        <f t="shared" si="8"/>
        <v>147169.77042114118</v>
      </c>
      <c r="N18" s="241">
        <f t="shared" si="5"/>
        <v>1664883.0011163405</v>
      </c>
      <c r="O18" s="243">
        <f>ABS(N18/$N$12)</f>
        <v>0.86894047632575733</v>
      </c>
    </row>
    <row r="19" spans="1:15 16376:16376">
      <c r="A19" s="27" t="s">
        <v>301</v>
      </c>
      <c r="B19" s="237">
        <f>'Budget 2026'!B44</f>
        <v>16410</v>
      </c>
      <c r="C19" s="237">
        <f>'Budget 2026'!C44</f>
        <v>16593.2</v>
      </c>
      <c r="D19" s="237">
        <f>'Budget 2026'!D44</f>
        <v>16273</v>
      </c>
      <c r="E19" s="237">
        <f>'Budget 2026'!E44</f>
        <v>18286.599999999999</v>
      </c>
      <c r="F19" s="237">
        <f>'Budget 2026'!F44</f>
        <v>18286.599999999999</v>
      </c>
      <c r="G19" s="237">
        <f>'Budget 2026'!G44</f>
        <v>18286.599999999999</v>
      </c>
      <c r="H19" s="237">
        <f>'Budget 2026'!H44</f>
        <v>18286.599999999999</v>
      </c>
      <c r="I19" s="237">
        <f>'Budget 2026'!I44</f>
        <v>18286.599999999999</v>
      </c>
      <c r="J19" s="237">
        <f>'Budget 2026'!J44</f>
        <v>18332.400000000001</v>
      </c>
      <c r="K19" s="237">
        <f>'Budget 2026'!K44</f>
        <v>18332.400000000001</v>
      </c>
      <c r="L19" s="237">
        <f>'Budget 2026'!L44</f>
        <v>18332.400000000001</v>
      </c>
      <c r="M19" s="237">
        <f>'Budget 2026'!M44</f>
        <v>18500.2</v>
      </c>
      <c r="N19" s="237">
        <f t="shared" si="5"/>
        <v>214206.6</v>
      </c>
      <c r="O19" s="243">
        <f>ABS(N19/$N$12)</f>
        <v>0.1117993185775306</v>
      </c>
    </row>
    <row r="20" spans="1:15 16376:16376" ht="15" thickBot="1">
      <c r="A20" s="124" t="s">
        <v>495</v>
      </c>
      <c r="B20" s="238">
        <f>B18+B19</f>
        <v>140046.20000000001</v>
      </c>
      <c r="C20" s="238">
        <f>C18+C19</f>
        <v>141409.84000000003</v>
      </c>
      <c r="D20" s="238">
        <f>D18+D19</f>
        <v>136373.04442500003</v>
      </c>
      <c r="E20" s="238">
        <f>E18+E19</f>
        <v>160760.60576581504</v>
      </c>
      <c r="F20" s="238">
        <f t="shared" ref="F20:M20" si="9">F18+F19</f>
        <v>160056.37253571741</v>
      </c>
      <c r="G20" s="238">
        <f t="shared" si="9"/>
        <v>160241.07624001385</v>
      </c>
      <c r="H20" s="238">
        <f t="shared" si="9"/>
        <v>161389.76535965034</v>
      </c>
      <c r="I20" s="238">
        <f t="shared" si="9"/>
        <v>161647.90905729771</v>
      </c>
      <c r="J20" s="238">
        <f t="shared" si="9"/>
        <v>163146.75656226143</v>
      </c>
      <c r="K20" s="238">
        <f t="shared" si="9"/>
        <v>164130.1980353111</v>
      </c>
      <c r="L20" s="238">
        <f t="shared" si="9"/>
        <v>164217.86271413226</v>
      </c>
      <c r="M20" s="238">
        <f t="shared" si="9"/>
        <v>165669.97042114119</v>
      </c>
      <c r="N20" s="238">
        <f t="shared" si="5"/>
        <v>1879089.6011163406</v>
      </c>
      <c r="O20" s="245"/>
    </row>
    <row r="21" spans="1:15 16376:16376" ht="15" thickTop="1">
      <c r="B21" s="388"/>
      <c r="C21" s="388"/>
      <c r="D21" s="388"/>
      <c r="E21" s="388"/>
      <c r="F21" s="388"/>
      <c r="G21" s="388"/>
      <c r="H21" s="388"/>
      <c r="I21" s="388"/>
      <c r="J21" s="388"/>
      <c r="K21" s="388"/>
      <c r="L21" s="388"/>
      <c r="M21" s="388"/>
    </row>
    <row r="22" spans="1:15 16376:16376">
      <c r="A22" s="112" t="s">
        <v>244</v>
      </c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45" t="s">
        <v>497</v>
      </c>
    </row>
    <row r="23" spans="1:15 16376:16376">
      <c r="A23" s="1" t="s">
        <v>194</v>
      </c>
      <c r="B23" s="252">
        <f>'Budget 2026'!B96</f>
        <v>3562</v>
      </c>
      <c r="C23" s="252">
        <f>'Budget 2026'!C96</f>
        <v>3562</v>
      </c>
      <c r="D23" s="252">
        <f>'Budget 2026'!D96</f>
        <v>3562</v>
      </c>
      <c r="E23" s="252">
        <f>'Budget 2026'!E96</f>
        <v>3562</v>
      </c>
      <c r="F23" s="252">
        <f>'Budget 2026'!F96</f>
        <v>3562</v>
      </c>
      <c r="G23" s="252">
        <f>'Budget 2026'!G96</f>
        <v>3562</v>
      </c>
      <c r="H23" s="252">
        <f>'Budget 2026'!H96</f>
        <v>3562</v>
      </c>
      <c r="I23" s="252">
        <f>'Budget 2026'!I96</f>
        <v>3562</v>
      </c>
      <c r="J23" s="252">
        <f>'Budget 2026'!J96</f>
        <v>3562</v>
      </c>
      <c r="K23" s="252">
        <f>'Budget 2026'!K96</f>
        <v>2193.9499999999998</v>
      </c>
      <c r="L23" s="252">
        <f>'Budget 2026'!L96</f>
        <v>2030</v>
      </c>
      <c r="M23" s="252">
        <f>'Budget 2026'!M96</f>
        <v>2030</v>
      </c>
      <c r="N23" s="257">
        <f t="shared" ref="N23:N36" si="10">SUM(B23:M23)</f>
        <v>38311.949999999997</v>
      </c>
      <c r="O23" s="256"/>
    </row>
    <row r="24" spans="1:15 16376:16376">
      <c r="A24" s="1" t="s">
        <v>197</v>
      </c>
      <c r="B24" s="252">
        <f>'Budget 2026'!B122</f>
        <v>5573.66</v>
      </c>
      <c r="C24" s="252">
        <f>'Budget 2026'!C122</f>
        <v>4898.0400000000009</v>
      </c>
      <c r="D24" s="252">
        <f>'Budget 2026'!D122</f>
        <v>4898.0400000000009</v>
      </c>
      <c r="E24" s="252">
        <f>'Budget 2026'!E122</f>
        <v>5573.66</v>
      </c>
      <c r="F24" s="252">
        <f>'Budget 2026'!F122</f>
        <v>4898.0400000000009</v>
      </c>
      <c r="G24" s="252">
        <f>'Budget 2026'!G122</f>
        <v>4898.0400000000009</v>
      </c>
      <c r="H24" s="252">
        <f>'Budget 2026'!H122</f>
        <v>5573.66</v>
      </c>
      <c r="I24" s="252">
        <f>'Budget 2026'!I122</f>
        <v>4898.0400000000009</v>
      </c>
      <c r="J24" s="252">
        <f>'Budget 2026'!J122</f>
        <v>4898.0400000000009</v>
      </c>
      <c r="K24" s="252">
        <f>'Budget 2026'!K122</f>
        <v>5573.66</v>
      </c>
      <c r="L24" s="252">
        <f>'Budget 2026'!L122</f>
        <v>6973.17</v>
      </c>
      <c r="M24" s="252">
        <f>'Budget 2026'!M122</f>
        <v>4898.0400000000009</v>
      </c>
      <c r="N24" s="257">
        <f t="shared" si="10"/>
        <v>63554.090000000004</v>
      </c>
      <c r="O24" s="256"/>
    </row>
    <row r="25" spans="1:15 16376:16376">
      <c r="A25" s="1" t="s">
        <v>276</v>
      </c>
      <c r="B25" s="252">
        <f>'Budget 2026'!B110</f>
        <v>3327</v>
      </c>
      <c r="C25" s="252">
        <f>'Budget 2026'!C110</f>
        <v>3327</v>
      </c>
      <c r="D25" s="252">
        <f>'Budget 2026'!D110</f>
        <v>3327</v>
      </c>
      <c r="E25" s="252">
        <f>'Budget 2026'!E110</f>
        <v>3327</v>
      </c>
      <c r="F25" s="252">
        <f>'Budget 2026'!F110</f>
        <v>3327</v>
      </c>
      <c r="G25" s="252">
        <f>'Budget 2026'!G110</f>
        <v>3327</v>
      </c>
      <c r="H25" s="252">
        <f>'Budget 2026'!H110</f>
        <v>3327</v>
      </c>
      <c r="I25" s="252">
        <f>'Budget 2026'!I110</f>
        <v>3327</v>
      </c>
      <c r="J25" s="252">
        <f>'Budget 2026'!J110</f>
        <v>3327</v>
      </c>
      <c r="K25" s="252">
        <f>'Budget 2026'!K110</f>
        <v>3327</v>
      </c>
      <c r="L25" s="313">
        <v>3327</v>
      </c>
      <c r="M25" s="313">
        <v>3327</v>
      </c>
      <c r="N25" s="257">
        <f t="shared" si="10"/>
        <v>39924</v>
      </c>
      <c r="O25" s="256"/>
    </row>
    <row r="26" spans="1:15 16376:16376">
      <c r="A26" s="1" t="s">
        <v>278</v>
      </c>
      <c r="B26" s="252">
        <f>'Budget 2026'!B86</f>
        <v>2210</v>
      </c>
      <c r="C26" s="252">
        <f>'Budget 2026'!C86</f>
        <v>2210</v>
      </c>
      <c r="D26" s="252">
        <f>'Budget 2026'!D86</f>
        <v>1610</v>
      </c>
      <c r="E26" s="252">
        <f>'Budget 2026'!E86</f>
        <v>3110</v>
      </c>
      <c r="F26" s="252">
        <f>'Budget 2026'!F86</f>
        <v>1910</v>
      </c>
      <c r="G26" s="252">
        <f>'Budget 2026'!G86</f>
        <v>1910</v>
      </c>
      <c r="H26" s="252">
        <f>'Budget 2026'!H86</f>
        <v>2510</v>
      </c>
      <c r="I26" s="252">
        <f>'Budget 2026'!I86</f>
        <v>5210</v>
      </c>
      <c r="J26" s="252">
        <f>'Budget 2026'!J86</f>
        <v>2810</v>
      </c>
      <c r="K26" s="252">
        <f>'Budget 2026'!K86</f>
        <v>2760</v>
      </c>
      <c r="L26" s="252">
        <f>'Budget 2026'!L86</f>
        <v>2510</v>
      </c>
      <c r="M26" s="252">
        <f>'Budget 2026'!M86</f>
        <v>3110</v>
      </c>
      <c r="N26" s="257">
        <f t="shared" si="10"/>
        <v>31870</v>
      </c>
      <c r="O26" s="256"/>
    </row>
    <row r="27" spans="1:15 16376:16376">
      <c r="A27" s="1" t="s">
        <v>49</v>
      </c>
      <c r="B27" s="252">
        <f>'Budget 2026'!B131</f>
        <v>5028.88</v>
      </c>
      <c r="C27" s="252">
        <f>'Budget 2026'!C131</f>
        <v>5028.88</v>
      </c>
      <c r="D27" s="252">
        <f>'Budget 2026'!D131</f>
        <v>5028.88</v>
      </c>
      <c r="E27" s="252">
        <f>'Budget 2026'!E131</f>
        <v>5028.88</v>
      </c>
      <c r="F27" s="252">
        <f>'Budget 2026'!F131</f>
        <v>5028.88</v>
      </c>
      <c r="G27" s="252">
        <f>'Budget 2026'!G131</f>
        <v>5028.88</v>
      </c>
      <c r="H27" s="252">
        <f>'Budget 2026'!H131</f>
        <v>5028.88</v>
      </c>
      <c r="I27" s="252">
        <f>'Budget 2026'!I131</f>
        <v>5028.88</v>
      </c>
      <c r="J27" s="252">
        <f>'Budget 2026'!J131</f>
        <v>5028.88</v>
      </c>
      <c r="K27" s="252">
        <f>'Budget 2026'!K131</f>
        <v>5028.88</v>
      </c>
      <c r="L27" s="252">
        <f>'Budget 2026'!L131</f>
        <v>5028.88</v>
      </c>
      <c r="M27" s="252">
        <f>'Budget 2026'!M131</f>
        <v>5028.88</v>
      </c>
      <c r="N27" s="257">
        <f t="shared" si="10"/>
        <v>60346.55999999999</v>
      </c>
      <c r="O27" s="256"/>
      <c r="XEV27" s="232">
        <f>-XEV24*XEV21</f>
        <v>0</v>
      </c>
    </row>
    <row r="28" spans="1:15 16376:16376">
      <c r="A28" s="1" t="s">
        <v>280</v>
      </c>
      <c r="B28" s="252"/>
      <c r="C28" s="252"/>
      <c r="D28" s="252"/>
      <c r="E28" s="252"/>
      <c r="F28" s="252"/>
      <c r="G28" s="313"/>
      <c r="H28" s="313"/>
      <c r="I28" s="313"/>
      <c r="J28" s="313"/>
      <c r="K28" s="313"/>
      <c r="L28" s="313"/>
      <c r="M28" s="313"/>
      <c r="N28" s="257">
        <f t="shared" si="10"/>
        <v>0</v>
      </c>
      <c r="O28" s="256"/>
    </row>
    <row r="29" spans="1:15 16376:16376">
      <c r="A29" s="1" t="s">
        <v>282</v>
      </c>
      <c r="B29" s="252"/>
      <c r="C29" s="252"/>
      <c r="D29" s="252"/>
      <c r="E29" s="252"/>
      <c r="F29" s="252"/>
      <c r="G29" s="313"/>
      <c r="H29" s="313"/>
      <c r="I29" s="313"/>
      <c r="J29" s="313"/>
      <c r="K29" s="313"/>
      <c r="L29" s="313"/>
      <c r="M29" s="313"/>
      <c r="N29" s="257">
        <f t="shared" si="10"/>
        <v>0</v>
      </c>
      <c r="O29" s="256"/>
    </row>
    <row r="30" spans="1:15 16376:16376">
      <c r="A30" s="1" t="s">
        <v>284</v>
      </c>
      <c r="B30" s="252"/>
      <c r="C30" s="252"/>
      <c r="D30" s="252"/>
      <c r="E30" s="252"/>
      <c r="F30" s="252"/>
      <c r="G30" s="313"/>
      <c r="H30" s="313"/>
      <c r="I30" s="313"/>
      <c r="J30" s="313"/>
      <c r="K30" s="313"/>
      <c r="L30" s="313"/>
      <c r="M30" s="313"/>
      <c r="N30" s="257">
        <f t="shared" si="10"/>
        <v>0</v>
      </c>
      <c r="O30" s="256"/>
    </row>
    <row r="31" spans="1:15 16376:16376">
      <c r="A31" s="1" t="s">
        <v>286</v>
      </c>
      <c r="B31" s="252">
        <f>'Budget 2026'!B77</f>
        <v>2781.05</v>
      </c>
      <c r="C31" s="252">
        <f>'Budget 2026'!C77</f>
        <v>3093.77</v>
      </c>
      <c r="D31" s="252">
        <f>'Budget 2026'!D77</f>
        <v>2297.0500000000002</v>
      </c>
      <c r="E31" s="252">
        <f>'Budget 2026'!E77</f>
        <v>7597.05</v>
      </c>
      <c r="F31" s="252">
        <f>'Budget 2026'!F77</f>
        <v>2997.3999999999996</v>
      </c>
      <c r="G31" s="252">
        <f>'Budget 2026'!G77</f>
        <v>2297.0500000000002</v>
      </c>
      <c r="H31" s="252">
        <f>'Budget 2026'!H77</f>
        <v>2297.0500000000002</v>
      </c>
      <c r="I31" s="252">
        <f>'Budget 2026'!I77</f>
        <v>4497.0499999999993</v>
      </c>
      <c r="J31" s="252">
        <f>'Budget 2026'!J77</f>
        <v>2597.0500000000002</v>
      </c>
      <c r="K31" s="252">
        <f>'Budget 2026'!K77</f>
        <v>2297.0500000000002</v>
      </c>
      <c r="L31" s="252">
        <f>'Budget 2026'!L77</f>
        <v>2723.1499999999996</v>
      </c>
      <c r="M31" s="252">
        <f>'Budget 2026'!M77</f>
        <v>2297.0500000000002</v>
      </c>
      <c r="N31" s="257">
        <f t="shared" si="10"/>
        <v>37771.769999999997</v>
      </c>
      <c r="O31" s="256"/>
    </row>
    <row r="32" spans="1:15 16376:16376">
      <c r="A32" s="1" t="s">
        <v>245</v>
      </c>
      <c r="B32" s="252">
        <f>'Budget 2026'!B133</f>
        <v>8500</v>
      </c>
      <c r="C32" s="252">
        <f>'Budget 2026'!C133</f>
        <v>8500</v>
      </c>
      <c r="D32" s="252">
        <f>'Budget 2026'!D133</f>
        <v>8500</v>
      </c>
      <c r="E32" s="252">
        <f>'Budget 2026'!E133</f>
        <v>8500</v>
      </c>
      <c r="F32" s="252">
        <f>'Budget 2026'!F133</f>
        <v>8500</v>
      </c>
      <c r="G32" s="252">
        <f>'Budget 2026'!G133</f>
        <v>8500</v>
      </c>
      <c r="H32" s="252">
        <f>'Budget 2026'!H133</f>
        <v>8500</v>
      </c>
      <c r="I32" s="252">
        <f>'Budget 2026'!I133</f>
        <v>8500</v>
      </c>
      <c r="J32" s="252">
        <f>'Budget 2026'!J133</f>
        <v>8500</v>
      </c>
      <c r="K32" s="252">
        <f>'Budget 2026'!K133</f>
        <v>8500</v>
      </c>
      <c r="L32" s="252">
        <f>'Budget 2026'!L133</f>
        <v>8500</v>
      </c>
      <c r="M32" s="252">
        <f>'Budget 2026'!M133</f>
        <v>8500</v>
      </c>
      <c r="N32" s="257">
        <f t="shared" si="10"/>
        <v>102000</v>
      </c>
      <c r="O32" s="256"/>
      <c r="XEV32" s="240">
        <f>XEV24*XEV22</f>
        <v>0</v>
      </c>
    </row>
    <row r="33" spans="1:19">
      <c r="A33" s="1" t="s">
        <v>289</v>
      </c>
      <c r="B33" s="252">
        <f>'Budget 2026'!B134</f>
        <v>12640</v>
      </c>
      <c r="C33" s="252">
        <f>'Budget 2026'!C134</f>
        <v>12640</v>
      </c>
      <c r="D33" s="252">
        <f>'Budget 2026'!D134</f>
        <v>12640</v>
      </c>
      <c r="E33" s="252">
        <f>'Budget 2026'!E134</f>
        <v>12640</v>
      </c>
      <c r="F33" s="252">
        <f>'Budget 2026'!F134</f>
        <v>12640</v>
      </c>
      <c r="G33" s="252">
        <f>'Budget 2026'!G134</f>
        <v>12640</v>
      </c>
      <c r="H33" s="252">
        <f>'Budget 2026'!H134</f>
        <v>12640</v>
      </c>
      <c r="I33" s="252">
        <f>'Budget 2026'!I134</f>
        <v>12640</v>
      </c>
      <c r="J33" s="252">
        <f>'Budget 2026'!J134</f>
        <v>12640</v>
      </c>
      <c r="K33" s="252">
        <f>'Budget 2026'!K134</f>
        <v>12640</v>
      </c>
      <c r="L33" s="252">
        <f>'Budget 2026'!L134</f>
        <v>12640</v>
      </c>
      <c r="M33" s="252">
        <f>'Budget 2026'!M134</f>
        <v>12640</v>
      </c>
      <c r="N33" s="257">
        <f t="shared" si="10"/>
        <v>151680</v>
      </c>
      <c r="O33" s="256"/>
    </row>
    <row r="34" spans="1:19">
      <c r="A34" s="1" t="s">
        <v>291</v>
      </c>
      <c r="B34" s="252">
        <v>0</v>
      </c>
      <c r="C34" s="252">
        <v>0</v>
      </c>
      <c r="D34" s="252">
        <v>0</v>
      </c>
      <c r="E34" s="252">
        <v>0</v>
      </c>
      <c r="F34" s="252">
        <v>0</v>
      </c>
      <c r="G34" s="252">
        <v>0</v>
      </c>
      <c r="H34" s="252">
        <v>0</v>
      </c>
      <c r="I34" s="252">
        <v>0</v>
      </c>
      <c r="J34" s="252">
        <v>0</v>
      </c>
      <c r="K34" s="252">
        <v>0</v>
      </c>
      <c r="L34" s="252">
        <v>0</v>
      </c>
      <c r="M34" s="252">
        <v>0</v>
      </c>
      <c r="N34" s="257">
        <f t="shared" si="10"/>
        <v>0</v>
      </c>
      <c r="O34" s="256"/>
    </row>
    <row r="35" spans="1:19">
      <c r="A35" s="1" t="s">
        <v>201</v>
      </c>
      <c r="B35" s="252">
        <f>'Budget 2026'!B151</f>
        <v>12241.7</v>
      </c>
      <c r="C35" s="252">
        <f>'Budget 2026'!C151</f>
        <v>12241.7</v>
      </c>
      <c r="D35" s="252">
        <f>'Budget 2026'!D151</f>
        <v>12991.7</v>
      </c>
      <c r="E35" s="252">
        <f>'Budget 2026'!E151</f>
        <v>12241.7</v>
      </c>
      <c r="F35" s="252">
        <f>'Budget 2026'!F151</f>
        <v>12241.7</v>
      </c>
      <c r="G35" s="252">
        <f>'Budget 2026'!G151</f>
        <v>12991.7</v>
      </c>
      <c r="H35" s="252">
        <f>'Budget 2026'!H151</f>
        <v>12241.7</v>
      </c>
      <c r="I35" s="252">
        <f>'Budget 2026'!I151</f>
        <v>12241.7</v>
      </c>
      <c r="J35" s="252">
        <f>'Budget 2026'!J151</f>
        <v>12991.7</v>
      </c>
      <c r="K35" s="252">
        <f>'Budget 2026'!K151</f>
        <v>12241.7</v>
      </c>
      <c r="L35" s="252">
        <f>'Budget 2026'!L151</f>
        <v>12241.7</v>
      </c>
      <c r="M35" s="252">
        <f>'Budget 2026'!M151</f>
        <v>15491.7</v>
      </c>
      <c r="N35" s="257">
        <f t="shared" si="10"/>
        <v>152400.4</v>
      </c>
      <c r="O35" s="256"/>
      <c r="S35" s="259"/>
    </row>
    <row r="36" spans="1:19">
      <c r="A36" s="1" t="s">
        <v>294</v>
      </c>
      <c r="B36" s="252">
        <f>'Budget 2026'!B51</f>
        <v>4500</v>
      </c>
      <c r="C36" s="252">
        <f>'Budget 2026'!C51</f>
        <v>4500</v>
      </c>
      <c r="D36" s="252">
        <f>'Budget 2026'!D51</f>
        <v>4500</v>
      </c>
      <c r="E36" s="252">
        <f>'Budget 2026'!E51</f>
        <v>4822.818172974451</v>
      </c>
      <c r="F36" s="252">
        <f>'Budget 2026'!F51</f>
        <v>4801.691176071522</v>
      </c>
      <c r="G36" s="252">
        <f>'Budget 2026'!G51</f>
        <v>4807.2322872004152</v>
      </c>
      <c r="H36" s="252">
        <f>'Budget 2026'!H51</f>
        <v>4841.6929607895099</v>
      </c>
      <c r="I36" s="252">
        <f>'Budget 2026'!I51</f>
        <v>4849.4372717189317</v>
      </c>
      <c r="J36" s="252">
        <f>'Budget 2026'!J51</f>
        <v>4894.4026968678427</v>
      </c>
      <c r="K36" s="252">
        <f>'Budget 2026'!K51</f>
        <v>4923.9059410593327</v>
      </c>
      <c r="L36" s="252">
        <f>'Budget 2026'!L51</f>
        <v>4926.535881423968</v>
      </c>
      <c r="M36" s="252">
        <f>'Budget 2026'!M51</f>
        <v>4970.0991126342351</v>
      </c>
      <c r="N36" s="257">
        <f t="shared" si="10"/>
        <v>57337.815500740209</v>
      </c>
      <c r="O36" s="256"/>
      <c r="S36" s="255"/>
    </row>
    <row r="37" spans="1:19" ht="16" thickBot="1">
      <c r="A37" s="124" t="s">
        <v>510</v>
      </c>
      <c r="B37" s="311">
        <f t="shared" ref="B37:N37" si="11">SUM(B23:B36)</f>
        <v>60364.289999999994</v>
      </c>
      <c r="C37" s="311">
        <f t="shared" si="11"/>
        <v>60001.39</v>
      </c>
      <c r="D37" s="311">
        <f t="shared" si="11"/>
        <v>59354.67</v>
      </c>
      <c r="E37" s="311">
        <f t="shared" si="11"/>
        <v>66403.108172974447</v>
      </c>
      <c r="F37" s="311">
        <f t="shared" si="11"/>
        <v>59906.711176071527</v>
      </c>
      <c r="G37" s="311">
        <f t="shared" si="11"/>
        <v>59961.902287200413</v>
      </c>
      <c r="H37" s="311">
        <f t="shared" si="11"/>
        <v>60521.982960789501</v>
      </c>
      <c r="I37" s="311">
        <f t="shared" si="11"/>
        <v>64754.107271718931</v>
      </c>
      <c r="J37" s="311">
        <f t="shared" si="11"/>
        <v>61249.072696867843</v>
      </c>
      <c r="K37" s="311">
        <f t="shared" si="11"/>
        <v>59486.145941059338</v>
      </c>
      <c r="L37" s="311">
        <f t="shared" si="11"/>
        <v>60900.43588142396</v>
      </c>
      <c r="M37" s="311">
        <f t="shared" si="11"/>
        <v>62292.769112634232</v>
      </c>
      <c r="N37" s="311">
        <f t="shared" si="11"/>
        <v>735196.58550074021</v>
      </c>
      <c r="O37" s="312"/>
      <c r="S37" s="255"/>
    </row>
    <row r="38" spans="1:19" ht="15" thickTop="1">
      <c r="S38" s="255"/>
    </row>
    <row r="39" spans="1:19">
      <c r="A39" s="268" t="s">
        <v>728</v>
      </c>
      <c r="B39" s="242">
        <f t="shared" ref="B39:N39" si="12">B37/B20</f>
        <v>0.43103125968430411</v>
      </c>
      <c r="C39" s="242">
        <f t="shared" si="12"/>
        <v>0.4243084498221622</v>
      </c>
      <c r="D39" s="242">
        <f t="shared" si="12"/>
        <v>0.43523755189496266</v>
      </c>
      <c r="E39" s="242">
        <f t="shared" si="12"/>
        <v>0.41305584696356468</v>
      </c>
      <c r="F39" s="242">
        <f t="shared" si="12"/>
        <v>0.3742850736086939</v>
      </c>
      <c r="G39" s="242">
        <f t="shared" si="12"/>
        <v>0.3741980751389094</v>
      </c>
      <c r="H39" s="242">
        <f t="shared" si="12"/>
        <v>0.37500508675949057</v>
      </c>
      <c r="I39" s="242">
        <f t="shared" si="12"/>
        <v>0.40058734844981009</v>
      </c>
      <c r="J39" s="242">
        <f t="shared" si="12"/>
        <v>0.37542317106067297</v>
      </c>
      <c r="K39" s="242">
        <f t="shared" si="12"/>
        <v>0.36243267024061865</v>
      </c>
      <c r="L39" s="242">
        <f t="shared" si="12"/>
        <v>0.37085147057015611</v>
      </c>
      <c r="M39" s="242">
        <f t="shared" si="12"/>
        <v>0.37600519245752839</v>
      </c>
      <c r="N39" s="242">
        <f t="shared" si="12"/>
        <v>0.39125147894170148</v>
      </c>
      <c r="S39" s="255"/>
    </row>
    <row r="40" spans="1:19">
      <c r="A40" s="268" t="s">
        <v>209</v>
      </c>
      <c r="B40" s="474">
        <f>B20-B37</f>
        <v>79681.910000000018</v>
      </c>
      <c r="C40" s="474">
        <f t="shared" ref="C40:M40" si="13">C20-C37</f>
        <v>81408.450000000026</v>
      </c>
      <c r="D40" s="474">
        <f t="shared" si="13"/>
        <v>77018.374425000031</v>
      </c>
      <c r="E40" s="474">
        <f t="shared" si="13"/>
        <v>94357.497592840591</v>
      </c>
      <c r="F40" s="474">
        <f t="shared" si="13"/>
        <v>100149.66135964589</v>
      </c>
      <c r="G40" s="474">
        <f t="shared" si="13"/>
        <v>100279.17395281343</v>
      </c>
      <c r="H40" s="474">
        <f t="shared" si="13"/>
        <v>100867.78239886084</v>
      </c>
      <c r="I40" s="474">
        <f t="shared" si="13"/>
        <v>96893.801785578777</v>
      </c>
      <c r="J40" s="474">
        <f t="shared" si="13"/>
        <v>101897.6838653936</v>
      </c>
      <c r="K40" s="474">
        <f t="shared" si="13"/>
        <v>104644.05209425176</v>
      </c>
      <c r="L40" s="474">
        <f t="shared" si="13"/>
        <v>103317.4268327083</v>
      </c>
      <c r="M40" s="474">
        <f t="shared" si="13"/>
        <v>103377.20130850695</v>
      </c>
      <c r="N40" s="474">
        <f>SUM(B40:M40)</f>
        <v>1143893.0156156002</v>
      </c>
      <c r="S40" s="255"/>
    </row>
    <row r="41" spans="1:19" outlineLevel="1">
      <c r="B41" s="233"/>
      <c r="S41" s="255"/>
    </row>
    <row r="42" spans="1:19" outlineLevel="1">
      <c r="B42" s="233"/>
      <c r="S42" s="255"/>
    </row>
    <row r="43" spans="1:19" outlineLevel="1">
      <c r="B43" s="390"/>
      <c r="S43" s="255"/>
    </row>
    <row r="44" spans="1:19">
      <c r="B44" s="390"/>
      <c r="S44" s="255"/>
    </row>
    <row r="45" spans="1:19">
      <c r="B45" s="390"/>
      <c r="S45" s="255"/>
    </row>
    <row r="46" spans="1:19">
      <c r="B46" s="390"/>
      <c r="S46" s="255"/>
    </row>
    <row r="47" spans="1:19">
      <c r="B47" s="390"/>
      <c r="S47" s="255"/>
    </row>
    <row r="48" spans="1:19">
      <c r="B48" s="390"/>
      <c r="S48" s="255"/>
    </row>
    <row r="49" spans="1:19">
      <c r="B49" s="390"/>
      <c r="S49" s="255"/>
    </row>
    <row r="50" spans="1:19">
      <c r="B50" s="390"/>
      <c r="S50" s="255"/>
    </row>
    <row r="54" spans="1:19">
      <c r="A54" s="247"/>
      <c r="B54" s="247"/>
      <c r="C54" s="247"/>
      <c r="D54" s="247"/>
      <c r="E54" s="247"/>
      <c r="F54" s="247"/>
      <c r="G54" s="247"/>
      <c r="H54" s="247"/>
      <c r="I54" s="247"/>
      <c r="J54" s="247"/>
      <c r="K54" s="247"/>
    </row>
    <row r="55" spans="1:19">
      <c r="A55" s="248"/>
      <c r="B55" s="248"/>
      <c r="C55" s="248"/>
      <c r="D55" s="248"/>
      <c r="E55" s="248"/>
      <c r="F55" s="248"/>
      <c r="G55" s="248"/>
      <c r="H55" s="248"/>
      <c r="I55" s="248"/>
      <c r="J55" s="248"/>
      <c r="K55" s="248"/>
    </row>
    <row r="56" spans="1:19" ht="1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P56" s="233"/>
      <c r="Q56" s="346"/>
    </row>
    <row r="57" spans="1:19" ht="16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P57" s="233"/>
      <c r="Q57" s="346"/>
    </row>
    <row r="58" spans="1:19" ht="16">
      <c r="A58" s="247"/>
      <c r="B58" s="247"/>
      <c r="C58" s="247"/>
      <c r="D58" s="247"/>
      <c r="E58" s="247"/>
      <c r="F58" s="247"/>
      <c r="G58" s="247"/>
      <c r="H58" s="247"/>
      <c r="I58" s="247"/>
      <c r="J58" s="247"/>
      <c r="K58" s="247"/>
      <c r="P58" s="233"/>
      <c r="Q58" s="346"/>
    </row>
    <row r="59" spans="1:19" ht="16">
      <c r="A59" s="246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P59" s="233"/>
      <c r="Q59" s="346"/>
    </row>
    <row r="60" spans="1:19" ht="16">
      <c r="A60" s="249"/>
      <c r="B60" s="249"/>
      <c r="C60" s="249"/>
      <c r="D60" s="249"/>
      <c r="E60" s="249"/>
      <c r="F60" s="249"/>
      <c r="G60" s="249"/>
      <c r="H60" s="249"/>
      <c r="I60" s="249"/>
      <c r="J60" s="249"/>
      <c r="K60" s="249"/>
      <c r="P60" s="233"/>
      <c r="Q60" s="346"/>
    </row>
    <row r="61" spans="1:19" ht="16">
      <c r="A61" s="249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P61" s="233"/>
      <c r="Q61" s="346"/>
    </row>
    <row r="62" spans="1:19" ht="16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P62" s="233"/>
      <c r="Q62" s="346"/>
    </row>
    <row r="63" spans="1:19" ht="16">
      <c r="A63" s="246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P63" s="233"/>
      <c r="Q63" s="346"/>
    </row>
    <row r="64" spans="1:19" ht="16">
      <c r="A64" s="246"/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P64" s="233"/>
      <c r="Q64" s="346"/>
    </row>
    <row r="65" spans="1:17">
      <c r="A65" s="249"/>
      <c r="B65" s="249"/>
      <c r="C65" s="249"/>
      <c r="D65" s="249"/>
      <c r="E65" s="249"/>
      <c r="F65" s="249"/>
      <c r="G65" s="249"/>
      <c r="H65" s="249"/>
      <c r="I65" s="249"/>
      <c r="J65" s="249"/>
      <c r="K65" s="249"/>
      <c r="Q65" s="347"/>
    </row>
    <row r="66" spans="1:17">
      <c r="A66" s="249"/>
      <c r="B66" s="249"/>
      <c r="C66" s="249"/>
      <c r="D66" s="249"/>
      <c r="E66" s="249"/>
      <c r="F66" s="249"/>
      <c r="G66" s="249"/>
      <c r="H66" s="249"/>
      <c r="I66" s="249"/>
      <c r="J66" s="249"/>
      <c r="K66" s="249"/>
    </row>
    <row r="67" spans="1:17">
      <c r="A67" s="249"/>
      <c r="B67" s="23"/>
      <c r="C67" s="249"/>
      <c r="D67" s="249"/>
      <c r="E67" s="249"/>
      <c r="F67" s="249"/>
      <c r="G67" s="249"/>
      <c r="H67" s="249"/>
      <c r="I67" s="249"/>
      <c r="J67" s="249"/>
      <c r="K67" s="249"/>
    </row>
    <row r="68" spans="1:17">
      <c r="A68" s="249"/>
      <c r="B68" s="249"/>
      <c r="C68" s="249"/>
      <c r="D68" s="249"/>
      <c r="E68" s="249"/>
      <c r="F68" s="249"/>
      <c r="G68" s="249"/>
      <c r="H68" s="249"/>
      <c r="I68" s="249"/>
      <c r="J68" s="249"/>
      <c r="K68" s="249"/>
    </row>
    <row r="69" spans="1:17">
      <c r="A69" s="249"/>
      <c r="B69" s="249"/>
      <c r="C69" s="249"/>
      <c r="D69" s="249"/>
      <c r="E69" s="249"/>
      <c r="F69" s="249"/>
      <c r="G69" s="249"/>
      <c r="H69" s="249"/>
      <c r="I69" s="249"/>
      <c r="J69" s="249"/>
      <c r="K69" s="249"/>
    </row>
    <row r="70" spans="1:17">
      <c r="A70" s="249"/>
      <c r="B70" s="249"/>
      <c r="C70" s="249"/>
      <c r="D70" s="249"/>
      <c r="E70" s="249"/>
      <c r="F70" s="249"/>
      <c r="G70" s="249"/>
      <c r="H70" s="249"/>
      <c r="I70" s="249"/>
      <c r="J70" s="249"/>
      <c r="K70" s="249"/>
    </row>
    <row r="71" spans="1:17">
      <c r="A71" s="249"/>
      <c r="B71" s="249"/>
      <c r="C71" s="249"/>
      <c r="D71" s="249"/>
      <c r="E71" s="249"/>
      <c r="F71" s="249"/>
      <c r="G71" s="249"/>
      <c r="H71" s="249"/>
      <c r="I71" s="249"/>
      <c r="J71" s="249"/>
      <c r="K71" s="249"/>
    </row>
    <row r="72" spans="1:17">
      <c r="A72" s="249"/>
      <c r="B72" s="249"/>
      <c r="C72" s="249"/>
      <c r="D72" s="249"/>
      <c r="E72" s="249"/>
      <c r="F72" s="249"/>
      <c r="G72" s="249"/>
      <c r="H72" s="249"/>
      <c r="I72" s="249"/>
      <c r="J72" s="249"/>
      <c r="K72" s="249"/>
    </row>
    <row r="73" spans="1:17">
      <c r="A73" s="249"/>
      <c r="B73" s="249"/>
      <c r="C73" s="249"/>
      <c r="D73" s="249"/>
      <c r="E73" s="249"/>
      <c r="F73" s="249"/>
      <c r="G73" s="249"/>
      <c r="H73" s="249"/>
      <c r="I73" s="249"/>
      <c r="J73" s="249"/>
      <c r="K73" s="249"/>
    </row>
    <row r="74" spans="1:17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</row>
    <row r="75" spans="1:17" ht="15">
      <c r="A75" s="246"/>
      <c r="B75" s="246"/>
      <c r="C75" s="246"/>
      <c r="D75" s="246"/>
      <c r="E75" s="246"/>
      <c r="F75" s="246"/>
      <c r="G75" s="246"/>
      <c r="H75" s="246"/>
      <c r="I75" s="246"/>
      <c r="J75" s="246"/>
      <c r="K75" s="246"/>
    </row>
    <row r="76" spans="1:17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D259"/>
  <sheetViews>
    <sheetView tabSelected="1" topLeftCell="A32" workbookViewId="0">
      <selection activeCell="E67" sqref="E67"/>
    </sheetView>
  </sheetViews>
  <sheetFormatPr baseColWidth="10" defaultColWidth="12.6640625" defaultRowHeight="15" customHeight="1"/>
  <cols>
    <col min="1" max="1" width="15.5" bestFit="1" customWidth="1"/>
    <col min="2" max="2" width="18.33203125" customWidth="1"/>
    <col min="3" max="3" width="12.1640625" customWidth="1"/>
    <col min="4" max="4" width="14.5" bestFit="1" customWidth="1"/>
    <col min="5" max="5" width="18" bestFit="1" customWidth="1"/>
    <col min="6" max="6" width="19.33203125" customWidth="1"/>
    <col min="7" max="7" width="15.5" customWidth="1"/>
    <col min="8" max="8" width="12.1640625" bestFit="1" customWidth="1"/>
    <col min="9" max="9" width="11" customWidth="1"/>
    <col min="10" max="10" width="11" bestFit="1" customWidth="1"/>
    <col min="11" max="11" width="15.6640625" bestFit="1" customWidth="1"/>
    <col min="12" max="12" width="10" customWidth="1"/>
    <col min="13" max="13" width="10.6640625" customWidth="1"/>
    <col min="14" max="14" width="12.1640625" bestFit="1" customWidth="1"/>
    <col min="15" max="15" width="10.5" bestFit="1" customWidth="1"/>
    <col min="16" max="16" width="20.6640625" customWidth="1"/>
    <col min="17" max="17" width="13.5" bestFit="1" customWidth="1"/>
    <col min="18" max="18" width="9.83203125" customWidth="1"/>
    <col min="19" max="19" width="19" bestFit="1" customWidth="1"/>
    <col min="20" max="20" width="12.6640625" bestFit="1" customWidth="1"/>
    <col min="21" max="21" width="9.1640625" bestFit="1" customWidth="1"/>
    <col min="22" max="22" width="19" bestFit="1" customWidth="1"/>
    <col min="23" max="23" width="12.6640625" bestFit="1" customWidth="1"/>
    <col min="24" max="24" width="9.1640625" bestFit="1" customWidth="1"/>
    <col min="25" max="25" width="20" customWidth="1"/>
    <col min="26" max="26" width="12.6640625" bestFit="1" customWidth="1"/>
    <col min="27" max="30" width="6.6640625" customWidth="1"/>
    <col min="31" max="31" width="4.5" customWidth="1"/>
    <col min="32" max="32" width="9.5" customWidth="1"/>
    <col min="33" max="33" width="8.1640625" customWidth="1"/>
    <col min="34" max="34" width="5" customWidth="1"/>
    <col min="35" max="35" width="9.5" customWidth="1"/>
    <col min="36" max="37" width="66" customWidth="1"/>
    <col min="38" max="38" width="23.33203125" customWidth="1"/>
    <col min="39" max="39" width="17.33203125" customWidth="1"/>
    <col min="41" max="41" width="17.83203125" customWidth="1"/>
    <col min="42" max="42" width="31.6640625" customWidth="1"/>
    <col min="43" max="43" width="26" customWidth="1"/>
    <col min="44" max="44" width="17.83203125" customWidth="1"/>
    <col min="45" max="45" width="24.6640625" customWidth="1"/>
    <col min="46" max="46" width="25.6640625" customWidth="1"/>
    <col min="47" max="47" width="24.6640625" customWidth="1"/>
  </cols>
  <sheetData>
    <row r="1" spans="1:30" ht="14">
      <c r="L1" s="30"/>
      <c r="M1" s="30"/>
      <c r="N1" s="30"/>
      <c r="O1" s="30"/>
    </row>
    <row r="2" spans="1:30" ht="14">
      <c r="AA2" s="30"/>
      <c r="AB2" s="30"/>
      <c r="AC2" s="30"/>
      <c r="AD2" s="30"/>
    </row>
    <row r="3" spans="1:30" ht="21" thickBot="1">
      <c r="A3" s="495" t="s">
        <v>550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AA3" s="30"/>
      <c r="AB3" s="30"/>
      <c r="AC3" s="30"/>
      <c r="AD3" s="30"/>
    </row>
    <row r="4" spans="1:30" ht="17" thickTop="1">
      <c r="A4" s="152" t="s">
        <v>530</v>
      </c>
      <c r="B4" s="153"/>
      <c r="C4" s="153"/>
      <c r="D4" s="154"/>
      <c r="E4" s="154"/>
      <c r="F4" s="154"/>
      <c r="G4" s="154"/>
      <c r="H4" s="154"/>
      <c r="I4" s="499" t="s">
        <v>551</v>
      </c>
      <c r="J4" s="484"/>
      <c r="K4" s="484"/>
      <c r="L4" s="496" t="s">
        <v>552</v>
      </c>
      <c r="M4" s="497"/>
      <c r="N4" s="498"/>
      <c r="O4" s="154"/>
      <c r="P4" s="154"/>
      <c r="AA4" s="30"/>
      <c r="AB4" s="30"/>
      <c r="AC4" s="30"/>
      <c r="AD4" s="30"/>
    </row>
    <row r="5" spans="1:30" ht="16">
      <c r="A5" s="155"/>
      <c r="B5" s="156"/>
      <c r="C5" s="157"/>
      <c r="D5" s="500"/>
      <c r="E5" s="501"/>
      <c r="F5" s="502" t="s">
        <v>531</v>
      </c>
      <c r="G5" s="503"/>
      <c r="H5" s="504"/>
      <c r="I5" s="499" t="s">
        <v>553</v>
      </c>
      <c r="J5" s="484"/>
      <c r="K5" s="484"/>
      <c r="L5" s="197"/>
      <c r="M5" s="158"/>
      <c r="N5" s="198"/>
      <c r="O5" s="503" t="s">
        <v>554</v>
      </c>
      <c r="P5" s="501"/>
      <c r="W5" s="30"/>
      <c r="X5" s="30"/>
      <c r="Y5" s="30"/>
      <c r="Z5" s="30"/>
    </row>
    <row r="6" spans="1:30" ht="16">
      <c r="A6" s="160" t="s">
        <v>213</v>
      </c>
      <c r="B6" s="161" t="s">
        <v>537</v>
      </c>
      <c r="C6" s="161"/>
      <c r="D6" s="161" t="s">
        <v>538</v>
      </c>
      <c r="E6" s="161" t="s">
        <v>5</v>
      </c>
      <c r="F6" s="199" t="s">
        <v>555</v>
      </c>
      <c r="G6" s="161" t="s">
        <v>539</v>
      </c>
      <c r="H6" s="161" t="s">
        <v>5</v>
      </c>
      <c r="I6" s="199" t="s">
        <v>555</v>
      </c>
      <c r="J6" s="161" t="s">
        <v>539</v>
      </c>
      <c r="K6" s="200" t="s">
        <v>5</v>
      </c>
      <c r="L6" s="199" t="s">
        <v>555</v>
      </c>
      <c r="M6" s="161" t="s">
        <v>539</v>
      </c>
      <c r="N6" s="201" t="s">
        <v>5</v>
      </c>
      <c r="O6" s="202" t="s">
        <v>539</v>
      </c>
      <c r="P6" s="161" t="s">
        <v>5</v>
      </c>
      <c r="W6" s="30"/>
      <c r="X6" s="30"/>
      <c r="Y6" s="30"/>
      <c r="Z6" s="30"/>
    </row>
    <row r="7" spans="1:30" ht="16">
      <c r="A7" s="163" t="s">
        <v>219</v>
      </c>
      <c r="B7" s="162">
        <v>39</v>
      </c>
      <c r="C7" s="162"/>
      <c r="D7" s="164">
        <v>650</v>
      </c>
      <c r="E7" s="165">
        <f t="shared" ref="E7:E11" si="0">IF(B7&gt;0,D7*B7,0)</f>
        <v>25350</v>
      </c>
      <c r="F7" s="166">
        <f>G7/D7</f>
        <v>1.4960307692307693</v>
      </c>
      <c r="G7" s="167">
        <v>972.42</v>
      </c>
      <c r="H7" s="168">
        <f>B7*G7</f>
        <v>37924.379999999997</v>
      </c>
      <c r="I7" s="166">
        <f>J7/D7</f>
        <v>1.6538461538461537</v>
      </c>
      <c r="J7" s="167">
        <v>1075</v>
      </c>
      <c r="K7" s="203">
        <f>J7*B7</f>
        <v>41925</v>
      </c>
      <c r="L7" s="204">
        <f>M7/D7</f>
        <v>1.7538461538461538</v>
      </c>
      <c r="M7" s="205">
        <v>1140</v>
      </c>
      <c r="N7" s="206">
        <f>M7*B7</f>
        <v>44460</v>
      </c>
      <c r="O7" s="207">
        <v>1199</v>
      </c>
      <c r="P7" s="168">
        <f>O7*B7</f>
        <v>46761</v>
      </c>
      <c r="W7" s="30"/>
      <c r="X7" s="30"/>
      <c r="Y7" s="30"/>
      <c r="Z7" s="30"/>
    </row>
    <row r="8" spans="1:30" ht="16">
      <c r="A8" s="175" t="s">
        <v>223</v>
      </c>
      <c r="B8" s="162">
        <v>20</v>
      </c>
      <c r="C8" s="162"/>
      <c r="D8" s="164">
        <v>800</v>
      </c>
      <c r="E8" s="165">
        <f t="shared" si="0"/>
        <v>16000</v>
      </c>
      <c r="F8" s="166">
        <f>G8/D8</f>
        <v>1.3185</v>
      </c>
      <c r="G8" s="167">
        <v>1054.8</v>
      </c>
      <c r="H8" s="168">
        <f>B8*G8</f>
        <v>21096</v>
      </c>
      <c r="I8" s="166">
        <f>J8/D8</f>
        <v>1.3687499999999999</v>
      </c>
      <c r="J8" s="167">
        <v>1095</v>
      </c>
      <c r="K8" s="203">
        <f>J8*B8</f>
        <v>21900</v>
      </c>
      <c r="L8" s="204">
        <f>M8/D8</f>
        <v>1.51875</v>
      </c>
      <c r="M8" s="205">
        <v>1215</v>
      </c>
      <c r="N8" s="206">
        <f>M8*B8</f>
        <v>24300</v>
      </c>
      <c r="O8" s="207">
        <v>1350</v>
      </c>
      <c r="P8" s="168">
        <f>O8*B8</f>
        <v>27000</v>
      </c>
      <c r="W8" s="30"/>
      <c r="X8" s="30"/>
      <c r="Y8" s="30"/>
      <c r="Z8" s="30"/>
    </row>
    <row r="9" spans="1:30" ht="16">
      <c r="A9" s="175" t="s">
        <v>216</v>
      </c>
      <c r="B9" s="162">
        <v>33</v>
      </c>
      <c r="C9" s="162"/>
      <c r="D9" s="164">
        <v>850</v>
      </c>
      <c r="E9" s="165">
        <f t="shared" si="0"/>
        <v>28050</v>
      </c>
      <c r="F9" s="166">
        <f>G9/D9</f>
        <v>1.3087294117647059</v>
      </c>
      <c r="G9" s="167">
        <v>1112.42</v>
      </c>
      <c r="H9" s="168">
        <f>B9*G9</f>
        <v>36709.86</v>
      </c>
      <c r="I9" s="166">
        <f>J9/D9</f>
        <v>1.3529411764705883</v>
      </c>
      <c r="J9" s="167">
        <v>1150</v>
      </c>
      <c r="K9" s="203">
        <f>J9*B9</f>
        <v>37950</v>
      </c>
      <c r="L9" s="204">
        <f>M9/D9</f>
        <v>1.4882352941176471</v>
      </c>
      <c r="M9" s="205">
        <v>1265</v>
      </c>
      <c r="N9" s="206">
        <f>M9*B9</f>
        <v>41745</v>
      </c>
      <c r="O9" s="207">
        <v>1399</v>
      </c>
      <c r="P9" s="168">
        <f>O9*B9</f>
        <v>46167</v>
      </c>
      <c r="W9" s="30"/>
      <c r="X9" s="30"/>
      <c r="Y9" s="30"/>
      <c r="Z9" s="30"/>
    </row>
    <row r="10" spans="1:30" ht="16">
      <c r="A10" s="175" t="s">
        <v>221</v>
      </c>
      <c r="B10" s="162">
        <v>29</v>
      </c>
      <c r="C10" s="162"/>
      <c r="D10" s="164">
        <v>850</v>
      </c>
      <c r="E10" s="165">
        <f t="shared" si="0"/>
        <v>24650</v>
      </c>
      <c r="F10" s="166">
        <f>G10/D10</f>
        <v>1.375835294117647</v>
      </c>
      <c r="G10" s="167">
        <v>1169.46</v>
      </c>
      <c r="H10" s="168">
        <f>B10*G10</f>
        <v>33914.340000000004</v>
      </c>
      <c r="I10" s="166">
        <f>J10/D10</f>
        <v>1.5294117647058822</v>
      </c>
      <c r="J10" s="167">
        <v>1300</v>
      </c>
      <c r="K10" s="203">
        <f>J10*B10</f>
        <v>37700</v>
      </c>
      <c r="L10" s="204">
        <f>M10/D10</f>
        <v>1.5988235294117648</v>
      </c>
      <c r="M10" s="205">
        <v>1359</v>
      </c>
      <c r="N10" s="206">
        <f>M10*B10</f>
        <v>39411</v>
      </c>
      <c r="O10" s="207">
        <v>1550</v>
      </c>
      <c r="P10" s="168">
        <f>O10*B10</f>
        <v>44950</v>
      </c>
    </row>
    <row r="11" spans="1:30" ht="16">
      <c r="A11" s="175" t="s">
        <v>623</v>
      </c>
      <c r="B11" s="162">
        <v>6</v>
      </c>
      <c r="C11" s="162"/>
      <c r="D11" s="164">
        <v>1150</v>
      </c>
      <c r="E11" s="165">
        <f t="shared" si="0"/>
        <v>6900</v>
      </c>
      <c r="F11" s="166">
        <f>G11/D11</f>
        <v>1.149913043478261</v>
      </c>
      <c r="G11" s="167">
        <v>1322.4</v>
      </c>
      <c r="H11" s="168">
        <f>B11*G11</f>
        <v>7934.4000000000005</v>
      </c>
      <c r="I11" s="166">
        <f>J11/D11</f>
        <v>1.2391304347826086</v>
      </c>
      <c r="J11" s="167">
        <v>1425</v>
      </c>
      <c r="K11" s="203">
        <f>J11*B11</f>
        <v>8550</v>
      </c>
      <c r="L11" s="204">
        <f>M11/D11</f>
        <v>1.4130434782608696</v>
      </c>
      <c r="M11" s="205">
        <v>1625</v>
      </c>
      <c r="N11" s="206">
        <f>M11*B11</f>
        <v>9750</v>
      </c>
      <c r="O11" s="207">
        <v>1799</v>
      </c>
      <c r="P11" s="168">
        <f>O11*B11</f>
        <v>10794</v>
      </c>
    </row>
    <row r="12" spans="1:30" ht="17" thickBot="1">
      <c r="A12" s="187" t="s">
        <v>548</v>
      </c>
      <c r="B12" s="188">
        <f>SUM(B7:B11)</f>
        <v>127</v>
      </c>
      <c r="C12" s="188"/>
      <c r="D12" s="189"/>
      <c r="E12" s="190">
        <f>SUM(E7:E11)</f>
        <v>100950</v>
      </c>
      <c r="F12" s="191">
        <f>AVERAGEIF(F7:F11, "&lt;&gt;0")</f>
        <v>1.3298017037182766</v>
      </c>
      <c r="G12" s="192">
        <f>H12/B12</f>
        <v>1083.2990551181101</v>
      </c>
      <c r="H12" s="193">
        <f>SUM(H7:H11)</f>
        <v>137578.97999999998</v>
      </c>
      <c r="I12" s="191">
        <f>AVERAGEIF(I7:I11, "&lt;&gt;0")</f>
        <v>1.4288159059610466</v>
      </c>
      <c r="J12" s="192">
        <f>$K$12/B12</f>
        <v>1165.5511811023623</v>
      </c>
      <c r="K12" s="208">
        <f>SUM(K7:K11)</f>
        <v>148025</v>
      </c>
      <c r="L12" s="209">
        <f>AVERAGEIF(L7:L11, "&lt;&gt;0")</f>
        <v>1.5545396911272871</v>
      </c>
      <c r="M12" s="210">
        <f>N12/B12</f>
        <v>1257.2125984251968</v>
      </c>
      <c r="N12" s="211">
        <f>SUM(N7:N11)</f>
        <v>159666</v>
      </c>
      <c r="O12" s="212">
        <f>P12/B12</f>
        <v>1383.2440944881889</v>
      </c>
      <c r="P12" s="193">
        <f>SUM(P7:P11)</f>
        <v>175672</v>
      </c>
    </row>
    <row r="13" spans="1:30" ht="17" thickTop="1">
      <c r="G13" s="195" t="s">
        <v>482</v>
      </c>
      <c r="H13" s="196">
        <f>H12*12</f>
        <v>1650947.7599999998</v>
      </c>
      <c r="J13" s="195" t="s">
        <v>482</v>
      </c>
      <c r="K13" s="196">
        <f>K12*12</f>
        <v>1776300</v>
      </c>
      <c r="M13" s="195" t="s">
        <v>482</v>
      </c>
      <c r="N13" s="196">
        <f>N12*12</f>
        <v>1915992</v>
      </c>
      <c r="O13" s="195" t="s">
        <v>482</v>
      </c>
      <c r="P13" s="196">
        <f>P12*12</f>
        <v>2108064</v>
      </c>
    </row>
    <row r="17" spans="1:26" ht="22">
      <c r="D17" s="385" t="s">
        <v>556</v>
      </c>
      <c r="E17" s="385"/>
      <c r="F17" s="385"/>
      <c r="G17" s="385"/>
      <c r="H17" s="385"/>
      <c r="I17" s="385"/>
      <c r="J17" s="385"/>
      <c r="K17" s="385"/>
      <c r="L17" s="385"/>
      <c r="U17" s="233" t="s">
        <v>564</v>
      </c>
      <c r="V17" s="239">
        <v>0.06</v>
      </c>
      <c r="X17" s="233" t="s">
        <v>564</v>
      </c>
      <c r="Y17" s="239">
        <v>4.4499999999999998E-2</v>
      </c>
    </row>
    <row r="18" spans="1:26" ht="14">
      <c r="A18" s="353" t="s">
        <v>212</v>
      </c>
      <c r="B18" s="353" t="s">
        <v>649</v>
      </c>
      <c r="C18" s="386" t="s">
        <v>648</v>
      </c>
      <c r="D18" s="386"/>
      <c r="E18" s="384" t="s">
        <v>557</v>
      </c>
      <c r="F18" s="384"/>
      <c r="G18" s="384"/>
      <c r="H18" s="383" t="s">
        <v>558</v>
      </c>
      <c r="I18" s="383"/>
      <c r="J18" s="383"/>
      <c r="K18" s="387" t="s">
        <v>559</v>
      </c>
      <c r="L18" s="387"/>
      <c r="M18" s="387"/>
      <c r="N18" s="382" t="s">
        <v>560</v>
      </c>
      <c r="O18" s="382"/>
      <c r="P18" s="382"/>
      <c r="Q18" s="505" t="s">
        <v>561</v>
      </c>
      <c r="R18" s="505"/>
      <c r="S18" s="505"/>
      <c r="T18" s="505"/>
      <c r="U18" s="489" t="s">
        <v>686</v>
      </c>
      <c r="V18" s="489"/>
      <c r="W18" s="489"/>
      <c r="X18" s="490" t="s">
        <v>687</v>
      </c>
      <c r="Y18" s="490"/>
      <c r="Z18" s="490"/>
    </row>
    <row r="19" spans="1:26" ht="14">
      <c r="B19" s="22"/>
      <c r="C19" s="22" t="s">
        <v>234</v>
      </c>
      <c r="D19" s="22" t="s">
        <v>9</v>
      </c>
      <c r="E19" s="22" t="s">
        <v>562</v>
      </c>
      <c r="F19" s="22" t="s">
        <v>563</v>
      </c>
      <c r="G19" s="22" t="s">
        <v>564</v>
      </c>
      <c r="H19" s="22" t="s">
        <v>562</v>
      </c>
      <c r="I19" s="22" t="s">
        <v>563</v>
      </c>
      <c r="J19" s="22" t="s">
        <v>564</v>
      </c>
      <c r="K19" s="22" t="s">
        <v>562</v>
      </c>
      <c r="L19" s="22" t="s">
        <v>563</v>
      </c>
      <c r="M19" s="22" t="s">
        <v>564</v>
      </c>
      <c r="N19" s="22" t="s">
        <v>562</v>
      </c>
      <c r="O19" s="22" t="s">
        <v>563</v>
      </c>
      <c r="P19" s="22" t="s">
        <v>564</v>
      </c>
      <c r="Q19" s="22" t="s">
        <v>562</v>
      </c>
      <c r="R19" s="22" t="s">
        <v>565</v>
      </c>
      <c r="S19" s="22" t="s">
        <v>685</v>
      </c>
      <c r="T19" s="22" t="s">
        <v>460</v>
      </c>
      <c r="U19" s="22" t="s">
        <v>565</v>
      </c>
      <c r="V19" s="22" t="s">
        <v>685</v>
      </c>
      <c r="W19" s="22" t="s">
        <v>460</v>
      </c>
      <c r="X19" s="22" t="s">
        <v>565</v>
      </c>
      <c r="Y19" s="22" t="s">
        <v>685</v>
      </c>
      <c r="Z19" s="22" t="s">
        <v>460</v>
      </c>
    </row>
    <row r="20" spans="1:26" ht="16">
      <c r="A20" s="163" t="s">
        <v>219</v>
      </c>
      <c r="B20" s="162">
        <v>39</v>
      </c>
      <c r="C20" s="31">
        <f>D20/D7</f>
        <v>1.5369230769230768</v>
      </c>
      <c r="D20" s="178">
        <v>999</v>
      </c>
      <c r="E20" s="179">
        <f>F20/D7</f>
        <v>1.6138461538461539</v>
      </c>
      <c r="F20" s="178">
        <v>1049</v>
      </c>
      <c r="G20" s="213">
        <f>1-(D20/F20)</f>
        <v>4.7664442326024736E-2</v>
      </c>
      <c r="H20" s="179">
        <f>I20/D7</f>
        <v>1.66</v>
      </c>
      <c r="I20" s="178">
        <v>1079</v>
      </c>
      <c r="J20" s="213">
        <f>1-(F20/I20)</f>
        <v>2.7803521779425355E-2</v>
      </c>
      <c r="K20" s="179">
        <f>L20/D7</f>
        <v>1.7215384615384615</v>
      </c>
      <c r="L20" s="178">
        <v>1119</v>
      </c>
      <c r="M20" s="213">
        <f>1-(I20/L20)</f>
        <v>3.5746201966041058E-2</v>
      </c>
      <c r="N20" s="179">
        <f>O20/D7</f>
        <v>1.7538461538461538</v>
      </c>
      <c r="O20" s="178">
        <v>1140</v>
      </c>
      <c r="P20" s="213">
        <f>1-(L20/O20)</f>
        <v>1.8421052631578894E-2</v>
      </c>
      <c r="Q20" s="31">
        <f>R20/D7</f>
        <v>1.7538461538461538</v>
      </c>
      <c r="R20" s="30">
        <f>M7</f>
        <v>1140</v>
      </c>
      <c r="S20" s="411">
        <f>R20*B20</f>
        <v>44460</v>
      </c>
      <c r="T20" s="411">
        <f t="shared" ref="T20:T25" si="1">S20*12</f>
        <v>533520</v>
      </c>
      <c r="U20" s="411">
        <f>R20*(1+$V$17)</f>
        <v>1208.4000000000001</v>
      </c>
      <c r="V20" s="411">
        <f>U20*B20</f>
        <v>47127.600000000006</v>
      </c>
      <c r="W20" s="411">
        <f t="shared" ref="W20:W25" si="2">V20*12</f>
        <v>565531.20000000007</v>
      </c>
      <c r="X20" s="411">
        <f>U20*(1+$Y$17)</f>
        <v>1262.1738</v>
      </c>
      <c r="Y20" s="411">
        <f>X20*B20</f>
        <v>49224.778200000001</v>
      </c>
      <c r="Z20" s="411">
        <f>Y20*12</f>
        <v>590697.33840000001</v>
      </c>
    </row>
    <row r="21" spans="1:26" ht="16">
      <c r="A21" s="175" t="s">
        <v>223</v>
      </c>
      <c r="B21" s="162">
        <v>20</v>
      </c>
      <c r="C21" s="31">
        <f>D21/D8</f>
        <v>1.3487499999999999</v>
      </c>
      <c r="D21" s="30">
        <v>1079</v>
      </c>
      <c r="E21" s="31">
        <f>F21/D8</f>
        <v>1.3987499999999999</v>
      </c>
      <c r="F21" s="30">
        <v>1119</v>
      </c>
      <c r="G21" s="213">
        <f>(F21/D21)-1</f>
        <v>3.707136237256714E-2</v>
      </c>
      <c r="H21" s="31">
        <f>I21/D8</f>
        <v>1.41875</v>
      </c>
      <c r="I21" s="30">
        <v>1135</v>
      </c>
      <c r="J21" s="213">
        <f>1-(F21/I21)</f>
        <v>1.4096916299559448E-2</v>
      </c>
      <c r="K21" s="31">
        <f>L21/D8</f>
        <v>1.46875</v>
      </c>
      <c r="L21" s="30">
        <v>1175</v>
      </c>
      <c r="M21" s="213">
        <f>1-(I21/L21)</f>
        <v>3.4042553191489411E-2</v>
      </c>
      <c r="N21" s="31">
        <f>O21/D8</f>
        <v>1.51875</v>
      </c>
      <c r="O21" s="30">
        <v>1215</v>
      </c>
      <c r="P21" s="213">
        <f>1-(L21/O21)</f>
        <v>3.2921810699588439E-2</v>
      </c>
      <c r="Q21" s="31">
        <f>R21/D8</f>
        <v>1.51875</v>
      </c>
      <c r="R21" s="30">
        <f>M8</f>
        <v>1215</v>
      </c>
      <c r="S21" s="411">
        <f>R21*B21</f>
        <v>24300</v>
      </c>
      <c r="T21" s="411">
        <f t="shared" si="1"/>
        <v>291600</v>
      </c>
      <c r="U21" s="411">
        <f>R21*(1+$V$17)</f>
        <v>1287.9000000000001</v>
      </c>
      <c r="V21" s="411">
        <f>U21*B21</f>
        <v>25758</v>
      </c>
      <c r="W21" s="411">
        <f t="shared" si="2"/>
        <v>309096</v>
      </c>
      <c r="X21" s="411">
        <f>U21*(1+$Y$17)</f>
        <v>1345.21155</v>
      </c>
      <c r="Y21" s="411">
        <f>X21*B21</f>
        <v>26904.231</v>
      </c>
      <c r="Z21" s="411">
        <f>Y21*12</f>
        <v>322850.772</v>
      </c>
    </row>
    <row r="22" spans="1:26" ht="16">
      <c r="A22" s="175" t="s">
        <v>216</v>
      </c>
      <c r="B22" s="162">
        <v>33</v>
      </c>
      <c r="C22" s="31">
        <f>D22/D9</f>
        <v>1.2929411764705883</v>
      </c>
      <c r="D22" s="178">
        <v>1099</v>
      </c>
      <c r="E22" s="179">
        <f>F22/D9</f>
        <v>1.351764705882353</v>
      </c>
      <c r="F22" s="178">
        <v>1149</v>
      </c>
      <c r="G22" s="213">
        <f>(F22/D22)-1</f>
        <v>4.5495905368516887E-2</v>
      </c>
      <c r="H22" s="179">
        <f>I22/D9</f>
        <v>1.3870588235294117</v>
      </c>
      <c r="I22" s="178">
        <v>1179</v>
      </c>
      <c r="J22" s="213">
        <f>1-(F22/I22)</f>
        <v>2.5445292620865145E-2</v>
      </c>
      <c r="K22" s="179">
        <f>L22/D9</f>
        <v>1.4341176470588235</v>
      </c>
      <c r="L22" s="178">
        <v>1219</v>
      </c>
      <c r="M22" s="213">
        <f>1-(I22/L22)</f>
        <v>3.2813781788351148E-2</v>
      </c>
      <c r="N22" s="179">
        <f>O22/G9</f>
        <v>1.1407561892091116</v>
      </c>
      <c r="O22" s="178">
        <v>1269</v>
      </c>
      <c r="P22" s="213">
        <f>1-(L22/O22)</f>
        <v>3.9401103230890411E-2</v>
      </c>
      <c r="Q22" s="31">
        <f>R22/D9</f>
        <v>1.4882352941176471</v>
      </c>
      <c r="R22" s="30">
        <f>M9</f>
        <v>1265</v>
      </c>
      <c r="S22" s="411">
        <f>R22*B22</f>
        <v>41745</v>
      </c>
      <c r="T22" s="411">
        <f t="shared" si="1"/>
        <v>500940</v>
      </c>
      <c r="U22" s="411">
        <f>R22*(1+$V$17)</f>
        <v>1340.9</v>
      </c>
      <c r="V22" s="411">
        <f>U22*B22</f>
        <v>44249.700000000004</v>
      </c>
      <c r="W22" s="411">
        <f t="shared" si="2"/>
        <v>530996.4</v>
      </c>
      <c r="X22" s="411">
        <f>U22*(1+$Y$17)</f>
        <v>1400.57005</v>
      </c>
      <c r="Y22" s="411">
        <f>X22*B22</f>
        <v>46218.811650000003</v>
      </c>
      <c r="Z22" s="411">
        <f>Y22*12</f>
        <v>554625.7398000001</v>
      </c>
    </row>
    <row r="23" spans="1:26" ht="16">
      <c r="A23" s="175" t="s">
        <v>221</v>
      </c>
      <c r="B23" s="162">
        <v>29</v>
      </c>
      <c r="C23" s="31">
        <f>D23/D10</f>
        <v>1.4341176470588235</v>
      </c>
      <c r="D23" s="30">
        <v>1219</v>
      </c>
      <c r="E23" s="31">
        <f>F23/D10</f>
        <v>1.5294117647058822</v>
      </c>
      <c r="F23" s="30">
        <v>1300</v>
      </c>
      <c r="G23" s="213">
        <f>(F23/D23)-1</f>
        <v>6.6447908121411103E-2</v>
      </c>
      <c r="H23" s="31">
        <f>I23/D10</f>
        <v>1.5635294117647058</v>
      </c>
      <c r="I23" s="30">
        <v>1329</v>
      </c>
      <c r="J23" s="213">
        <f>1-(F23/I23)</f>
        <v>2.1820917983446209E-2</v>
      </c>
      <c r="K23" s="31">
        <f>L23/D10</f>
        <v>1.5752941176470587</v>
      </c>
      <c r="L23" s="30">
        <v>1339</v>
      </c>
      <c r="M23" s="213">
        <f>1-(I23/L23)</f>
        <v>7.4682598954443069E-3</v>
      </c>
      <c r="N23" s="31">
        <f>O23/G10</f>
        <v>1.1620748037555795</v>
      </c>
      <c r="O23" s="30">
        <v>1359</v>
      </c>
      <c r="P23" s="213">
        <f>1-(L23/O23)</f>
        <v>1.4716703458425351E-2</v>
      </c>
      <c r="Q23" s="31">
        <f>R23/D10</f>
        <v>1.5988235294117648</v>
      </c>
      <c r="R23" s="30">
        <v>1359</v>
      </c>
      <c r="S23" s="411">
        <f>R23*B23</f>
        <v>39411</v>
      </c>
      <c r="T23" s="411">
        <f t="shared" si="1"/>
        <v>472932</v>
      </c>
      <c r="U23" s="411">
        <f>R23*(1+$V$17)</f>
        <v>1440.54</v>
      </c>
      <c r="V23" s="411">
        <f>U23*B23</f>
        <v>41775.659999999996</v>
      </c>
      <c r="W23" s="411">
        <f t="shared" si="2"/>
        <v>501307.91999999993</v>
      </c>
      <c r="X23" s="411">
        <f>U23*(1+$Y$17)</f>
        <v>1504.6440299999999</v>
      </c>
      <c r="Y23" s="411">
        <f>X23*B23</f>
        <v>43634.676869999996</v>
      </c>
      <c r="Z23" s="411">
        <f>Y23*12</f>
        <v>523616.12243999995</v>
      </c>
    </row>
    <row r="24" spans="1:26" ht="16">
      <c r="A24" s="175" t="s">
        <v>623</v>
      </c>
      <c r="B24" s="162">
        <v>6</v>
      </c>
      <c r="C24" s="31">
        <f>D24/D11</f>
        <v>1.3034782608695652</v>
      </c>
      <c r="D24" s="178">
        <v>1499</v>
      </c>
      <c r="E24" s="179">
        <f>F24/D11</f>
        <v>1.3295652173913044</v>
      </c>
      <c r="F24" s="178">
        <v>1529</v>
      </c>
      <c r="G24" s="213">
        <f>(F24/D24)-1</f>
        <v>2.0013342228152098E-2</v>
      </c>
      <c r="H24" s="179">
        <f>I24/G11</f>
        <v>1.1864791288566243</v>
      </c>
      <c r="I24" s="178">
        <v>1569</v>
      </c>
      <c r="J24" s="213">
        <f>1-(F24/I24)</f>
        <v>2.5493945188017841E-2</v>
      </c>
      <c r="K24" s="179">
        <f>L24/J11</f>
        <v>1.1221052631578947</v>
      </c>
      <c r="L24" s="178">
        <v>1599</v>
      </c>
      <c r="M24" s="213">
        <f>1-(I24/L24)</f>
        <v>1.8761726078799223E-2</v>
      </c>
      <c r="N24" s="179">
        <f>O24/M11</f>
        <v>1</v>
      </c>
      <c r="O24" s="178">
        <v>1625</v>
      </c>
      <c r="P24" s="213">
        <f>1-(L24/O24)</f>
        <v>1.6000000000000014E-2</v>
      </c>
      <c r="Q24" s="31">
        <f>R24/D11</f>
        <v>1.4130434782608696</v>
      </c>
      <c r="R24" s="30">
        <v>1625</v>
      </c>
      <c r="S24" s="411">
        <f>R24*B24</f>
        <v>9750</v>
      </c>
      <c r="T24" s="411">
        <f t="shared" si="1"/>
        <v>117000</v>
      </c>
      <c r="U24" s="411">
        <f>R24*(1+$V$17)</f>
        <v>1722.5</v>
      </c>
      <c r="V24" s="411">
        <f>U24*B24</f>
        <v>10335</v>
      </c>
      <c r="W24" s="411">
        <f t="shared" si="2"/>
        <v>124020</v>
      </c>
      <c r="X24" s="411">
        <f>U24*(1+$Y$17)</f>
        <v>1799.1512499999999</v>
      </c>
      <c r="Y24" s="411">
        <f>X24*B24</f>
        <v>10794.907499999999</v>
      </c>
      <c r="Z24" s="411">
        <f>Y24*12</f>
        <v>129538.88999999998</v>
      </c>
    </row>
    <row r="25" spans="1:26" ht="14">
      <c r="B25">
        <f>SUM(B20:B24)</f>
        <v>127</v>
      </c>
      <c r="D25" s="31">
        <f>($B$20*D20+$B$21*D21+$B$22*D22+$B$23*D23+$B$24*D24)/127</f>
        <v>1111.4409448818897</v>
      </c>
      <c r="F25" s="31">
        <f>($B$20*F20+$B$21*F21+$B$22*F22+$B$23*F23+$B$24*F24)/127</f>
        <v>1166</v>
      </c>
      <c r="G25" s="31"/>
      <c r="H25" s="31"/>
      <c r="I25" s="31">
        <f>($B$20*I20+$B$21*I21+$B$22*I22+$B$23*I23+$B$24*I24)/127</f>
        <v>1194.0393700787401</v>
      </c>
      <c r="J25" s="31"/>
      <c r="K25" s="31"/>
      <c r="L25" s="31">
        <f>($B$20*L20+$B$21*L21+$B$22*L22+$B$23*L23+$B$24*L24)/127</f>
        <v>1226.7165354330709</v>
      </c>
      <c r="O25" s="31">
        <f>($B$20*O20+$B$21*O21+$B$22*O22+$B$23*O23+$B$24*O24)/127</f>
        <v>1258.251968503937</v>
      </c>
      <c r="R25" s="94">
        <f>($B$20*R20+$B$21*R21+$B$22*R22+$B$23*R23+$B$24*R24)/127</f>
        <v>1257.2125984251968</v>
      </c>
      <c r="S25" s="412">
        <f>SUM(S20:S24)</f>
        <v>159666</v>
      </c>
      <c r="T25" s="412">
        <f t="shared" si="1"/>
        <v>1915992</v>
      </c>
      <c r="U25" s="94">
        <f>($B$20*U20+$B$21*U21+$B$22*U22+$B$23*U23+$B$24*U24)/127</f>
        <v>1332.6453543307089</v>
      </c>
      <c r="V25" s="412">
        <f>SUM(V20:V24)</f>
        <v>169245.96000000002</v>
      </c>
      <c r="W25" s="412">
        <f t="shared" si="2"/>
        <v>2030951.5200000003</v>
      </c>
      <c r="X25" s="94">
        <f>($B$20*X20+$B$21*X21+$B$22*X22+$B$23*X23+$B$24*X24)/127</f>
        <v>1391.9480725984251</v>
      </c>
      <c r="Y25" s="412">
        <f>SUM(Y20:Y24)</f>
        <v>176777.40521999999</v>
      </c>
      <c r="Z25" s="412">
        <f>SUM(Z20:Z24)</f>
        <v>2121328.8626400004</v>
      </c>
    </row>
    <row r="26" spans="1:26" ht="15" customHeight="1">
      <c r="S26" s="410"/>
    </row>
    <row r="28" spans="1:26" ht="14">
      <c r="A28" s="214" t="s">
        <v>212</v>
      </c>
      <c r="B28" s="214" t="s">
        <v>649</v>
      </c>
      <c r="C28" s="215" t="s">
        <v>566</v>
      </c>
      <c r="D28" s="216" t="s">
        <v>567</v>
      </c>
      <c r="E28" s="217" t="s">
        <v>568</v>
      </c>
      <c r="F28" s="218" t="s">
        <v>569</v>
      </c>
      <c r="G28" s="219" t="s">
        <v>570</v>
      </c>
      <c r="H28" s="22" t="s">
        <v>571</v>
      </c>
      <c r="I28" s="22" t="s">
        <v>572</v>
      </c>
    </row>
    <row r="29" spans="1:26" ht="16">
      <c r="A29" s="163" t="s">
        <v>219</v>
      </c>
      <c r="B29" s="162">
        <v>39</v>
      </c>
      <c r="C29" s="220">
        <f>F20</f>
        <v>1049</v>
      </c>
      <c r="D29" s="220">
        <f>I20</f>
        <v>1079</v>
      </c>
      <c r="E29" s="220">
        <f>L20</f>
        <v>1119</v>
      </c>
      <c r="F29" s="220">
        <f>O20</f>
        <v>1140</v>
      </c>
      <c r="G29" s="220">
        <f>R20</f>
        <v>1140</v>
      </c>
      <c r="H29" s="30">
        <f t="shared" ref="H29:I29" si="3">G29*1.05</f>
        <v>1197</v>
      </c>
      <c r="I29" s="30">
        <f t="shared" si="3"/>
        <v>1256.8500000000001</v>
      </c>
    </row>
    <row r="30" spans="1:26" ht="16">
      <c r="A30" s="175" t="s">
        <v>223</v>
      </c>
      <c r="B30" s="162">
        <v>20</v>
      </c>
      <c r="C30" s="220">
        <f>F21</f>
        <v>1119</v>
      </c>
      <c r="D30" s="220">
        <f>I21</f>
        <v>1135</v>
      </c>
      <c r="E30" s="220">
        <f>L21</f>
        <v>1175</v>
      </c>
      <c r="F30" s="220">
        <f>O21</f>
        <v>1215</v>
      </c>
      <c r="G30" s="220">
        <f>R21</f>
        <v>1215</v>
      </c>
      <c r="H30" s="30">
        <f t="shared" ref="H30:I30" si="4">G30*1.05</f>
        <v>1275.75</v>
      </c>
      <c r="I30" s="30">
        <f t="shared" si="4"/>
        <v>1339.5375000000001</v>
      </c>
    </row>
    <row r="31" spans="1:26" ht="16">
      <c r="A31" s="175" t="s">
        <v>216</v>
      </c>
      <c r="B31" s="162">
        <v>33</v>
      </c>
      <c r="C31" s="220">
        <f>F22</f>
        <v>1149</v>
      </c>
      <c r="D31" s="220">
        <f>I22</f>
        <v>1179</v>
      </c>
      <c r="E31" s="220">
        <f>L22</f>
        <v>1219</v>
      </c>
      <c r="F31" s="220">
        <f>O22</f>
        <v>1269</v>
      </c>
      <c r="G31" s="220">
        <v>1269</v>
      </c>
      <c r="H31" s="30">
        <f t="shared" ref="H31:I31" si="5">G31*1.05</f>
        <v>1332.45</v>
      </c>
      <c r="I31" s="30">
        <f t="shared" si="5"/>
        <v>1399.0725000000002</v>
      </c>
    </row>
    <row r="32" spans="1:26" ht="16">
      <c r="A32" s="175" t="s">
        <v>221</v>
      </c>
      <c r="B32" s="162">
        <v>29</v>
      </c>
      <c r="C32" s="220">
        <f>F23</f>
        <v>1300</v>
      </c>
      <c r="D32" s="220">
        <f>I23</f>
        <v>1329</v>
      </c>
      <c r="E32" s="220">
        <f>L23</f>
        <v>1339</v>
      </c>
      <c r="F32" s="220">
        <f>O23</f>
        <v>1359</v>
      </c>
      <c r="G32" s="220">
        <v>1359</v>
      </c>
      <c r="H32" s="30">
        <f t="shared" ref="H32:I32" si="6">G32*1.05</f>
        <v>1426.95</v>
      </c>
      <c r="I32" s="30">
        <f t="shared" si="6"/>
        <v>1498.2975000000001</v>
      </c>
    </row>
    <row r="33" spans="1:10" ht="16">
      <c r="A33" s="175" t="s">
        <v>623</v>
      </c>
      <c r="B33" s="162">
        <v>6</v>
      </c>
      <c r="C33" s="220">
        <f>F24</f>
        <v>1529</v>
      </c>
      <c r="D33" s="220">
        <f>I24</f>
        <v>1569</v>
      </c>
      <c r="E33" s="220">
        <f>L24</f>
        <v>1599</v>
      </c>
      <c r="F33" s="220">
        <f>O24</f>
        <v>1625</v>
      </c>
      <c r="G33" s="220">
        <f>R24</f>
        <v>1625</v>
      </c>
      <c r="H33" s="30">
        <f t="shared" ref="H33:I33" si="7">G33*1.05</f>
        <v>1706.25</v>
      </c>
      <c r="I33" s="30">
        <f t="shared" si="7"/>
        <v>1791.5625</v>
      </c>
    </row>
    <row r="34" spans="1:10" ht="14">
      <c r="E34" s="221"/>
      <c r="F34" s="30"/>
      <c r="G34" s="222"/>
    </row>
    <row r="35" spans="1:10" ht="14">
      <c r="E35" s="221"/>
      <c r="F35" s="30"/>
      <c r="G35" s="222"/>
    </row>
    <row r="36" spans="1:10" ht="14">
      <c r="E36" s="221"/>
      <c r="F36" s="30"/>
      <c r="G36" s="222"/>
    </row>
    <row r="37" spans="1:10" ht="14">
      <c r="B37" s="506" t="s">
        <v>651</v>
      </c>
      <c r="C37" s="506"/>
      <c r="D37" s="506"/>
      <c r="E37" s="506"/>
      <c r="F37" s="506"/>
      <c r="G37" s="506"/>
      <c r="H37" s="506"/>
      <c r="I37" s="506"/>
      <c r="J37" s="506"/>
    </row>
    <row r="38" spans="1:10" ht="14">
      <c r="E38" s="221"/>
      <c r="F38" s="30"/>
      <c r="G38" s="222"/>
    </row>
    <row r="39" spans="1:10" ht="14">
      <c r="A39" s="233" t="s">
        <v>659</v>
      </c>
      <c r="B39" s="319">
        <v>50</v>
      </c>
      <c r="E39" s="223"/>
      <c r="F39" s="224"/>
      <c r="G39" s="225"/>
    </row>
    <row r="40" spans="1:10" ht="15" customHeight="1">
      <c r="A40" s="507" t="s">
        <v>564</v>
      </c>
      <c r="B40" s="507"/>
      <c r="C40" s="235" t="s">
        <v>665</v>
      </c>
      <c r="D40" s="232">
        <v>75</v>
      </c>
      <c r="E40" s="232">
        <v>70</v>
      </c>
      <c r="F40" s="232">
        <v>60</v>
      </c>
      <c r="G40" s="232">
        <v>50</v>
      </c>
    </row>
    <row r="41" spans="1:10" ht="15" customHeight="1">
      <c r="A41" s="235" t="s">
        <v>657</v>
      </c>
      <c r="B41" s="235" t="s">
        <v>658</v>
      </c>
      <c r="C41" s="234" t="s">
        <v>656</v>
      </c>
      <c r="D41" s="215" t="s">
        <v>652</v>
      </c>
      <c r="E41" s="216" t="s">
        <v>664</v>
      </c>
      <c r="F41" s="217" t="s">
        <v>568</v>
      </c>
      <c r="G41" s="218" t="s">
        <v>569</v>
      </c>
    </row>
    <row r="42" spans="1:10" ht="15" customHeight="1">
      <c r="A42" s="375">
        <v>0</v>
      </c>
      <c r="B42" s="376">
        <v>0.3</v>
      </c>
      <c r="C42">
        <v>0.1</v>
      </c>
      <c r="D42" s="232">
        <f>$C42*D$40</f>
        <v>7.5</v>
      </c>
      <c r="E42" s="232">
        <f>$C42*E$40</f>
        <v>7</v>
      </c>
      <c r="F42" s="232">
        <f>$C42*F$40</f>
        <v>6</v>
      </c>
      <c r="G42" s="232">
        <f>$C42*G$40</f>
        <v>5</v>
      </c>
    </row>
    <row r="43" spans="1:10" ht="15" customHeight="1">
      <c r="A43" s="375">
        <v>0.3</v>
      </c>
      <c r="B43" s="376">
        <v>0.5</v>
      </c>
      <c r="C43">
        <v>0.4</v>
      </c>
      <c r="D43" s="232">
        <f>C43*D$40</f>
        <v>30</v>
      </c>
      <c r="E43" s="232">
        <f t="shared" ref="E43:G45" si="8">$C43*E$40</f>
        <v>28</v>
      </c>
      <c r="F43" s="232">
        <f t="shared" si="8"/>
        <v>24</v>
      </c>
      <c r="G43" s="232">
        <f t="shared" si="8"/>
        <v>20</v>
      </c>
    </row>
    <row r="44" spans="1:10" ht="15" customHeight="1">
      <c r="A44" s="375">
        <v>0.5</v>
      </c>
      <c r="B44" s="376">
        <v>0.8</v>
      </c>
      <c r="C44">
        <v>0.6</v>
      </c>
      <c r="D44" s="232">
        <f>C44*D$40</f>
        <v>45</v>
      </c>
      <c r="E44" s="232">
        <f t="shared" si="8"/>
        <v>42</v>
      </c>
      <c r="F44" s="232">
        <f t="shared" si="8"/>
        <v>36</v>
      </c>
      <c r="G44" s="232">
        <f t="shared" si="8"/>
        <v>30</v>
      </c>
    </row>
    <row r="45" spans="1:10" ht="15" customHeight="1">
      <c r="A45" s="375">
        <v>0.8</v>
      </c>
      <c r="B45" s="376">
        <v>1</v>
      </c>
      <c r="C45">
        <v>1</v>
      </c>
      <c r="D45" s="232">
        <f>C45*D$40</f>
        <v>75</v>
      </c>
      <c r="E45" s="232">
        <f t="shared" si="8"/>
        <v>70</v>
      </c>
      <c r="F45" s="232">
        <f t="shared" si="8"/>
        <v>60</v>
      </c>
      <c r="G45" s="232">
        <f t="shared" si="8"/>
        <v>50</v>
      </c>
    </row>
    <row r="48" spans="1:10" ht="15" customHeight="1">
      <c r="B48" s="494" t="s">
        <v>660</v>
      </c>
      <c r="C48" s="494"/>
      <c r="D48" s="494"/>
    </row>
    <row r="49" spans="1:11" ht="15" customHeight="1">
      <c r="B49" s="235" t="s">
        <v>666</v>
      </c>
      <c r="C49" s="216" t="s">
        <v>558</v>
      </c>
    </row>
    <row r="50" spans="1:11" ht="15" customHeight="1">
      <c r="B50" s="235" t="s">
        <v>667</v>
      </c>
      <c r="C50" s="232">
        <v>70</v>
      </c>
    </row>
    <row r="51" spans="1:11" ht="15" customHeight="1">
      <c r="B51" s="235" t="s">
        <v>275</v>
      </c>
      <c r="C51" s="233" t="s">
        <v>653</v>
      </c>
      <c r="D51" s="235" t="s">
        <v>663</v>
      </c>
    </row>
    <row r="52" spans="1:11" ht="15" customHeight="1">
      <c r="B52" s="235" t="s">
        <v>214</v>
      </c>
      <c r="C52" s="232">
        <v>1329</v>
      </c>
      <c r="D52" s="243">
        <f>ABS(C53-C52)/C53</f>
        <v>2.2307692307692306E-2</v>
      </c>
      <c r="G52" s="378"/>
    </row>
    <row r="53" spans="1:11" ht="15" customHeight="1">
      <c r="B53" s="235" t="s">
        <v>531</v>
      </c>
      <c r="C53" s="232">
        <v>1300</v>
      </c>
    </row>
    <row r="54" spans="1:11" ht="15" customHeight="1">
      <c r="B54" s="235" t="s">
        <v>655</v>
      </c>
      <c r="C54" s="232">
        <v>1320</v>
      </c>
      <c r="D54" s="377">
        <f>(C54-C53)/C53</f>
        <v>1.5384615384615385E-2</v>
      </c>
    </row>
    <row r="56" spans="1:11" ht="16">
      <c r="A56" s="226"/>
      <c r="B56" s="235" t="s">
        <v>662</v>
      </c>
      <c r="C56" s="242">
        <f>_xlfn.XLOOKUP(MIN(($C$54/$C$53-1)/D52,1),$A$42:$A$45,$C$42:$C$45,0,-1)</f>
        <v>0.6</v>
      </c>
      <c r="E56" s="11"/>
      <c r="F56" s="78"/>
      <c r="G56" s="77"/>
      <c r="H56" s="77"/>
      <c r="I56" s="77"/>
      <c r="J56" s="76"/>
      <c r="K56" s="76"/>
    </row>
    <row r="57" spans="1:11" ht="14">
      <c r="B57" s="235" t="s">
        <v>661</v>
      </c>
      <c r="C57" s="379">
        <f>C50*_xlfn.XLOOKUP(MIN(($C$54/$C$53-1)/D52,1),$A$42:$A$45,$C$42:$C$45,0,-1)</f>
        <v>42</v>
      </c>
    </row>
    <row r="58" spans="1:11" ht="16">
      <c r="B58" s="11" t="str">
        <f>"Congratulations! You achieved a rent increase for Unit of $"
&amp; TEXT(C54-C53,"#,##0.00")
&amp; ", representing a "
&amp; TEXT((C54-C53)/C52,"0.0%")
&amp; " lease trade-out versus advertised rent."</f>
        <v>Congratulations! You achieved a rent increase for Unit of $20.00, representing a 1.5% lease trade-out versus advertised rent.</v>
      </c>
      <c r="C58" s="11"/>
      <c r="D58" s="11"/>
    </row>
    <row r="59" spans="1:11" ht="14"/>
    <row r="60" spans="1:11" ht="14">
      <c r="B60" s="233" t="s">
        <v>672</v>
      </c>
    </row>
    <row r="61" spans="1:11" ht="14">
      <c r="B61" s="235" t="s">
        <v>275</v>
      </c>
      <c r="C61" s="235" t="s">
        <v>668</v>
      </c>
      <c r="D61" s="235" t="s">
        <v>669</v>
      </c>
      <c r="E61" s="235" t="s">
        <v>214</v>
      </c>
      <c r="F61" s="235" t="s">
        <v>670</v>
      </c>
      <c r="G61" s="235" t="s">
        <v>671</v>
      </c>
      <c r="H61" s="235" t="s">
        <v>666</v>
      </c>
      <c r="I61" s="235" t="s">
        <v>656</v>
      </c>
      <c r="J61" s="235" t="s">
        <v>654</v>
      </c>
      <c r="K61" s="235" t="s">
        <v>661</v>
      </c>
    </row>
    <row r="62" spans="1:11" ht="14">
      <c r="B62" t="str">
        <f>C51</f>
        <v>B1111</v>
      </c>
      <c r="C62" s="230">
        <f>C53</f>
        <v>1300</v>
      </c>
      <c r="D62" s="230">
        <f>C54</f>
        <v>1320</v>
      </c>
      <c r="E62" s="230">
        <f>C52</f>
        <v>1329</v>
      </c>
      <c r="F62" s="232">
        <f>D62-C62</f>
        <v>20</v>
      </c>
      <c r="G62" s="374">
        <f>D54</f>
        <v>1.5384615384615385E-2</v>
      </c>
      <c r="H62" t="str">
        <f>C49</f>
        <v>Q2</v>
      </c>
      <c r="I62" s="373">
        <f>C56</f>
        <v>0.6</v>
      </c>
      <c r="J62" s="230">
        <f>C50</f>
        <v>70</v>
      </c>
      <c r="K62" s="380">
        <f>C57</f>
        <v>42</v>
      </c>
    </row>
    <row r="63" spans="1:11" ht="14">
      <c r="C63" s="233"/>
    </row>
    <row r="64" spans="1:11" ht="14"/>
    <row r="65" ht="14"/>
    <row r="66" ht="14"/>
    <row r="67" ht="14"/>
    <row r="68" ht="14"/>
    <row r="69" ht="14"/>
    <row r="70" ht="14"/>
    <row r="71" ht="14"/>
    <row r="72" ht="14"/>
    <row r="73" ht="14"/>
    <row r="74" ht="14"/>
    <row r="75" ht="14"/>
    <row r="76" ht="14"/>
    <row r="77" ht="14"/>
    <row r="78" ht="14"/>
    <row r="79" ht="14"/>
    <row r="80" ht="14"/>
    <row r="81" ht="14"/>
    <row r="82" ht="14"/>
    <row r="83" ht="14"/>
    <row r="84" ht="14"/>
    <row r="85" ht="14"/>
    <row r="86" ht="14"/>
    <row r="87" ht="14"/>
    <row r="88" ht="14"/>
    <row r="89" ht="14"/>
    <row r="90" ht="14"/>
    <row r="91" ht="14"/>
    <row r="92" ht="14"/>
    <row r="93" ht="14"/>
    <row r="94" ht="14"/>
    <row r="95" ht="14"/>
    <row r="96" ht="14"/>
    <row r="97" ht="14"/>
    <row r="98" ht="14"/>
    <row r="99" ht="14"/>
    <row r="100" ht="14"/>
    <row r="101" ht="14"/>
    <row r="102" ht="14"/>
    <row r="103" ht="14"/>
    <row r="104" ht="14"/>
    <row r="105" ht="14"/>
    <row r="106" ht="14"/>
    <row r="107" ht="14"/>
    <row r="108" ht="14"/>
    <row r="109" ht="14"/>
    <row r="110" ht="14"/>
    <row r="111" ht="14"/>
    <row r="112" ht="14"/>
    <row r="113" ht="14"/>
    <row r="114" ht="14"/>
    <row r="115" ht="14"/>
    <row r="116" ht="14"/>
    <row r="117" ht="14"/>
    <row r="118" ht="14"/>
    <row r="119" ht="14"/>
    <row r="120" ht="14"/>
    <row r="121" ht="14"/>
    <row r="122" ht="14"/>
    <row r="123" ht="14"/>
    <row r="124" ht="14"/>
    <row r="125" ht="14"/>
    <row r="126" ht="14"/>
    <row r="127" ht="14"/>
    <row r="128" ht="14"/>
    <row r="129" ht="14"/>
    <row r="130" ht="14"/>
    <row r="131" ht="14"/>
    <row r="132" ht="14"/>
    <row r="133" ht="14"/>
    <row r="134" ht="14"/>
    <row r="135" ht="14"/>
    <row r="136" ht="14"/>
    <row r="137" ht="14"/>
    <row r="138" ht="14"/>
    <row r="139" ht="14"/>
    <row r="140" ht="14"/>
    <row r="141" ht="14"/>
    <row r="142" ht="14"/>
    <row r="143" ht="14"/>
    <row r="144" ht="14"/>
    <row r="145" ht="14"/>
    <row r="146" ht="14"/>
    <row r="147" ht="14"/>
    <row r="148" ht="14"/>
    <row r="149" ht="14"/>
    <row r="150" ht="14"/>
    <row r="151" ht="14"/>
    <row r="152" ht="14"/>
    <row r="153" ht="14"/>
    <row r="154" ht="14"/>
    <row r="155" ht="14"/>
    <row r="156" ht="14"/>
    <row r="157" ht="14"/>
    <row r="158" ht="14"/>
    <row r="159" ht="14"/>
    <row r="160" ht="14"/>
    <row r="161" ht="14"/>
    <row r="162" ht="14"/>
    <row r="163" ht="14"/>
    <row r="164" ht="14"/>
    <row r="165" ht="14"/>
    <row r="166" ht="14"/>
    <row r="167" ht="14"/>
    <row r="168" ht="14"/>
    <row r="169" ht="14"/>
    <row r="170" ht="14"/>
    <row r="171" ht="14"/>
    <row r="172" ht="14"/>
    <row r="173" ht="14"/>
    <row r="174" ht="14"/>
    <row r="175" ht="14"/>
    <row r="176" ht="14"/>
    <row r="177" ht="14"/>
    <row r="178" ht="14"/>
    <row r="179" ht="14"/>
    <row r="180" ht="14"/>
    <row r="181" ht="14"/>
    <row r="182" ht="14"/>
    <row r="183" ht="14"/>
    <row r="185" ht="14"/>
    <row r="186" ht="14"/>
    <row r="187" ht="14"/>
    <row r="188" ht="14"/>
    <row r="189" ht="14"/>
    <row r="190" ht="14"/>
    <row r="191" ht="14"/>
    <row r="192" ht="14"/>
    <row r="193" ht="14"/>
    <row r="194" ht="14"/>
    <row r="195" ht="14"/>
    <row r="196" ht="14"/>
    <row r="197" ht="14"/>
    <row r="198" ht="14"/>
    <row r="199" ht="14"/>
    <row r="200" ht="14"/>
    <row r="201" ht="14"/>
    <row r="202" ht="14"/>
    <row r="203" ht="14"/>
    <row r="204" ht="14"/>
    <row r="205" ht="14"/>
    <row r="206" ht="14"/>
    <row r="207" ht="14"/>
    <row r="208" ht="14"/>
    <row r="209" ht="14"/>
    <row r="210" ht="14"/>
    <row r="211" ht="14"/>
    <row r="212" ht="14"/>
    <row r="213" ht="14"/>
    <row r="214" ht="14"/>
    <row r="215" ht="14"/>
    <row r="216" ht="14"/>
    <row r="217" ht="14"/>
    <row r="218" ht="14"/>
    <row r="219" ht="14"/>
    <row r="220" ht="14"/>
    <row r="221" ht="14"/>
    <row r="222" ht="14"/>
    <row r="223" ht="14"/>
    <row r="224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</sheetData>
  <mergeCells count="13">
    <mergeCell ref="Q18:T18"/>
    <mergeCell ref="U18:W18"/>
    <mergeCell ref="X18:Z18"/>
    <mergeCell ref="B37:J37"/>
    <mergeCell ref="A40:B40"/>
    <mergeCell ref="B48:D48"/>
    <mergeCell ref="A3:P3"/>
    <mergeCell ref="L4:N4"/>
    <mergeCell ref="I4:K4"/>
    <mergeCell ref="D5:E5"/>
    <mergeCell ref="F5:H5"/>
    <mergeCell ref="I5:K5"/>
    <mergeCell ref="O5:P5"/>
  </mergeCells>
  <printOptions horizontalCentered="1" gridLines="1"/>
  <pageMargins left="0.7" right="0.7" top="0.75" bottom="0.75" header="0" footer="0"/>
  <pageSetup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3:S25"/>
  <sheetViews>
    <sheetView workbookViewId="0"/>
  </sheetViews>
  <sheetFormatPr baseColWidth="10" defaultColWidth="12.6640625" defaultRowHeight="15" customHeight="1"/>
  <cols>
    <col min="3" max="3" width="30" customWidth="1"/>
    <col min="4" max="4" width="6.5" customWidth="1"/>
    <col min="6" max="6" width="4.5" customWidth="1"/>
    <col min="7" max="7" width="9.5" customWidth="1"/>
    <col min="8" max="8" width="8.5" customWidth="1"/>
    <col min="9" max="9" width="5.1640625" customWidth="1"/>
    <col min="10" max="10" width="9.5" customWidth="1"/>
    <col min="11" max="11" width="7.33203125" customWidth="1"/>
    <col min="12" max="12" width="5.1640625" customWidth="1"/>
    <col min="13" max="13" width="9.5" customWidth="1"/>
    <col min="14" max="14" width="6.83203125" customWidth="1"/>
    <col min="15" max="15" width="4.5" customWidth="1"/>
    <col min="16" max="16" width="9.5" customWidth="1"/>
    <col min="17" max="17" width="6.5" customWidth="1"/>
    <col min="18" max="18" width="5" customWidth="1"/>
    <col min="19" max="19" width="9.5" customWidth="1"/>
  </cols>
  <sheetData>
    <row r="3" spans="1:19" ht="15" customHeight="1">
      <c r="A3" s="22" t="s">
        <v>529</v>
      </c>
    </row>
    <row r="5" spans="1:19" ht="15" customHeight="1">
      <c r="D5" s="159"/>
      <c r="E5" s="509" t="s">
        <v>532</v>
      </c>
      <c r="F5" s="484"/>
      <c r="G5" s="484"/>
      <c r="H5" s="510" t="s">
        <v>533</v>
      </c>
      <c r="I5" s="484"/>
      <c r="J5" s="484"/>
      <c r="K5" s="510" t="s">
        <v>534</v>
      </c>
      <c r="L5" s="484"/>
      <c r="M5" s="484"/>
      <c r="N5" s="510" t="s">
        <v>535</v>
      </c>
      <c r="O5" s="484"/>
      <c r="P5" s="484"/>
      <c r="Q5" s="508" t="s">
        <v>536</v>
      </c>
      <c r="R5" s="484"/>
      <c r="S5" s="484"/>
    </row>
    <row r="6" spans="1:19" ht="15" customHeight="1">
      <c r="A6" s="22" t="s">
        <v>540</v>
      </c>
      <c r="B6" s="22" t="s">
        <v>184</v>
      </c>
      <c r="C6" s="22" t="s">
        <v>541</v>
      </c>
      <c r="D6" s="22" t="s">
        <v>542</v>
      </c>
      <c r="E6" s="22" t="s">
        <v>9</v>
      </c>
      <c r="F6" s="22" t="s">
        <v>215</v>
      </c>
      <c r="G6" s="22" t="s">
        <v>543</v>
      </c>
      <c r="H6" s="22" t="s">
        <v>9</v>
      </c>
      <c r="I6" s="22" t="s">
        <v>215</v>
      </c>
      <c r="J6" s="22" t="s">
        <v>543</v>
      </c>
      <c r="K6" s="22" t="s">
        <v>9</v>
      </c>
      <c r="L6" s="22" t="s">
        <v>215</v>
      </c>
      <c r="M6" s="22" t="s">
        <v>543</v>
      </c>
      <c r="N6" s="22" t="s">
        <v>9</v>
      </c>
      <c r="O6" s="22" t="s">
        <v>215</v>
      </c>
      <c r="P6" s="22" t="s">
        <v>543</v>
      </c>
      <c r="Q6" s="22" t="s">
        <v>9</v>
      </c>
      <c r="R6" s="22" t="s">
        <v>215</v>
      </c>
      <c r="S6" s="22" t="s">
        <v>543</v>
      </c>
    </row>
    <row r="7" spans="1:19" ht="15" customHeight="1">
      <c r="A7" s="21">
        <v>1963</v>
      </c>
      <c r="B7" s="21">
        <v>127</v>
      </c>
      <c r="C7" s="169" t="s">
        <v>185</v>
      </c>
      <c r="D7" s="170">
        <v>45787</v>
      </c>
      <c r="E7" s="171">
        <v>999</v>
      </c>
      <c r="F7" s="172">
        <v>650</v>
      </c>
      <c r="G7" s="173">
        <f t="shared" ref="G7:G12" si="0">E7/F7</f>
        <v>1.5369230769230768</v>
      </c>
      <c r="H7" s="171">
        <v>1079</v>
      </c>
      <c r="I7" s="172">
        <v>800</v>
      </c>
      <c r="J7" s="173">
        <f t="shared" ref="J7:J8" si="1">H7/I7</f>
        <v>1.3487499999999999</v>
      </c>
      <c r="K7" s="171">
        <v>1150</v>
      </c>
      <c r="L7" s="172">
        <v>850</v>
      </c>
      <c r="M7" s="173">
        <f>K7/L7</f>
        <v>1.3529411764705883</v>
      </c>
      <c r="N7" s="171">
        <v>1300</v>
      </c>
      <c r="O7" s="172">
        <v>850</v>
      </c>
      <c r="P7" s="174">
        <f t="shared" ref="P7:P9" si="2">N7/O7</f>
        <v>1.5294117647058822</v>
      </c>
      <c r="Q7" s="171">
        <v>1499</v>
      </c>
      <c r="R7" s="172">
        <v>1150</v>
      </c>
      <c r="S7" s="174">
        <f>Q7/R7</f>
        <v>1.3034782608695652</v>
      </c>
    </row>
    <row r="8" spans="1:19" ht="15" customHeight="1">
      <c r="A8" s="21">
        <v>1973</v>
      </c>
      <c r="B8" s="21">
        <v>207</v>
      </c>
      <c r="C8" s="176" t="s">
        <v>544</v>
      </c>
      <c r="D8" s="177">
        <v>45818</v>
      </c>
      <c r="E8" s="178">
        <v>1030</v>
      </c>
      <c r="F8" s="33">
        <v>680</v>
      </c>
      <c r="G8" s="179">
        <f t="shared" si="0"/>
        <v>1.5147058823529411</v>
      </c>
      <c r="H8" s="178">
        <v>1208</v>
      </c>
      <c r="I8" s="33">
        <v>900</v>
      </c>
      <c r="J8" s="179">
        <f t="shared" si="1"/>
        <v>1.3422222222222222</v>
      </c>
      <c r="K8" s="180"/>
      <c r="L8" s="33"/>
      <c r="M8" s="180"/>
      <c r="N8" s="180">
        <v>1589</v>
      </c>
      <c r="O8" s="181">
        <v>900</v>
      </c>
      <c r="P8" s="182">
        <f t="shared" si="2"/>
        <v>1.7655555555555555</v>
      </c>
      <c r="Q8" s="183"/>
      <c r="R8" s="184"/>
      <c r="S8" s="184"/>
    </row>
    <row r="9" spans="1:19" ht="15" customHeight="1">
      <c r="A9" s="21">
        <v>1963</v>
      </c>
      <c r="B9" s="21">
        <v>89</v>
      </c>
      <c r="C9" s="21" t="s">
        <v>545</v>
      </c>
      <c r="D9" s="185">
        <v>45787</v>
      </c>
      <c r="E9" s="30">
        <v>999</v>
      </c>
      <c r="F9" s="21">
        <v>650</v>
      </c>
      <c r="G9" s="31">
        <f t="shared" si="0"/>
        <v>1.5369230769230768</v>
      </c>
      <c r="H9" s="183"/>
      <c r="I9" s="184"/>
      <c r="J9" s="184"/>
      <c r="K9" s="30">
        <v>1135</v>
      </c>
      <c r="L9" s="21">
        <v>850</v>
      </c>
      <c r="M9" s="31">
        <f t="shared" ref="M9:M10" si="3">K9/L9</f>
        <v>1.3352941176470587</v>
      </c>
      <c r="N9" s="30">
        <v>1250</v>
      </c>
      <c r="O9" s="21">
        <v>850</v>
      </c>
      <c r="P9" s="174">
        <f t="shared" si="2"/>
        <v>1.4705882352941178</v>
      </c>
      <c r="Q9" s="183"/>
      <c r="R9" s="184"/>
      <c r="S9" s="184"/>
    </row>
    <row r="10" spans="1:19" ht="15" customHeight="1">
      <c r="A10" s="21">
        <v>1969</v>
      </c>
      <c r="B10" s="21">
        <v>133</v>
      </c>
      <c r="C10" s="33" t="s">
        <v>546</v>
      </c>
      <c r="D10" s="177">
        <v>45726</v>
      </c>
      <c r="E10" s="178">
        <v>825</v>
      </c>
      <c r="F10" s="33">
        <v>850</v>
      </c>
      <c r="G10" s="179">
        <f t="shared" si="0"/>
        <v>0.97058823529411764</v>
      </c>
      <c r="H10" s="183"/>
      <c r="I10" s="183"/>
      <c r="J10" s="183"/>
      <c r="K10" s="178">
        <v>1019</v>
      </c>
      <c r="L10" s="33">
        <v>1050</v>
      </c>
      <c r="M10" s="179">
        <f t="shared" si="3"/>
        <v>0.97047619047619049</v>
      </c>
      <c r="N10" s="183"/>
      <c r="O10" s="183"/>
      <c r="P10" s="183"/>
      <c r="Q10" s="183"/>
      <c r="R10" s="183"/>
      <c r="S10" s="183"/>
    </row>
    <row r="11" spans="1:19" ht="15" customHeight="1">
      <c r="A11" s="21">
        <v>1975</v>
      </c>
      <c r="B11" s="21">
        <v>176</v>
      </c>
      <c r="C11" s="186" t="s">
        <v>547</v>
      </c>
      <c r="D11" s="185">
        <v>45787</v>
      </c>
      <c r="E11" s="30">
        <v>999</v>
      </c>
      <c r="F11" s="21">
        <v>750</v>
      </c>
      <c r="G11" s="31">
        <f t="shared" si="0"/>
        <v>1.3320000000000001</v>
      </c>
      <c r="H11" s="30">
        <v>1299</v>
      </c>
      <c r="I11" s="21">
        <v>1050</v>
      </c>
      <c r="J11" s="31">
        <f>H11/I11</f>
        <v>1.2371428571428571</v>
      </c>
      <c r="K11" s="183"/>
      <c r="L11" s="183"/>
      <c r="M11" s="183"/>
      <c r="N11" s="183"/>
      <c r="O11" s="183"/>
      <c r="P11" s="183"/>
      <c r="Q11" s="183"/>
      <c r="R11" s="183"/>
      <c r="S11" s="183"/>
    </row>
    <row r="12" spans="1:19" ht="15" customHeight="1">
      <c r="A12" s="21">
        <v>1985</v>
      </c>
      <c r="B12" s="21">
        <v>78</v>
      </c>
      <c r="C12" s="194" t="s">
        <v>549</v>
      </c>
      <c r="D12" s="185">
        <v>45757</v>
      </c>
      <c r="E12" s="178">
        <v>1020</v>
      </c>
      <c r="F12" s="33">
        <v>576</v>
      </c>
      <c r="G12" s="179">
        <f t="shared" si="0"/>
        <v>1.7708333333333333</v>
      </c>
      <c r="H12" s="183"/>
      <c r="I12" s="183"/>
      <c r="J12" s="183"/>
      <c r="K12" s="178">
        <v>1200</v>
      </c>
      <c r="L12" s="33">
        <v>864</v>
      </c>
      <c r="M12" s="179">
        <f>K12/L12</f>
        <v>1.3888888888888888</v>
      </c>
      <c r="N12" s="183"/>
      <c r="O12" s="183"/>
      <c r="P12" s="183"/>
      <c r="Q12" s="183"/>
      <c r="R12" s="183"/>
      <c r="S12" s="183"/>
    </row>
    <row r="13" spans="1:19" ht="15" customHeight="1">
      <c r="E13" s="30"/>
      <c r="K13" s="30"/>
      <c r="L13" s="30"/>
      <c r="M13" s="30"/>
      <c r="N13" s="30"/>
    </row>
    <row r="16" spans="1:19" ht="15" customHeight="1">
      <c r="A16" s="22" t="s">
        <v>573</v>
      </c>
    </row>
    <row r="18" spans="1:19" ht="15" customHeight="1">
      <c r="D18" s="159"/>
      <c r="E18" s="509" t="s">
        <v>532</v>
      </c>
      <c r="F18" s="484"/>
      <c r="G18" s="484"/>
      <c r="H18" s="510" t="s">
        <v>533</v>
      </c>
      <c r="I18" s="484"/>
      <c r="J18" s="484"/>
      <c r="K18" s="510" t="s">
        <v>534</v>
      </c>
      <c r="L18" s="484"/>
      <c r="M18" s="484"/>
      <c r="N18" s="510" t="s">
        <v>535</v>
      </c>
      <c r="O18" s="484"/>
      <c r="P18" s="484"/>
      <c r="Q18" s="508" t="s">
        <v>536</v>
      </c>
      <c r="R18" s="484"/>
      <c r="S18" s="484"/>
    </row>
    <row r="19" spans="1:19" ht="15" customHeight="1">
      <c r="A19" s="22" t="s">
        <v>540</v>
      </c>
      <c r="B19" s="22" t="s">
        <v>184</v>
      </c>
      <c r="C19" s="22" t="s">
        <v>541</v>
      </c>
      <c r="D19" s="22" t="s">
        <v>542</v>
      </c>
      <c r="E19" s="22" t="s">
        <v>9</v>
      </c>
      <c r="F19" s="22" t="s">
        <v>215</v>
      </c>
      <c r="G19" s="22" t="s">
        <v>543</v>
      </c>
      <c r="H19" s="22" t="s">
        <v>9</v>
      </c>
      <c r="I19" s="22" t="s">
        <v>215</v>
      </c>
      <c r="J19" s="22" t="s">
        <v>543</v>
      </c>
      <c r="K19" s="22" t="s">
        <v>9</v>
      </c>
      <c r="L19" s="22" t="s">
        <v>215</v>
      </c>
      <c r="M19" s="22" t="s">
        <v>543</v>
      </c>
      <c r="N19" s="22" t="s">
        <v>9</v>
      </c>
      <c r="O19" s="22" t="s">
        <v>215</v>
      </c>
      <c r="P19" s="22" t="s">
        <v>543</v>
      </c>
      <c r="Q19" s="22" t="s">
        <v>9</v>
      </c>
      <c r="R19" s="22" t="s">
        <v>215</v>
      </c>
      <c r="S19" s="22" t="s">
        <v>543</v>
      </c>
    </row>
    <row r="20" spans="1:19" ht="15" customHeight="1">
      <c r="A20" s="21">
        <v>1963</v>
      </c>
      <c r="B20" s="21">
        <v>127</v>
      </c>
      <c r="C20" s="169" t="s">
        <v>185</v>
      </c>
      <c r="D20" s="170">
        <v>45787</v>
      </c>
      <c r="E20" s="171">
        <v>1049</v>
      </c>
      <c r="F20" s="172">
        <v>650</v>
      </c>
      <c r="G20" s="173">
        <f t="shared" ref="G20:G25" si="4">E20/F20</f>
        <v>1.6138461538461539</v>
      </c>
      <c r="H20" s="171">
        <v>1149</v>
      </c>
      <c r="I20" s="172">
        <v>800</v>
      </c>
      <c r="J20" s="173">
        <f t="shared" ref="J20:J21" si="5">H20/I20</f>
        <v>1.43625</v>
      </c>
      <c r="K20" s="171">
        <v>1119</v>
      </c>
      <c r="L20" s="172">
        <v>850</v>
      </c>
      <c r="M20" s="173">
        <f>K20/L20</f>
        <v>1.3164705882352941</v>
      </c>
      <c r="N20" s="171">
        <v>1300</v>
      </c>
      <c r="O20" s="172">
        <v>850</v>
      </c>
      <c r="P20" s="174">
        <f t="shared" ref="P20:P22" si="6">N20/O20</f>
        <v>1.5294117647058822</v>
      </c>
      <c r="Q20" s="171">
        <v>1529</v>
      </c>
      <c r="R20" s="172">
        <v>1150</v>
      </c>
      <c r="S20" s="174">
        <f>Q20/R20</f>
        <v>1.3295652173913044</v>
      </c>
    </row>
    <row r="21" spans="1:19" ht="15" customHeight="1">
      <c r="A21" s="21">
        <v>1973</v>
      </c>
      <c r="B21" s="21">
        <v>207</v>
      </c>
      <c r="C21" s="176" t="s">
        <v>544</v>
      </c>
      <c r="D21" s="177">
        <v>45818</v>
      </c>
      <c r="E21" s="178">
        <v>1030</v>
      </c>
      <c r="F21" s="33">
        <v>680</v>
      </c>
      <c r="G21" s="179">
        <f t="shared" si="4"/>
        <v>1.5147058823529411</v>
      </c>
      <c r="H21" s="178">
        <v>1208</v>
      </c>
      <c r="I21" s="33">
        <v>900</v>
      </c>
      <c r="J21" s="179">
        <f t="shared" si="5"/>
        <v>1.3422222222222222</v>
      </c>
      <c r="K21" s="180"/>
      <c r="L21" s="33"/>
      <c r="M21" s="180"/>
      <c r="N21" s="180">
        <v>1589</v>
      </c>
      <c r="O21" s="181">
        <v>900</v>
      </c>
      <c r="P21" s="182">
        <f t="shared" si="6"/>
        <v>1.7655555555555555</v>
      </c>
      <c r="Q21" s="183"/>
      <c r="R21" s="184"/>
      <c r="S21" s="184"/>
    </row>
    <row r="22" spans="1:19" ht="15" customHeight="1">
      <c r="A22" s="21">
        <v>1963</v>
      </c>
      <c r="B22" s="21">
        <v>89</v>
      </c>
      <c r="C22" s="21" t="s">
        <v>545</v>
      </c>
      <c r="D22" s="185">
        <v>45787</v>
      </c>
      <c r="E22" s="30">
        <v>999</v>
      </c>
      <c r="F22" s="21">
        <v>650</v>
      </c>
      <c r="G22" s="31">
        <f t="shared" si="4"/>
        <v>1.5369230769230768</v>
      </c>
      <c r="H22" s="183"/>
      <c r="I22" s="184"/>
      <c r="J22" s="184"/>
      <c r="K22" s="30">
        <v>1135</v>
      </c>
      <c r="L22" s="21">
        <v>850</v>
      </c>
      <c r="M22" s="31">
        <f t="shared" ref="M22:M23" si="7">K22/L22</f>
        <v>1.3352941176470587</v>
      </c>
      <c r="N22" s="30">
        <v>1250</v>
      </c>
      <c r="O22" s="21">
        <v>850</v>
      </c>
      <c r="P22" s="174">
        <f t="shared" si="6"/>
        <v>1.4705882352941178</v>
      </c>
      <c r="Q22" s="183"/>
      <c r="R22" s="184"/>
      <c r="S22" s="184"/>
    </row>
    <row r="23" spans="1:19" ht="15" customHeight="1">
      <c r="A23" s="21">
        <v>1969</v>
      </c>
      <c r="B23" s="21">
        <v>133</v>
      </c>
      <c r="C23" s="33" t="s">
        <v>546</v>
      </c>
      <c r="D23" s="177">
        <v>45726</v>
      </c>
      <c r="E23" s="178">
        <v>825</v>
      </c>
      <c r="F23" s="33">
        <v>850</v>
      </c>
      <c r="G23" s="179">
        <f t="shared" si="4"/>
        <v>0.97058823529411764</v>
      </c>
      <c r="H23" s="183"/>
      <c r="I23" s="183"/>
      <c r="J23" s="183"/>
      <c r="K23" s="178">
        <v>1019</v>
      </c>
      <c r="L23" s="33">
        <v>1050</v>
      </c>
      <c r="M23" s="179">
        <f t="shared" si="7"/>
        <v>0.97047619047619049</v>
      </c>
      <c r="N23" s="183"/>
      <c r="O23" s="183"/>
      <c r="P23" s="183"/>
      <c r="Q23" s="183"/>
      <c r="R23" s="183"/>
      <c r="S23" s="183"/>
    </row>
    <row r="24" spans="1:19" ht="15" customHeight="1">
      <c r="A24" s="21">
        <v>1975</v>
      </c>
      <c r="B24" s="21">
        <v>176</v>
      </c>
      <c r="C24" s="186" t="s">
        <v>547</v>
      </c>
      <c r="D24" s="185">
        <v>45787</v>
      </c>
      <c r="E24" s="30">
        <v>999</v>
      </c>
      <c r="F24" s="21">
        <v>750</v>
      </c>
      <c r="G24" s="31">
        <f t="shared" si="4"/>
        <v>1.3320000000000001</v>
      </c>
      <c r="H24" s="30">
        <v>1299</v>
      </c>
      <c r="I24" s="21">
        <v>1050</v>
      </c>
      <c r="J24" s="31">
        <f>H24/I24</f>
        <v>1.2371428571428571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1:19" ht="15" customHeight="1">
      <c r="A25" s="21">
        <v>1985</v>
      </c>
      <c r="B25" s="21">
        <v>78</v>
      </c>
      <c r="C25" s="194" t="s">
        <v>549</v>
      </c>
      <c r="D25" s="185">
        <v>45757</v>
      </c>
      <c r="E25" s="178">
        <v>1020</v>
      </c>
      <c r="F25" s="33">
        <v>576</v>
      </c>
      <c r="G25" s="179">
        <f t="shared" si="4"/>
        <v>1.7708333333333333</v>
      </c>
      <c r="H25" s="183"/>
      <c r="I25" s="183"/>
      <c r="J25" s="183"/>
      <c r="K25" s="178">
        <v>1200</v>
      </c>
      <c r="L25" s="33">
        <v>864</v>
      </c>
      <c r="M25" s="179">
        <f>K25/L25</f>
        <v>1.3888888888888888</v>
      </c>
      <c r="N25" s="183"/>
      <c r="O25" s="183"/>
      <c r="P25" s="183"/>
      <c r="Q25" s="183"/>
      <c r="R25" s="183"/>
      <c r="S25" s="183"/>
    </row>
  </sheetData>
  <mergeCells count="10">
    <mergeCell ref="Q5:S5"/>
    <mergeCell ref="E18:G18"/>
    <mergeCell ref="H18:J18"/>
    <mergeCell ref="Q18:S18"/>
    <mergeCell ref="K18:M18"/>
    <mergeCell ref="N18:P18"/>
    <mergeCell ref="E5:G5"/>
    <mergeCell ref="H5:J5"/>
    <mergeCell ref="K5:M5"/>
    <mergeCell ref="N5:P5"/>
  </mergeCells>
  <hyperlinks>
    <hyperlink ref="C8" r:id="rId1" xr:uid="{00000000-0004-0000-0B00-000000000000}"/>
    <hyperlink ref="C11" r:id="rId2" xr:uid="{00000000-0004-0000-0B00-000001000000}"/>
    <hyperlink ref="C12" r:id="rId3" xr:uid="{00000000-0004-0000-0B00-000002000000}"/>
    <hyperlink ref="C21" r:id="rId4" xr:uid="{00000000-0004-0000-0B00-000003000000}"/>
    <hyperlink ref="C24" r:id="rId5" xr:uid="{00000000-0004-0000-0B00-000004000000}"/>
    <hyperlink ref="C25" r:id="rId6" xr:uid="{00000000-0004-0000-0B00-000005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AC212"/>
  <sheetViews>
    <sheetView topLeftCell="A17" workbookViewId="0">
      <pane xSplit="7" ySplit="22" topLeftCell="H39" activePane="bottomRight" state="frozen"/>
      <selection activeCell="A17" sqref="A17"/>
      <selection pane="topRight" activeCell="H17" sqref="H17"/>
      <selection pane="bottomLeft" activeCell="A39" sqref="A39"/>
      <selection pane="bottomRight" activeCell="I31" sqref="I31"/>
    </sheetView>
  </sheetViews>
  <sheetFormatPr baseColWidth="10" defaultColWidth="12.6640625" defaultRowHeight="15" customHeight="1" outlineLevelRow="2" outlineLevelCol="1"/>
  <cols>
    <col min="1" max="1" width="65.6640625" customWidth="1"/>
    <col min="2" max="10" width="12.6640625" outlineLevel="1"/>
    <col min="13" max="13" width="13" bestFit="1" customWidth="1"/>
    <col min="14" max="14" width="13" customWidth="1"/>
    <col min="15" max="15" width="13.83203125" bestFit="1" customWidth="1"/>
    <col min="16" max="17" width="29.1640625" customWidth="1"/>
    <col min="18" max="18" width="24.1640625" customWidth="1"/>
    <col min="19" max="19" width="15.6640625" customWidth="1"/>
    <col min="21" max="22" width="37.1640625" customWidth="1"/>
    <col min="23" max="23" width="10.1640625" customWidth="1"/>
  </cols>
  <sheetData>
    <row r="1" spans="1:29" ht="15" hidden="1" customHeight="1">
      <c r="V1" s="260">
        <v>45931</v>
      </c>
      <c r="W1" s="261">
        <v>45962</v>
      </c>
      <c r="X1" s="233" t="s">
        <v>464</v>
      </c>
      <c r="Y1" s="233" t="s">
        <v>591</v>
      </c>
    </row>
    <row r="2" spans="1:29" ht="23" hidden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83"/>
      <c r="U2" s="84" t="s">
        <v>194</v>
      </c>
      <c r="V2" s="85">
        <f>L104+L105+L106+L107+L108+L109+L110+L111</f>
        <v>3631</v>
      </c>
      <c r="W2" s="85">
        <f>(M104+M105+M106+M107+M108+M109+M110+M111)</f>
        <v>3812</v>
      </c>
      <c r="X2" s="85">
        <f>O104+O105+O106+O107+O108+O109+O110+O111</f>
        <v>31392.720000000001</v>
      </c>
      <c r="Y2" s="85">
        <f>W2*12</f>
        <v>45744</v>
      </c>
      <c r="Z2" s="83"/>
      <c r="AA2" s="83"/>
      <c r="AB2" s="83"/>
      <c r="AC2" s="83"/>
    </row>
    <row r="3" spans="1:29" ht="23" hidden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83"/>
      <c r="U3" s="84" t="s">
        <v>197</v>
      </c>
      <c r="V3" s="85">
        <f>L129+L131+L132+L133+L134+L135+L136+L137+L123+L124</f>
        <v>6251.9699999999993</v>
      </c>
      <c r="W3" s="85">
        <f>M129+M131+M132+M133+M134+M135+M136+M137+M123+M124</f>
        <v>7348.5999999999995</v>
      </c>
      <c r="X3" s="85">
        <f>O129+O131+O132+O133+O134+O135+O136+O137+O123+O124</f>
        <v>66947.01999999999</v>
      </c>
      <c r="Y3" s="85">
        <f>W3*12</f>
        <v>88183.2</v>
      </c>
      <c r="Z3" s="83"/>
      <c r="AA3" s="83"/>
      <c r="AB3" s="83"/>
      <c r="AC3" s="83"/>
    </row>
    <row r="4" spans="1:29" ht="23" hidden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83"/>
      <c r="U4" s="84" t="s">
        <v>276</v>
      </c>
      <c r="V4" s="85">
        <f>L100+L114+L115+L116+L117+L118+L119+L120+L121+L122+L125+L128+L130</f>
        <v>4187.5899999999992</v>
      </c>
      <c r="W4" s="85">
        <f>M100+M114+M115+M116+M117+M118+M119+M120+M121+M122+M125+M128+M130</f>
        <v>6685.7999999999993</v>
      </c>
      <c r="X4" s="85">
        <f>O100+O114+O115+O116+O117+O118+O119+O120+O121+O122+O125+O128+O130</f>
        <v>66031.47</v>
      </c>
      <c r="Y4" s="85">
        <f>W4*12</f>
        <v>80229.599999999991</v>
      </c>
      <c r="Z4" s="83"/>
      <c r="AA4" s="83"/>
      <c r="AB4" s="83"/>
      <c r="AC4" s="83"/>
    </row>
    <row r="5" spans="1:29" ht="23" hidden="1">
      <c r="A5" s="513" t="s">
        <v>277</v>
      </c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74"/>
      <c r="Q5" s="74"/>
      <c r="R5" s="74"/>
      <c r="S5" s="74"/>
      <c r="T5" s="83"/>
      <c r="U5" s="84" t="s">
        <v>278</v>
      </c>
      <c r="V5" s="85">
        <f>L95+L96+L97+L98+L99+L101</f>
        <v>2705.01</v>
      </c>
      <c r="W5" s="85">
        <f>M95+M96+M97+M98+M99+M101</f>
        <v>1258.46</v>
      </c>
      <c r="X5" s="85">
        <f>O95+O96+O97+O98+O99+O101</f>
        <v>40300.19</v>
      </c>
      <c r="Y5" s="85">
        <f>W5*12</f>
        <v>15101.52</v>
      </c>
      <c r="Z5" s="83"/>
      <c r="AA5" s="83"/>
      <c r="AB5" s="83"/>
      <c r="AC5" s="83"/>
    </row>
    <row r="6" spans="1:29" ht="23" hidden="1">
      <c r="A6" s="514" t="s">
        <v>279</v>
      </c>
      <c r="B6" s="484"/>
      <c r="C6" s="484"/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74"/>
      <c r="Q6" s="74"/>
      <c r="R6" s="74"/>
      <c r="S6" s="74"/>
      <c r="U6" s="86" t="s">
        <v>49</v>
      </c>
      <c r="V6" s="87"/>
      <c r="W6" s="87"/>
      <c r="X6" s="87"/>
    </row>
    <row r="7" spans="1:29" ht="23" hidden="1">
      <c r="A7" s="512"/>
      <c r="B7" s="484"/>
      <c r="C7" s="484"/>
      <c r="D7" s="484"/>
      <c r="E7" s="484"/>
      <c r="F7" s="484"/>
      <c r="G7" s="484"/>
      <c r="H7" s="484"/>
      <c r="I7" s="484"/>
      <c r="J7" s="484"/>
      <c r="K7" s="484"/>
      <c r="L7" s="484"/>
      <c r="M7" s="484"/>
      <c r="N7" s="484"/>
      <c r="O7" s="484"/>
      <c r="P7" s="74"/>
      <c r="Q7" s="74"/>
      <c r="R7" s="74"/>
      <c r="S7" s="74"/>
      <c r="U7" s="86" t="s">
        <v>280</v>
      </c>
      <c r="V7" s="88">
        <f>L140+L141+L144+L145</f>
        <v>2316.8000000000002</v>
      </c>
      <c r="W7" s="88">
        <f>M140+M141+M144+M145</f>
        <v>2070.33</v>
      </c>
      <c r="X7" s="88">
        <f>O140+O141+O144+O145</f>
        <v>34323.46</v>
      </c>
      <c r="Y7" s="85">
        <f>W7*12</f>
        <v>24843.96</v>
      </c>
    </row>
    <row r="8" spans="1:29" ht="23" hidden="1">
      <c r="A8" s="511" t="s">
        <v>281</v>
      </c>
      <c r="B8" s="484"/>
      <c r="C8" s="484"/>
      <c r="D8" s="484"/>
      <c r="E8" s="484"/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74"/>
      <c r="Q8" s="74"/>
      <c r="R8" s="74"/>
      <c r="S8" s="74"/>
      <c r="U8" s="84" t="s">
        <v>282</v>
      </c>
      <c r="V8" s="89"/>
      <c r="W8" s="89"/>
      <c r="X8" s="89"/>
    </row>
    <row r="9" spans="1:29" ht="23" hidden="1">
      <c r="A9" s="511" t="s">
        <v>283</v>
      </c>
      <c r="B9" s="484"/>
      <c r="C9" s="484"/>
      <c r="D9" s="484"/>
      <c r="E9" s="484"/>
      <c r="F9" s="484"/>
      <c r="G9" s="484"/>
      <c r="H9" s="484"/>
      <c r="I9" s="484"/>
      <c r="J9" s="484"/>
      <c r="K9" s="484"/>
      <c r="L9" s="484"/>
      <c r="M9" s="484"/>
      <c r="N9" s="484"/>
      <c r="O9" s="484"/>
      <c r="P9" s="74"/>
      <c r="Q9" s="74"/>
      <c r="R9" s="74"/>
      <c r="S9" s="74"/>
      <c r="U9" s="86" t="s">
        <v>284</v>
      </c>
      <c r="V9" s="88">
        <f>L142+L143+L146</f>
        <v>3651.08</v>
      </c>
      <c r="W9" s="88">
        <f>M142+M143+M146</f>
        <v>4249.79</v>
      </c>
      <c r="X9" s="88">
        <f>O142+O143+O146</f>
        <v>41380.97</v>
      </c>
      <c r="Y9" s="85">
        <f t="shared" ref="Y9:Y16" si="0">W9*12</f>
        <v>50997.479999999996</v>
      </c>
    </row>
    <row r="10" spans="1:29" ht="23" hidden="1">
      <c r="A10" s="511" t="s">
        <v>285</v>
      </c>
      <c r="B10" s="484"/>
      <c r="C10" s="484"/>
      <c r="D10" s="484"/>
      <c r="E10" s="484"/>
      <c r="F10" s="484"/>
      <c r="G10" s="484"/>
      <c r="H10" s="484"/>
      <c r="I10" s="484"/>
      <c r="J10" s="484"/>
      <c r="K10" s="484"/>
      <c r="L10" s="484"/>
      <c r="M10" s="484"/>
      <c r="N10" s="484"/>
      <c r="O10" s="484"/>
      <c r="P10" s="74"/>
      <c r="Q10" s="74"/>
      <c r="R10" s="74"/>
      <c r="S10" s="74"/>
      <c r="U10" s="84" t="s">
        <v>286</v>
      </c>
      <c r="V10" s="85">
        <f>L70+L71+L72+L73+L75+L76+L77+L78+L79+L81+L82+L83+L84+L85+L86+L87+L89+L90+L91+L92+L160</f>
        <v>2867.2699999999995</v>
      </c>
      <c r="W10" s="85">
        <f>M70+M71+M72+M73+M75+M76+M77+M78+M79+M81+M82+M83+M84+M85+M86+M87+M89+M90+M91+M92+M160</f>
        <v>1811.02</v>
      </c>
      <c r="X10" s="85">
        <f>O70+O71+O72+O73+O75+O76+O77+O78+O79+O81+O82+O83+O84+O85+O86+O87+O89+O90+O91+O92+O160</f>
        <v>52530.159999999996</v>
      </c>
      <c r="Y10" s="85">
        <f t="shared" si="0"/>
        <v>21732.239999999998</v>
      </c>
    </row>
    <row r="11" spans="1:29" ht="23" hidden="1">
      <c r="A11" s="511" t="s">
        <v>287</v>
      </c>
      <c r="B11" s="484"/>
      <c r="C11" s="484"/>
      <c r="D11" s="484"/>
      <c r="E11" s="484"/>
      <c r="F11" s="484"/>
      <c r="G11" s="484"/>
      <c r="H11" s="484"/>
      <c r="I11" s="484"/>
      <c r="J11" s="484"/>
      <c r="K11" s="484"/>
      <c r="L11" s="484"/>
      <c r="M11" s="484"/>
      <c r="N11" s="484"/>
      <c r="O11" s="484"/>
      <c r="P11" s="74"/>
      <c r="Q11" s="74"/>
      <c r="R11" s="74"/>
      <c r="S11" s="74"/>
      <c r="U11" s="84" t="s">
        <v>245</v>
      </c>
      <c r="V11" s="85">
        <f>L149</f>
        <v>20353.189999999999</v>
      </c>
      <c r="W11" s="85">
        <f>M149</f>
        <v>20353.189999999999</v>
      </c>
      <c r="X11" s="85">
        <f t="shared" ref="X11:X12" si="1">O149</f>
        <v>206902.04</v>
      </c>
      <c r="Y11" s="85">
        <f t="shared" si="0"/>
        <v>244238.27999999997</v>
      </c>
    </row>
    <row r="12" spans="1:29" ht="23" hidden="1">
      <c r="A12" s="511" t="s">
        <v>288</v>
      </c>
      <c r="B12" s="484"/>
      <c r="C12" s="484"/>
      <c r="D12" s="484"/>
      <c r="E12" s="484"/>
      <c r="F12" s="484"/>
      <c r="G12" s="484"/>
      <c r="H12" s="484"/>
      <c r="I12" s="484"/>
      <c r="J12" s="484"/>
      <c r="K12" s="484"/>
      <c r="L12" s="484"/>
      <c r="M12" s="484"/>
      <c r="N12" s="484"/>
      <c r="O12" s="484"/>
      <c r="P12" s="74"/>
      <c r="Q12" s="74"/>
      <c r="R12" s="74"/>
      <c r="S12" s="74"/>
      <c r="U12" s="84" t="s">
        <v>289</v>
      </c>
      <c r="V12" s="85">
        <f>L150</f>
        <v>15688.81</v>
      </c>
      <c r="W12" s="85">
        <f>M150</f>
        <v>8165.67</v>
      </c>
      <c r="X12" s="85">
        <f t="shared" si="1"/>
        <v>164042.76</v>
      </c>
      <c r="Y12" s="85">
        <f t="shared" si="0"/>
        <v>97988.040000000008</v>
      </c>
    </row>
    <row r="13" spans="1:29" ht="23" hidden="1">
      <c r="A13" s="511" t="s">
        <v>290</v>
      </c>
      <c r="B13" s="484"/>
      <c r="C13" s="484"/>
      <c r="D13" s="484"/>
      <c r="E13" s="484"/>
      <c r="F13" s="484"/>
      <c r="G13" s="484"/>
      <c r="H13" s="484"/>
      <c r="I13" s="484"/>
      <c r="J13" s="484"/>
      <c r="K13" s="484"/>
      <c r="L13" s="484"/>
      <c r="M13" s="484"/>
      <c r="N13" s="484"/>
      <c r="O13" s="484"/>
      <c r="P13" s="74"/>
      <c r="Q13" s="74"/>
      <c r="R13" s="74"/>
      <c r="S13" s="74"/>
      <c r="U13" s="84" t="s">
        <v>291</v>
      </c>
      <c r="V13" s="85">
        <f>L74+L80</f>
        <v>102</v>
      </c>
      <c r="W13" s="85">
        <f>M74+M80</f>
        <v>0</v>
      </c>
      <c r="X13" s="85">
        <f>O74+O80</f>
        <v>3951.5</v>
      </c>
      <c r="Y13" s="85">
        <f t="shared" si="0"/>
        <v>0</v>
      </c>
    </row>
    <row r="14" spans="1:29" ht="23" hidden="1">
      <c r="A14" s="511" t="s">
        <v>292</v>
      </c>
      <c r="B14" s="484"/>
      <c r="C14" s="484"/>
      <c r="D14" s="484"/>
      <c r="E14" s="484"/>
      <c r="F14" s="484"/>
      <c r="G14" s="484"/>
      <c r="H14" s="484"/>
      <c r="I14" s="484"/>
      <c r="J14" s="484"/>
      <c r="K14" s="484"/>
      <c r="L14" s="484"/>
      <c r="M14" s="484"/>
      <c r="N14" s="484"/>
      <c r="O14" s="484"/>
      <c r="P14" s="74"/>
      <c r="Q14" s="74"/>
      <c r="R14" s="74"/>
      <c r="S14" s="74"/>
      <c r="U14" s="84" t="s">
        <v>201</v>
      </c>
      <c r="V14" s="85">
        <f>L154+L155+L156+L157+L158+L159+L161+L162+L163+L164+L165+L166+L153</f>
        <v>15074.269999999999</v>
      </c>
      <c r="W14" s="85">
        <f>M154+M155+M156+M157+M158+M159+M161+M162+M163+M164+M165+M166+M153</f>
        <v>12137.079999999998</v>
      </c>
      <c r="X14" s="85">
        <f>O154+O155+O156+O157+O158+O159+O161+O162+O163+O164+O165+O166+O153</f>
        <v>96128.709999999992</v>
      </c>
      <c r="Y14" s="85">
        <f t="shared" si="0"/>
        <v>145644.95999999996</v>
      </c>
    </row>
    <row r="15" spans="1:29" ht="23" hidden="1">
      <c r="A15" s="511" t="s">
        <v>293</v>
      </c>
      <c r="B15" s="484"/>
      <c r="C15" s="484"/>
      <c r="D15" s="484"/>
      <c r="E15" s="484"/>
      <c r="F15" s="484"/>
      <c r="G15" s="484"/>
      <c r="H15" s="484"/>
      <c r="I15" s="484"/>
      <c r="J15" s="484"/>
      <c r="K15" s="484"/>
      <c r="L15" s="484"/>
      <c r="M15" s="484"/>
      <c r="N15" s="484"/>
      <c r="O15" s="484"/>
      <c r="P15" s="74"/>
      <c r="Q15" s="74"/>
      <c r="R15" s="74"/>
      <c r="S15" s="74"/>
      <c r="U15" s="84" t="s">
        <v>294</v>
      </c>
      <c r="V15" s="85">
        <f>L64+L65+L66+L69+L88</f>
        <v>4500</v>
      </c>
      <c r="W15" s="85">
        <f>M64+M65+M66+M69+M88</f>
        <v>4500</v>
      </c>
      <c r="X15" s="85">
        <f>O64+O65+O66+O69+O88</f>
        <v>126907.18</v>
      </c>
      <c r="Y15" s="85">
        <f t="shared" si="0"/>
        <v>54000</v>
      </c>
    </row>
    <row r="16" spans="1:29" ht="23" hidden="1">
      <c r="A16" s="512"/>
      <c r="B16" s="484"/>
      <c r="C16" s="484"/>
      <c r="D16" s="484"/>
      <c r="E16" s="484"/>
      <c r="F16" s="484"/>
      <c r="G16" s="484"/>
      <c r="H16" s="484"/>
      <c r="I16" s="484"/>
      <c r="J16" s="484"/>
      <c r="K16" s="484"/>
      <c r="L16" s="484"/>
      <c r="M16" s="484"/>
      <c r="N16" s="484"/>
      <c r="O16" s="484"/>
      <c r="P16" s="74"/>
      <c r="Q16" s="74"/>
      <c r="R16" s="74"/>
      <c r="S16" s="74"/>
      <c r="U16" s="84" t="s">
        <v>295</v>
      </c>
      <c r="V16" s="89">
        <v>0</v>
      </c>
      <c r="W16" s="89">
        <v>0</v>
      </c>
      <c r="X16" s="89">
        <v>0</v>
      </c>
      <c r="Y16" s="85">
        <f t="shared" si="0"/>
        <v>0</v>
      </c>
    </row>
    <row r="17" spans="1:25" ht="17">
      <c r="A17" s="75" t="s">
        <v>1</v>
      </c>
      <c r="B17" s="90">
        <v>45627</v>
      </c>
      <c r="C17" s="90">
        <v>45658</v>
      </c>
      <c r="D17" s="90">
        <v>45689</v>
      </c>
      <c r="E17" s="90">
        <v>45717</v>
      </c>
      <c r="F17" s="90">
        <v>45748</v>
      </c>
      <c r="G17" s="91">
        <v>45778</v>
      </c>
      <c r="H17" s="90">
        <v>45809</v>
      </c>
      <c r="I17" s="90">
        <v>45839</v>
      </c>
      <c r="J17" s="90">
        <v>45870</v>
      </c>
      <c r="K17" s="90">
        <v>45901</v>
      </c>
      <c r="L17" s="90">
        <v>45931</v>
      </c>
      <c r="M17" s="90">
        <v>45962</v>
      </c>
      <c r="N17" s="90" t="s">
        <v>690</v>
      </c>
      <c r="O17" s="75" t="s">
        <v>5</v>
      </c>
      <c r="P17" s="75" t="s">
        <v>296</v>
      </c>
      <c r="Q17" s="75" t="s">
        <v>590</v>
      </c>
      <c r="R17" s="75" t="s">
        <v>297</v>
      </c>
      <c r="S17" s="75" t="s">
        <v>298</v>
      </c>
      <c r="U17" s="92" t="s">
        <v>299</v>
      </c>
      <c r="V17" s="93">
        <f>SUM(V2:V16)</f>
        <v>81328.989999999991</v>
      </c>
      <c r="W17" s="93">
        <f>SUM(W2:W16)</f>
        <v>72391.939999999988</v>
      </c>
      <c r="X17" s="93">
        <f>SUM(X2:X16)</f>
        <v>930838.17999999993</v>
      </c>
      <c r="Y17" s="93">
        <f>SUM(Y2:Y16)</f>
        <v>868703.27999999991</v>
      </c>
    </row>
    <row r="18" spans="1:25" ht="16">
      <c r="A18" s="11" t="s">
        <v>224</v>
      </c>
      <c r="B18" s="77">
        <v>144721.54999999999</v>
      </c>
      <c r="C18" s="77">
        <v>146896.53</v>
      </c>
      <c r="D18" s="77">
        <v>147357.5</v>
      </c>
      <c r="E18" s="77">
        <v>147078</v>
      </c>
      <c r="F18" s="77">
        <v>147078</v>
      </c>
      <c r="G18" s="77">
        <v>147078</v>
      </c>
      <c r="H18" s="77">
        <v>154421</v>
      </c>
      <c r="I18" s="77">
        <v>155067.12</v>
      </c>
      <c r="J18" s="77">
        <v>142265.39000000001</v>
      </c>
      <c r="K18" s="77">
        <v>136185.29999999999</v>
      </c>
      <c r="L18" s="77">
        <v>139780.78</v>
      </c>
      <c r="M18" s="77">
        <v>143362</v>
      </c>
      <c r="N18" s="251">
        <v>143362</v>
      </c>
      <c r="O18" s="77">
        <v>1751291.17</v>
      </c>
      <c r="P18" s="94">
        <f t="shared" ref="P18:P24" si="2">SUM(K18:M18)*4</f>
        <v>1677312.3199999998</v>
      </c>
      <c r="Q18" s="94">
        <f>SUM(H18:M18)*2</f>
        <v>1742163.1800000002</v>
      </c>
    </row>
    <row r="19" spans="1:25" ht="16">
      <c r="A19" s="11" t="s">
        <v>225</v>
      </c>
      <c r="B19" s="95">
        <v>-7553.26</v>
      </c>
      <c r="C19" s="95">
        <v>-9302.8799999999992</v>
      </c>
      <c r="D19" s="95">
        <v>-7219.92</v>
      </c>
      <c r="E19" s="95">
        <v>-11409.39</v>
      </c>
      <c r="F19" s="95">
        <v>-7196.23</v>
      </c>
      <c r="G19" s="95">
        <v>-8458.77</v>
      </c>
      <c r="H19" s="95">
        <v>-15965.57</v>
      </c>
      <c r="I19" s="95">
        <v>-3498.54</v>
      </c>
      <c r="J19" s="95">
        <v>-1535.7</v>
      </c>
      <c r="K19" s="76">
        <v>856.42</v>
      </c>
      <c r="L19" s="79">
        <v>-158.9</v>
      </c>
      <c r="M19" s="95">
        <v>-1700.4</v>
      </c>
      <c r="N19" s="251">
        <v>-4847.1099999999997</v>
      </c>
      <c r="O19" s="95">
        <v>-73143.14</v>
      </c>
      <c r="P19" s="31">
        <f t="shared" si="2"/>
        <v>-4011.5200000000004</v>
      </c>
      <c r="Q19" s="31">
        <f t="shared" ref="Q19:Q25" si="3">SUM(I19:M19)*2</f>
        <v>-12074.239999999998</v>
      </c>
      <c r="R19" s="79"/>
    </row>
    <row r="20" spans="1:25" ht="16">
      <c r="A20" s="11" t="s">
        <v>226</v>
      </c>
      <c r="B20" s="79">
        <v>-100</v>
      </c>
      <c r="C20" s="79">
        <v>-700</v>
      </c>
      <c r="D20" s="95">
        <v>-1200</v>
      </c>
      <c r="E20" s="79">
        <v>-320</v>
      </c>
      <c r="F20" s="79">
        <v>-200</v>
      </c>
      <c r="G20" s="95">
        <v>-1849</v>
      </c>
      <c r="H20" s="95">
        <v>-1659</v>
      </c>
      <c r="I20" s="95">
        <v>-1409</v>
      </c>
      <c r="J20" s="95">
        <v>-5855</v>
      </c>
      <c r="K20" s="95">
        <v>-17016.5</v>
      </c>
      <c r="L20" s="95">
        <v>-19220.5</v>
      </c>
      <c r="M20" s="95">
        <v>-11589.99</v>
      </c>
      <c r="N20" s="251">
        <v>-609</v>
      </c>
      <c r="O20" s="95">
        <v>-61118.99</v>
      </c>
      <c r="P20" s="31">
        <f t="shared" si="2"/>
        <v>-191307.96</v>
      </c>
      <c r="Q20" s="31">
        <f t="shared" si="3"/>
        <v>-110181.98</v>
      </c>
      <c r="R20" s="95"/>
    </row>
    <row r="21" spans="1:25" ht="16">
      <c r="A21" s="11" t="s">
        <v>227</v>
      </c>
      <c r="B21" s="76">
        <v>0</v>
      </c>
      <c r="C21" s="76">
        <v>0</v>
      </c>
      <c r="D21" s="76">
        <v>0</v>
      </c>
      <c r="E21" s="76">
        <v>0</v>
      </c>
      <c r="F21" s="76">
        <v>0</v>
      </c>
      <c r="G21" s="76">
        <v>0</v>
      </c>
      <c r="H21" s="79">
        <v>-200</v>
      </c>
      <c r="I21" s="79">
        <v>-200</v>
      </c>
      <c r="J21" s="79">
        <v>-200</v>
      </c>
      <c r="K21" s="79">
        <v>-200</v>
      </c>
      <c r="L21" s="79">
        <v>-200</v>
      </c>
      <c r="M21" s="79">
        <v>-100</v>
      </c>
      <c r="N21" s="251">
        <v>-100</v>
      </c>
      <c r="O21" s="95">
        <v>-1100</v>
      </c>
      <c r="P21" s="31">
        <f t="shared" si="2"/>
        <v>-2000</v>
      </c>
      <c r="Q21" s="31">
        <f t="shared" si="3"/>
        <v>-1800</v>
      </c>
      <c r="R21" s="79"/>
    </row>
    <row r="22" spans="1:25" ht="16">
      <c r="A22" s="11" t="s">
        <v>228</v>
      </c>
      <c r="B22" s="76">
        <v>0</v>
      </c>
      <c r="C22" s="76">
        <v>0</v>
      </c>
      <c r="D22" s="76">
        <v>0</v>
      </c>
      <c r="E22" s="76">
        <v>0</v>
      </c>
      <c r="F22" s="76">
        <v>0</v>
      </c>
      <c r="G22" s="76">
        <v>0</v>
      </c>
      <c r="H22" s="76">
        <v>0</v>
      </c>
      <c r="I22" s="76">
        <v>0</v>
      </c>
      <c r="J22" s="76">
        <v>0</v>
      </c>
      <c r="K22" s="79">
        <v>-210</v>
      </c>
      <c r="L22" s="79">
        <v>-210</v>
      </c>
      <c r="M22" s="79">
        <v>-210</v>
      </c>
      <c r="N22" s="251">
        <v>-210</v>
      </c>
      <c r="O22" s="79">
        <v>-630</v>
      </c>
      <c r="P22" s="31">
        <f t="shared" si="2"/>
        <v>-2520</v>
      </c>
      <c r="Q22" s="31">
        <f t="shared" si="3"/>
        <v>-1260</v>
      </c>
      <c r="R22" s="79"/>
    </row>
    <row r="23" spans="1:25" ht="16">
      <c r="A23" s="11" t="s">
        <v>229</v>
      </c>
      <c r="B23" s="95">
        <v>-29499.93</v>
      </c>
      <c r="C23" s="95">
        <v>-25913.5</v>
      </c>
      <c r="D23" s="95">
        <v>-24560.58</v>
      </c>
      <c r="E23" s="95">
        <v>-19223.61</v>
      </c>
      <c r="F23" s="95">
        <v>-25112.77</v>
      </c>
      <c r="G23" s="95">
        <v>-26229.23</v>
      </c>
      <c r="H23" s="95">
        <v>-29901.46</v>
      </c>
      <c r="I23" s="95">
        <v>-37429.9</v>
      </c>
      <c r="J23" s="95">
        <v>-34280.94</v>
      </c>
      <c r="K23" s="95">
        <v>-17406.099999999999</v>
      </c>
      <c r="L23" s="95">
        <v>-5336.53</v>
      </c>
      <c r="M23" s="95">
        <v>-8718.07</v>
      </c>
      <c r="N23" s="251">
        <v>-6599.14</v>
      </c>
      <c r="O23" s="95">
        <v>-283612.62</v>
      </c>
      <c r="P23" s="31">
        <f t="shared" si="2"/>
        <v>-125842.79999999999</v>
      </c>
      <c r="Q23" s="31">
        <f t="shared" si="3"/>
        <v>-206343.08000000002</v>
      </c>
    </row>
    <row r="24" spans="1:25" ht="16">
      <c r="A24" s="11" t="s">
        <v>230</v>
      </c>
      <c r="B24" s="79">
        <v>-400</v>
      </c>
      <c r="C24" s="95">
        <v>-22098.2</v>
      </c>
      <c r="D24" s="95">
        <v>-1006</v>
      </c>
      <c r="E24" s="95">
        <v>-20742.650000000001</v>
      </c>
      <c r="F24" s="95">
        <v>-26539.02</v>
      </c>
      <c r="G24" s="76">
        <v>0</v>
      </c>
      <c r="H24" s="76">
        <v>0</v>
      </c>
      <c r="I24" s="95">
        <v>-3968</v>
      </c>
      <c r="J24" s="76">
        <v>0</v>
      </c>
      <c r="K24" s="95">
        <v>-16661.189999999999</v>
      </c>
      <c r="L24" s="95">
        <v>-11674.07</v>
      </c>
      <c r="M24" s="76">
        <v>0</v>
      </c>
      <c r="N24" s="251">
        <v>-14340</v>
      </c>
      <c r="O24" s="95">
        <v>-103089.13</v>
      </c>
      <c r="P24" s="31">
        <f t="shared" si="2"/>
        <v>-113341.04</v>
      </c>
      <c r="Q24" s="31">
        <f t="shared" si="3"/>
        <v>-64606.52</v>
      </c>
      <c r="R24" s="95"/>
    </row>
    <row r="25" spans="1:25" ht="16">
      <c r="A25" s="9" t="s">
        <v>187</v>
      </c>
      <c r="B25" s="96">
        <v>107168.36</v>
      </c>
      <c r="C25" s="96">
        <v>88881.95</v>
      </c>
      <c r="D25" s="96">
        <v>113371</v>
      </c>
      <c r="E25" s="96">
        <v>95382.35</v>
      </c>
      <c r="F25" s="96">
        <v>88029.98</v>
      </c>
      <c r="G25" s="96">
        <v>110541</v>
      </c>
      <c r="H25" s="96">
        <v>106694.97</v>
      </c>
      <c r="I25" s="96">
        <v>108561.68</v>
      </c>
      <c r="J25" s="96">
        <v>100393.75</v>
      </c>
      <c r="K25" s="96">
        <v>85547.93</v>
      </c>
      <c r="L25" s="96">
        <v>102980.78</v>
      </c>
      <c r="M25" s="96">
        <v>121043.54</v>
      </c>
      <c r="N25" s="415">
        <v>116656.75</v>
      </c>
      <c r="O25" s="96">
        <v>1228597.29</v>
      </c>
      <c r="P25" s="30">
        <f>SUM(P18:P24)</f>
        <v>1238288.9999999998</v>
      </c>
      <c r="Q25" s="31">
        <f t="shared" si="3"/>
        <v>1037055.36</v>
      </c>
    </row>
    <row r="26" spans="1:25" ht="16">
      <c r="A26" s="9" t="s">
        <v>301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25" ht="16">
      <c r="A27" s="11" t="s">
        <v>302</v>
      </c>
      <c r="B27" s="77">
        <v>1274</v>
      </c>
      <c r="C27" s="77">
        <v>1218</v>
      </c>
      <c r="D27" s="76">
        <v>0</v>
      </c>
      <c r="E27" s="76">
        <v>0</v>
      </c>
      <c r="F27" s="76">
        <v>0</v>
      </c>
      <c r="G27" s="76">
        <v>0</v>
      </c>
      <c r="H27" s="76">
        <v>0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251">
        <v>0</v>
      </c>
      <c r="O27" s="77">
        <v>2492</v>
      </c>
      <c r="P27" s="97">
        <f t="shared" ref="P27:P61" si="4">SUM(K27:M27)*4</f>
        <v>0</v>
      </c>
      <c r="Q27" s="31">
        <f t="shared" ref="Q27:Q61" si="5">SUM(I27:M27)*2</f>
        <v>0</v>
      </c>
    </row>
    <row r="28" spans="1:25" ht="16">
      <c r="A28" s="11" t="s">
        <v>303</v>
      </c>
      <c r="B28" s="76">
        <v>0</v>
      </c>
      <c r="C28" s="76">
        <v>165</v>
      </c>
      <c r="D28" s="76">
        <v>275</v>
      </c>
      <c r="E28" s="76">
        <v>385</v>
      </c>
      <c r="F28" s="76">
        <v>55</v>
      </c>
      <c r="G28" s="76">
        <v>55</v>
      </c>
      <c r="H28" s="76">
        <v>0</v>
      </c>
      <c r="I28" s="76">
        <v>150</v>
      </c>
      <c r="J28" s="76">
        <v>0</v>
      </c>
      <c r="K28" s="79">
        <v>-75</v>
      </c>
      <c r="L28" s="79">
        <v>-75</v>
      </c>
      <c r="M28" s="76">
        <v>80</v>
      </c>
      <c r="N28" s="251">
        <v>80</v>
      </c>
      <c r="O28" s="77">
        <v>1015</v>
      </c>
      <c r="P28" s="97">
        <f t="shared" si="4"/>
        <v>-280</v>
      </c>
      <c r="Q28" s="31">
        <f t="shared" si="5"/>
        <v>160</v>
      </c>
    </row>
    <row r="29" spans="1:25" ht="16">
      <c r="A29" s="11" t="s">
        <v>304</v>
      </c>
      <c r="B29" s="77">
        <v>2414.8000000000002</v>
      </c>
      <c r="C29" s="77">
        <v>2981</v>
      </c>
      <c r="D29" s="77">
        <v>3381.7</v>
      </c>
      <c r="E29" s="77">
        <v>3761.8</v>
      </c>
      <c r="F29" s="77">
        <v>3081.7</v>
      </c>
      <c r="G29" s="77">
        <v>3111.8</v>
      </c>
      <c r="H29" s="77">
        <v>4980.3999999999996</v>
      </c>
      <c r="I29" s="76">
        <v>250</v>
      </c>
      <c r="J29" s="77">
        <v>2429.16</v>
      </c>
      <c r="K29" s="77">
        <v>1850.19</v>
      </c>
      <c r="L29" s="77">
        <v>2271.56</v>
      </c>
      <c r="M29" s="77">
        <v>2299.9499999999998</v>
      </c>
      <c r="N29" s="251">
        <v>3416.55</v>
      </c>
      <c r="O29" s="77">
        <v>32814.06</v>
      </c>
      <c r="P29" s="97">
        <f t="shared" si="4"/>
        <v>25686.799999999999</v>
      </c>
      <c r="Q29" s="31">
        <f t="shared" si="5"/>
        <v>18201.72</v>
      </c>
    </row>
    <row r="30" spans="1:25" ht="16">
      <c r="A30" s="11" t="s">
        <v>305</v>
      </c>
      <c r="B30" s="76">
        <v>0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9.0299999999999994</v>
      </c>
      <c r="K30" s="79">
        <v>-9.0299999999999994</v>
      </c>
      <c r="L30" s="76">
        <v>0</v>
      </c>
      <c r="M30" s="76">
        <v>0</v>
      </c>
      <c r="N30" s="251">
        <v>0</v>
      </c>
      <c r="O30" s="76">
        <v>0</v>
      </c>
      <c r="P30" s="97">
        <f t="shared" si="4"/>
        <v>-36.119999999999997</v>
      </c>
      <c r="Q30" s="31">
        <f t="shared" si="5"/>
        <v>0</v>
      </c>
    </row>
    <row r="31" spans="1:25" ht="16">
      <c r="A31" s="11" t="s">
        <v>306</v>
      </c>
      <c r="B31" s="76">
        <v>95</v>
      </c>
      <c r="C31" s="76">
        <v>95</v>
      </c>
      <c r="D31" s="76">
        <v>95</v>
      </c>
      <c r="E31" s="76">
        <v>95</v>
      </c>
      <c r="F31" s="76">
        <v>95</v>
      </c>
      <c r="G31" s="76">
        <v>95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251">
        <v>0</v>
      </c>
      <c r="O31" s="76">
        <v>570</v>
      </c>
      <c r="P31" s="97">
        <f t="shared" si="4"/>
        <v>0</v>
      </c>
      <c r="Q31" s="31">
        <f t="shared" si="5"/>
        <v>0</v>
      </c>
    </row>
    <row r="32" spans="1:25" ht="16">
      <c r="A32" s="11" t="s">
        <v>312</v>
      </c>
      <c r="B32" s="77">
        <v>6794</v>
      </c>
      <c r="C32" s="77">
        <v>7216</v>
      </c>
      <c r="D32" s="77">
        <v>7099</v>
      </c>
      <c r="E32" s="77">
        <v>7482</v>
      </c>
      <c r="F32" s="77">
        <v>7122</v>
      </c>
      <c r="G32" s="77">
        <v>7077</v>
      </c>
      <c r="H32" s="77">
        <v>6398.33</v>
      </c>
      <c r="I32" s="77">
        <v>6302.77</v>
      </c>
      <c r="J32" s="77">
        <v>5980.56</v>
      </c>
      <c r="K32" s="77">
        <v>7009.03</v>
      </c>
      <c r="L32" s="77">
        <v>7576.96</v>
      </c>
      <c r="M32" s="77">
        <v>7558.96</v>
      </c>
      <c r="N32" s="251">
        <v>7534.23</v>
      </c>
      <c r="O32" s="77">
        <v>83616.61</v>
      </c>
      <c r="P32" s="97">
        <f t="shared" si="4"/>
        <v>88579.8</v>
      </c>
      <c r="Q32" s="31">
        <f t="shared" si="5"/>
        <v>68856.56</v>
      </c>
    </row>
    <row r="33" spans="1:17" ht="16">
      <c r="A33" s="11" t="s">
        <v>312</v>
      </c>
      <c r="B33" s="76">
        <v>588</v>
      </c>
      <c r="C33" s="76">
        <v>661.5</v>
      </c>
      <c r="D33" s="76">
        <v>735</v>
      </c>
      <c r="E33" s="76">
        <v>756</v>
      </c>
      <c r="F33" s="76">
        <v>766.5</v>
      </c>
      <c r="G33" s="76">
        <v>724.5</v>
      </c>
      <c r="H33" s="79">
        <v>-15.5</v>
      </c>
      <c r="I33" s="76">
        <v>258.5</v>
      </c>
      <c r="J33" s="76">
        <v>161</v>
      </c>
      <c r="K33" s="79">
        <v>-107.92</v>
      </c>
      <c r="L33" s="79">
        <v>-58.08</v>
      </c>
      <c r="M33" s="76">
        <v>263.22000000000003</v>
      </c>
      <c r="N33" s="251">
        <v>-109.22</v>
      </c>
      <c r="O33" s="77">
        <v>4732.72</v>
      </c>
      <c r="P33" s="97">
        <f t="shared" si="4"/>
        <v>388.88000000000011</v>
      </c>
      <c r="Q33" s="31">
        <f t="shared" si="5"/>
        <v>1033.44</v>
      </c>
    </row>
    <row r="34" spans="1:17" ht="16">
      <c r="A34" s="11" t="s">
        <v>312</v>
      </c>
      <c r="B34" s="76">
        <v>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26.52</v>
      </c>
      <c r="I34" s="79">
        <v>-13.52</v>
      </c>
      <c r="J34" s="79">
        <v>-13</v>
      </c>
      <c r="K34" s="79">
        <v>-13</v>
      </c>
      <c r="L34" s="76">
        <v>0</v>
      </c>
      <c r="M34" s="76">
        <v>0</v>
      </c>
      <c r="N34" s="251">
        <v>0</v>
      </c>
      <c r="O34" s="79">
        <v>-13</v>
      </c>
      <c r="P34" s="97">
        <f t="shared" si="4"/>
        <v>-52</v>
      </c>
      <c r="Q34" s="31">
        <f t="shared" si="5"/>
        <v>-79.039999999999992</v>
      </c>
    </row>
    <row r="35" spans="1:17" ht="16">
      <c r="A35" s="11" t="s">
        <v>312</v>
      </c>
      <c r="B35" s="79">
        <v>-382.5</v>
      </c>
      <c r="C35" s="79">
        <v>-428</v>
      </c>
      <c r="D35" s="79">
        <v>-505</v>
      </c>
      <c r="E35" s="79">
        <v>-563</v>
      </c>
      <c r="F35" s="79">
        <v>-581.5</v>
      </c>
      <c r="G35" s="95">
        <v>-1366</v>
      </c>
      <c r="H35" s="76">
        <v>0</v>
      </c>
      <c r="I35" s="76">
        <v>0</v>
      </c>
      <c r="J35" s="76">
        <v>0</v>
      </c>
      <c r="K35" s="76">
        <v>0</v>
      </c>
      <c r="L35" s="76">
        <v>0</v>
      </c>
      <c r="M35" s="76">
        <v>0</v>
      </c>
      <c r="N35" s="251">
        <v>0</v>
      </c>
      <c r="O35" s="95">
        <v>-3826</v>
      </c>
      <c r="P35" s="97">
        <f t="shared" si="4"/>
        <v>0</v>
      </c>
      <c r="Q35" s="31">
        <f t="shared" si="5"/>
        <v>0</v>
      </c>
    </row>
    <row r="36" spans="1:17" ht="16">
      <c r="A36" s="11" t="s">
        <v>312</v>
      </c>
      <c r="B36" s="76">
        <v>0</v>
      </c>
      <c r="C36" s="76">
        <v>0</v>
      </c>
      <c r="D36" s="76">
        <v>0</v>
      </c>
      <c r="E36" s="76">
        <v>0</v>
      </c>
      <c r="F36" s="76">
        <v>300</v>
      </c>
      <c r="G36" s="76">
        <v>0</v>
      </c>
      <c r="H36" s="76">
        <v>0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251">
        <v>0</v>
      </c>
      <c r="O36" s="76">
        <v>300</v>
      </c>
      <c r="P36" s="97">
        <f t="shared" si="4"/>
        <v>0</v>
      </c>
      <c r="Q36" s="31">
        <f t="shared" si="5"/>
        <v>0</v>
      </c>
    </row>
    <row r="37" spans="1:17" ht="16">
      <c r="A37" s="11" t="s">
        <v>312</v>
      </c>
      <c r="B37" s="76">
        <v>0</v>
      </c>
      <c r="C37" s="76">
        <v>0</v>
      </c>
      <c r="D37" s="76">
        <v>0</v>
      </c>
      <c r="E37" s="76">
        <v>0</v>
      </c>
      <c r="F37" s="76">
        <v>162.71</v>
      </c>
      <c r="G37" s="76">
        <v>14.55</v>
      </c>
      <c r="H37" s="76">
        <v>0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251">
        <v>0</v>
      </c>
      <c r="O37" s="76">
        <v>177.26</v>
      </c>
      <c r="P37" s="97">
        <f t="shared" si="4"/>
        <v>0</v>
      </c>
      <c r="Q37" s="31">
        <f t="shared" si="5"/>
        <v>0</v>
      </c>
    </row>
    <row r="38" spans="1:17" ht="16">
      <c r="A38" s="11" t="s">
        <v>312</v>
      </c>
      <c r="B38" s="76">
        <v>0</v>
      </c>
      <c r="C38" s="76">
        <v>0</v>
      </c>
      <c r="D38" s="76">
        <v>0</v>
      </c>
      <c r="E38" s="76">
        <v>0</v>
      </c>
      <c r="F38" s="76">
        <v>0</v>
      </c>
      <c r="G38" s="76">
        <v>222</v>
      </c>
      <c r="H38" s="76">
        <v>0</v>
      </c>
      <c r="I38" s="76">
        <v>0</v>
      </c>
      <c r="J38" s="76">
        <v>0</v>
      </c>
      <c r="K38" s="76">
        <v>0</v>
      </c>
      <c r="L38" s="76">
        <v>0</v>
      </c>
      <c r="M38" s="76">
        <v>0</v>
      </c>
      <c r="N38" s="251">
        <v>0</v>
      </c>
      <c r="O38" s="76">
        <v>222</v>
      </c>
      <c r="P38" s="97">
        <f t="shared" si="4"/>
        <v>0</v>
      </c>
      <c r="Q38" s="31">
        <f t="shared" si="5"/>
        <v>0</v>
      </c>
    </row>
    <row r="39" spans="1:17" ht="16">
      <c r="A39" s="11" t="s">
        <v>313</v>
      </c>
      <c r="B39" s="76">
        <v>500</v>
      </c>
      <c r="C39" s="76">
        <v>500</v>
      </c>
      <c r="D39" s="76">
        <v>500</v>
      </c>
      <c r="E39" s="76">
        <v>437</v>
      </c>
      <c r="F39" s="76">
        <v>312</v>
      </c>
      <c r="G39" s="76">
        <v>0</v>
      </c>
      <c r="H39" s="76">
        <v>132</v>
      </c>
      <c r="I39" s="76">
        <v>267</v>
      </c>
      <c r="J39" s="76">
        <v>170</v>
      </c>
      <c r="K39" s="76">
        <v>125</v>
      </c>
      <c r="L39" s="76">
        <v>125</v>
      </c>
      <c r="M39" s="76">
        <v>125</v>
      </c>
      <c r="N39" s="251">
        <v>125</v>
      </c>
      <c r="O39" s="77">
        <v>3193</v>
      </c>
      <c r="P39" s="97">
        <f t="shared" si="4"/>
        <v>1500</v>
      </c>
      <c r="Q39" s="31">
        <f t="shared" si="5"/>
        <v>1624</v>
      </c>
    </row>
    <row r="40" spans="1:17" ht="16">
      <c r="A40" s="11" t="s">
        <v>314</v>
      </c>
      <c r="B40" s="76">
        <v>0</v>
      </c>
      <c r="C40" s="76">
        <v>75</v>
      </c>
      <c r="D40" s="76">
        <v>130</v>
      </c>
      <c r="E40" s="76">
        <v>0</v>
      </c>
      <c r="F40" s="76">
        <v>0</v>
      </c>
      <c r="G40" s="76">
        <v>0</v>
      </c>
      <c r="H40" s="76">
        <v>0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251">
        <v>150</v>
      </c>
      <c r="O40" s="76">
        <v>205</v>
      </c>
      <c r="P40" s="97">
        <f t="shared" si="4"/>
        <v>0</v>
      </c>
      <c r="Q40" s="31">
        <f t="shared" si="5"/>
        <v>0</v>
      </c>
    </row>
    <row r="41" spans="1:17" ht="16">
      <c r="A41" s="11" t="s">
        <v>315</v>
      </c>
      <c r="B41" s="76">
        <v>0</v>
      </c>
      <c r="C41" s="76">
        <v>0</v>
      </c>
      <c r="D41" s="76">
        <v>0</v>
      </c>
      <c r="E41" s="76">
        <v>0</v>
      </c>
      <c r="F41" s="76">
        <v>0</v>
      </c>
      <c r="G41" s="76">
        <v>0</v>
      </c>
      <c r="H41" s="76">
        <v>0</v>
      </c>
      <c r="I41" s="76">
        <v>0</v>
      </c>
      <c r="J41" s="76">
        <v>0</v>
      </c>
      <c r="K41" s="76">
        <v>0</v>
      </c>
      <c r="L41" s="77">
        <v>1360.08</v>
      </c>
      <c r="M41" s="76">
        <v>0</v>
      </c>
      <c r="N41" s="251">
        <v>0</v>
      </c>
      <c r="O41" s="77">
        <v>1360.08</v>
      </c>
      <c r="P41" s="97">
        <f t="shared" si="4"/>
        <v>5440.32</v>
      </c>
      <c r="Q41" s="31">
        <f t="shared" si="5"/>
        <v>2720.16</v>
      </c>
    </row>
    <row r="42" spans="1:17" ht="16">
      <c r="A42" s="11" t="s">
        <v>316</v>
      </c>
      <c r="B42" s="76">
        <v>0</v>
      </c>
      <c r="C42" s="76">
        <v>145</v>
      </c>
      <c r="D42" s="76">
        <v>210</v>
      </c>
      <c r="E42" s="76">
        <v>280</v>
      </c>
      <c r="F42" s="76">
        <v>350</v>
      </c>
      <c r="G42" s="76">
        <v>280</v>
      </c>
      <c r="H42" s="76">
        <v>0</v>
      </c>
      <c r="I42" s="76">
        <v>25.01</v>
      </c>
      <c r="J42" s="76">
        <v>952.06</v>
      </c>
      <c r="K42" s="76">
        <v>4.0199999999999996</v>
      </c>
      <c r="L42" s="76">
        <v>172.02</v>
      </c>
      <c r="M42" s="76">
        <v>274.02</v>
      </c>
      <c r="N42" s="251">
        <v>170.01</v>
      </c>
      <c r="O42" s="77">
        <v>2692.13</v>
      </c>
      <c r="P42" s="97">
        <f t="shared" si="4"/>
        <v>1800.24</v>
      </c>
      <c r="Q42" s="31">
        <f t="shared" si="5"/>
        <v>2854.2599999999998</v>
      </c>
    </row>
    <row r="43" spans="1:17" ht="16">
      <c r="A43" s="11" t="s">
        <v>317</v>
      </c>
      <c r="B43" s="76">
        <v>0</v>
      </c>
      <c r="C43" s="76">
        <v>0</v>
      </c>
      <c r="D43" s="76">
        <v>0</v>
      </c>
      <c r="E43" s="76">
        <v>0</v>
      </c>
      <c r="F43" s="76">
        <v>0</v>
      </c>
      <c r="G43" s="76">
        <v>0</v>
      </c>
      <c r="H43" s="76">
        <v>0</v>
      </c>
      <c r="I43" s="76">
        <v>0</v>
      </c>
      <c r="J43" s="76">
        <v>0</v>
      </c>
      <c r="K43" s="76">
        <v>0</v>
      </c>
      <c r="L43" s="76">
        <v>100</v>
      </c>
      <c r="M43" s="76">
        <v>100</v>
      </c>
      <c r="N43" s="251">
        <v>15</v>
      </c>
      <c r="O43" s="76">
        <v>200</v>
      </c>
      <c r="P43" s="97">
        <f t="shared" si="4"/>
        <v>800</v>
      </c>
      <c r="Q43" s="31">
        <f t="shared" si="5"/>
        <v>400</v>
      </c>
    </row>
    <row r="44" spans="1:17" ht="16">
      <c r="A44" s="11" t="s">
        <v>318</v>
      </c>
      <c r="B44" s="76">
        <v>0</v>
      </c>
      <c r="C44" s="77">
        <v>1550</v>
      </c>
      <c r="D44" s="76">
        <v>0</v>
      </c>
      <c r="E44" s="77">
        <v>2550</v>
      </c>
      <c r="F44" s="77">
        <v>12732</v>
      </c>
      <c r="G44" s="77">
        <v>4593</v>
      </c>
      <c r="H44" s="76">
        <v>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251">
        <v>300</v>
      </c>
      <c r="O44" s="77">
        <v>21425</v>
      </c>
      <c r="P44" s="97">
        <f t="shared" si="4"/>
        <v>0</v>
      </c>
      <c r="Q44" s="31">
        <f t="shared" si="5"/>
        <v>0</v>
      </c>
    </row>
    <row r="45" spans="1:17" ht="16">
      <c r="A45" s="11" t="s">
        <v>319</v>
      </c>
      <c r="B45" s="77">
        <v>1250</v>
      </c>
      <c r="C45" s="79">
        <v>-800</v>
      </c>
      <c r="D45" s="79">
        <v>-750</v>
      </c>
      <c r="E45" s="77">
        <v>1000</v>
      </c>
      <c r="F45" s="95">
        <v>-1750</v>
      </c>
      <c r="G45" s="95">
        <v>-1401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251">
        <v>0</v>
      </c>
      <c r="O45" s="95">
        <v>-2451</v>
      </c>
      <c r="P45" s="97">
        <f t="shared" si="4"/>
        <v>0</v>
      </c>
      <c r="Q45" s="31">
        <f t="shared" si="5"/>
        <v>0</v>
      </c>
    </row>
    <row r="46" spans="1:17" ht="16">
      <c r="A46" s="11" t="s">
        <v>320</v>
      </c>
      <c r="B46" s="76">
        <v>0</v>
      </c>
      <c r="C46" s="76">
        <v>0</v>
      </c>
      <c r="D46" s="76">
        <v>0</v>
      </c>
      <c r="E46" s="76">
        <v>0</v>
      </c>
      <c r="F46" s="76">
        <v>400</v>
      </c>
      <c r="G46" s="76">
        <v>0</v>
      </c>
      <c r="H46" s="76">
        <v>0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251">
        <v>0</v>
      </c>
      <c r="O46" s="76">
        <v>400</v>
      </c>
      <c r="P46" s="97">
        <f t="shared" si="4"/>
        <v>0</v>
      </c>
      <c r="Q46" s="31">
        <f t="shared" si="5"/>
        <v>0</v>
      </c>
    </row>
    <row r="47" spans="1:17" ht="16">
      <c r="A47" s="11" t="s">
        <v>240</v>
      </c>
      <c r="B47" s="76">
        <v>0</v>
      </c>
      <c r="C47" s="77">
        <v>2225.3000000000002</v>
      </c>
      <c r="D47" s="76">
        <v>0</v>
      </c>
      <c r="E47" s="76">
        <v>0</v>
      </c>
      <c r="F47" s="76">
        <v>0</v>
      </c>
      <c r="G47" s="76">
        <v>93.59</v>
      </c>
      <c r="H47" s="76">
        <v>0</v>
      </c>
      <c r="I47" s="76">
        <v>0</v>
      </c>
      <c r="J47" s="76">
        <v>0</v>
      </c>
      <c r="K47" s="77">
        <v>1233.75</v>
      </c>
      <c r="L47" s="76">
        <v>432.24</v>
      </c>
      <c r="M47" s="77">
        <v>1034.3699999999999</v>
      </c>
      <c r="N47" s="251">
        <v>0</v>
      </c>
      <c r="O47" s="77">
        <v>5019.25</v>
      </c>
      <c r="P47" s="97">
        <f t="shared" si="4"/>
        <v>10801.439999999999</v>
      </c>
      <c r="Q47" s="31">
        <f t="shared" si="5"/>
        <v>5400.7199999999993</v>
      </c>
    </row>
    <row r="48" spans="1:17" ht="16">
      <c r="A48" s="11" t="s">
        <v>321</v>
      </c>
      <c r="B48" s="76">
        <v>0</v>
      </c>
      <c r="C48" s="76">
        <v>0</v>
      </c>
      <c r="D48" s="76">
        <v>0</v>
      </c>
      <c r="E48" s="76">
        <v>59.11</v>
      </c>
      <c r="F48" s="76">
        <v>0</v>
      </c>
      <c r="G48" s="76">
        <v>0</v>
      </c>
      <c r="H48" s="76">
        <v>0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251">
        <v>0</v>
      </c>
      <c r="O48" s="76">
        <v>59.11</v>
      </c>
      <c r="P48" s="97">
        <f t="shared" si="4"/>
        <v>0</v>
      </c>
      <c r="Q48" s="31">
        <f t="shared" si="5"/>
        <v>0</v>
      </c>
    </row>
    <row r="49" spans="1:18" ht="16">
      <c r="A49" s="11" t="s">
        <v>322</v>
      </c>
      <c r="B49" s="76">
        <v>0</v>
      </c>
      <c r="C49" s="76">
        <v>0</v>
      </c>
      <c r="D49" s="76">
        <v>0</v>
      </c>
      <c r="E49" s="76">
        <v>0</v>
      </c>
      <c r="F49" s="76">
        <v>0</v>
      </c>
      <c r="G49" s="76">
        <v>0</v>
      </c>
      <c r="H49" s="76">
        <v>0</v>
      </c>
      <c r="I49" s="76">
        <v>0</v>
      </c>
      <c r="J49" s="76">
        <v>0</v>
      </c>
      <c r="K49" s="76">
        <v>4.66</v>
      </c>
      <c r="L49" s="76">
        <v>183.74</v>
      </c>
      <c r="M49" s="76">
        <v>210</v>
      </c>
      <c r="N49" s="251">
        <v>0</v>
      </c>
      <c r="O49" s="76">
        <v>398.4</v>
      </c>
      <c r="P49" s="97">
        <f t="shared" si="4"/>
        <v>1593.6</v>
      </c>
      <c r="Q49" s="31">
        <f t="shared" si="5"/>
        <v>796.8</v>
      </c>
    </row>
    <row r="50" spans="1:18" ht="16">
      <c r="A50" s="11" t="s">
        <v>323</v>
      </c>
      <c r="B50" s="76">
        <v>0</v>
      </c>
      <c r="C50" s="76">
        <v>0</v>
      </c>
      <c r="D50" s="76">
        <v>0</v>
      </c>
      <c r="E50" s="76">
        <v>0</v>
      </c>
      <c r="F50" s="76">
        <v>0</v>
      </c>
      <c r="G50" s="76">
        <v>0</v>
      </c>
      <c r="H50" s="76">
        <v>0</v>
      </c>
      <c r="I50" s="76">
        <v>0</v>
      </c>
      <c r="J50" s="76">
        <v>0</v>
      </c>
      <c r="K50" s="76">
        <v>926</v>
      </c>
      <c r="L50" s="76">
        <v>0</v>
      </c>
      <c r="M50" s="76">
        <v>0</v>
      </c>
      <c r="N50" s="251">
        <v>210</v>
      </c>
      <c r="O50" s="76">
        <v>926</v>
      </c>
      <c r="P50" s="97">
        <f t="shared" si="4"/>
        <v>3704</v>
      </c>
      <c r="Q50" s="31">
        <f t="shared" si="5"/>
        <v>1852</v>
      </c>
    </row>
    <row r="51" spans="1:18" ht="16">
      <c r="A51" s="11" t="s">
        <v>324</v>
      </c>
      <c r="B51" s="77">
        <v>1290</v>
      </c>
      <c r="C51" s="77">
        <v>1380</v>
      </c>
      <c r="D51" s="77">
        <v>1410</v>
      </c>
      <c r="E51" s="77">
        <v>1460</v>
      </c>
      <c r="F51" s="77">
        <v>1392</v>
      </c>
      <c r="G51" s="77">
        <v>1422</v>
      </c>
      <c r="H51" s="77">
        <v>1392.5</v>
      </c>
      <c r="I51" s="77">
        <v>1378.45</v>
      </c>
      <c r="J51" s="77">
        <v>1332.2</v>
      </c>
      <c r="K51" s="77">
        <v>1524</v>
      </c>
      <c r="L51" s="77">
        <v>1685.72</v>
      </c>
      <c r="M51" s="77">
        <v>1683.5</v>
      </c>
      <c r="N51" s="251">
        <v>5375</v>
      </c>
      <c r="O51" s="77">
        <v>17350.37</v>
      </c>
      <c r="P51" s="97">
        <f t="shared" si="4"/>
        <v>19572.88</v>
      </c>
      <c r="Q51" s="31">
        <f t="shared" si="5"/>
        <v>15207.74</v>
      </c>
    </row>
    <row r="52" spans="1:18" ht="16">
      <c r="A52" s="11" t="s">
        <v>237</v>
      </c>
      <c r="B52" s="77">
        <v>1010</v>
      </c>
      <c r="C52" s="77">
        <v>1125</v>
      </c>
      <c r="D52" s="77">
        <v>1140</v>
      </c>
      <c r="E52" s="77">
        <v>1185</v>
      </c>
      <c r="F52" s="77">
        <v>1145</v>
      </c>
      <c r="G52" s="77">
        <v>1110</v>
      </c>
      <c r="H52" s="77">
        <v>1090.33</v>
      </c>
      <c r="I52" s="77">
        <v>1070.97</v>
      </c>
      <c r="J52" s="77">
        <v>1025.03</v>
      </c>
      <c r="K52" s="77">
        <v>1147.6600000000001</v>
      </c>
      <c r="L52" s="77">
        <v>1265.48</v>
      </c>
      <c r="M52" s="77">
        <v>1258.96</v>
      </c>
      <c r="N52" s="251">
        <v>1676.06</v>
      </c>
      <c r="O52" s="77">
        <v>13573.43</v>
      </c>
      <c r="P52" s="97">
        <f t="shared" si="4"/>
        <v>14688.400000000001</v>
      </c>
      <c r="Q52" s="31">
        <f t="shared" si="5"/>
        <v>11536.199999999999</v>
      </c>
    </row>
    <row r="53" spans="1:18" ht="16">
      <c r="A53" s="11" t="s">
        <v>239</v>
      </c>
      <c r="B53" s="76">
        <v>715</v>
      </c>
      <c r="C53" s="76">
        <v>790</v>
      </c>
      <c r="D53" s="76">
        <v>0</v>
      </c>
      <c r="E53" s="76">
        <v>807</v>
      </c>
      <c r="F53" s="76">
        <v>756</v>
      </c>
      <c r="G53" s="76">
        <v>727</v>
      </c>
      <c r="H53" s="76">
        <v>689</v>
      </c>
      <c r="I53" s="76">
        <v>657.48</v>
      </c>
      <c r="J53" s="76">
        <v>621.98</v>
      </c>
      <c r="K53" s="76">
        <v>675.84</v>
      </c>
      <c r="L53" s="76">
        <v>732.74</v>
      </c>
      <c r="M53" s="76">
        <v>722.04</v>
      </c>
      <c r="N53" s="251">
        <v>1249.03</v>
      </c>
      <c r="O53" s="77">
        <v>7894.08</v>
      </c>
      <c r="P53" s="97">
        <f t="shared" si="4"/>
        <v>8522.48</v>
      </c>
      <c r="Q53" s="31">
        <f t="shared" si="5"/>
        <v>6820.16</v>
      </c>
    </row>
    <row r="54" spans="1:18" ht="16">
      <c r="A54" s="11" t="s">
        <v>325</v>
      </c>
      <c r="B54" s="77">
        <v>1885.5</v>
      </c>
      <c r="C54" s="76">
        <v>30</v>
      </c>
      <c r="D54" s="76">
        <v>0</v>
      </c>
      <c r="E54" s="76">
        <v>95</v>
      </c>
      <c r="F54" s="76">
        <v>125</v>
      </c>
      <c r="G54" s="76">
        <v>150</v>
      </c>
      <c r="H54" s="76">
        <v>155.16999999999999</v>
      </c>
      <c r="I54" s="76">
        <v>160</v>
      </c>
      <c r="J54" s="76">
        <v>150</v>
      </c>
      <c r="K54" s="76">
        <v>150</v>
      </c>
      <c r="L54" s="76">
        <v>145</v>
      </c>
      <c r="M54" s="76">
        <v>145</v>
      </c>
      <c r="N54" s="251">
        <v>708.35</v>
      </c>
      <c r="O54" s="77">
        <v>3190.67</v>
      </c>
      <c r="P54" s="97">
        <f t="shared" si="4"/>
        <v>1760</v>
      </c>
      <c r="Q54" s="31">
        <f t="shared" si="5"/>
        <v>1500</v>
      </c>
    </row>
    <row r="55" spans="1:18" ht="16">
      <c r="A55" s="11" t="s">
        <v>326</v>
      </c>
      <c r="B55" s="76">
        <v>60</v>
      </c>
      <c r="C55" s="76">
        <v>178</v>
      </c>
      <c r="D55" s="77">
        <v>1424</v>
      </c>
      <c r="E55" s="77">
        <v>1489</v>
      </c>
      <c r="F55" s="77">
        <v>1293</v>
      </c>
      <c r="G55" s="77">
        <v>1230</v>
      </c>
      <c r="H55" s="77">
        <v>1174</v>
      </c>
      <c r="I55" s="77">
        <v>1114</v>
      </c>
      <c r="J55" s="77">
        <v>1086</v>
      </c>
      <c r="K55" s="77">
        <v>1030</v>
      </c>
      <c r="L55" s="77">
        <v>1030</v>
      </c>
      <c r="M55" s="77">
        <v>1002</v>
      </c>
      <c r="N55" s="251">
        <v>140</v>
      </c>
      <c r="O55" s="77">
        <v>12110</v>
      </c>
      <c r="P55" s="97">
        <f t="shared" si="4"/>
        <v>12248</v>
      </c>
      <c r="Q55" s="31">
        <f t="shared" si="5"/>
        <v>10524</v>
      </c>
    </row>
    <row r="56" spans="1:18" ht="16">
      <c r="A56" s="11" t="s">
        <v>327</v>
      </c>
      <c r="B56" s="76">
        <v>0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258</v>
      </c>
      <c r="I56" s="76">
        <v>255.29</v>
      </c>
      <c r="J56" s="76">
        <v>257.98</v>
      </c>
      <c r="K56" s="76">
        <v>299.3</v>
      </c>
      <c r="L56" s="76">
        <v>334.64</v>
      </c>
      <c r="M56" s="76">
        <v>336.7</v>
      </c>
      <c r="N56" s="251">
        <v>946</v>
      </c>
      <c r="O56" s="77">
        <v>1741.91</v>
      </c>
      <c r="P56" s="97">
        <f t="shared" si="4"/>
        <v>3882.5600000000004</v>
      </c>
      <c r="Q56" s="31">
        <f t="shared" si="5"/>
        <v>2967.82</v>
      </c>
    </row>
    <row r="57" spans="1:18" ht="16">
      <c r="A57" s="11" t="s">
        <v>328</v>
      </c>
      <c r="B57" s="76">
        <v>0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258.10000000000002</v>
      </c>
      <c r="I57" s="76">
        <v>261.29000000000002</v>
      </c>
      <c r="J57" s="76">
        <v>260.98</v>
      </c>
      <c r="K57" s="76">
        <v>302.3</v>
      </c>
      <c r="L57" s="76">
        <v>334.62</v>
      </c>
      <c r="M57" s="76">
        <v>337.2</v>
      </c>
      <c r="N57" s="251">
        <v>338.72</v>
      </c>
      <c r="O57" s="77">
        <v>1754.49</v>
      </c>
      <c r="P57" s="97">
        <f t="shared" si="4"/>
        <v>3896.4800000000005</v>
      </c>
      <c r="Q57" s="31">
        <f t="shared" si="5"/>
        <v>2992.78</v>
      </c>
    </row>
    <row r="58" spans="1:18" ht="16">
      <c r="A58" s="11" t="s">
        <v>329</v>
      </c>
      <c r="B58" s="76">
        <v>0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31.27</v>
      </c>
      <c r="N58" s="251">
        <v>338.37</v>
      </c>
      <c r="O58" s="76">
        <v>31.27</v>
      </c>
      <c r="P58" s="97">
        <f t="shared" si="4"/>
        <v>125.08</v>
      </c>
      <c r="Q58" s="31">
        <f t="shared" si="5"/>
        <v>62.54</v>
      </c>
    </row>
    <row r="59" spans="1:18" ht="16">
      <c r="A59" s="11" t="s">
        <v>330</v>
      </c>
      <c r="B59" s="76">
        <v>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9">
        <v>-727</v>
      </c>
      <c r="J59" s="76">
        <v>0</v>
      </c>
      <c r="K59" s="95">
        <v>-2964</v>
      </c>
      <c r="L59" s="95">
        <v>-3628</v>
      </c>
      <c r="M59" s="79">
        <v>-6</v>
      </c>
      <c r="N59" s="251">
        <v>0</v>
      </c>
      <c r="O59" s="95">
        <v>-7325</v>
      </c>
      <c r="P59" s="97">
        <f t="shared" si="4"/>
        <v>-26392</v>
      </c>
      <c r="Q59" s="31">
        <f t="shared" si="5"/>
        <v>-14650</v>
      </c>
    </row>
    <row r="60" spans="1:18" ht="16">
      <c r="A60" s="9" t="s">
        <v>188</v>
      </c>
      <c r="B60" s="96">
        <v>17493.8</v>
      </c>
      <c r="C60" s="96">
        <v>19106.8</v>
      </c>
      <c r="D60" s="96">
        <v>15144.7</v>
      </c>
      <c r="E60" s="96">
        <v>21278.91</v>
      </c>
      <c r="F60" s="96">
        <v>27756.41</v>
      </c>
      <c r="G60" s="96">
        <v>18138.439999999999</v>
      </c>
      <c r="H60" s="96">
        <v>16538.849999999999</v>
      </c>
      <c r="I60" s="96">
        <v>11410.24</v>
      </c>
      <c r="J60" s="96">
        <v>14422.98</v>
      </c>
      <c r="K60" s="96">
        <v>13112.8</v>
      </c>
      <c r="L60" s="96">
        <v>13988.72</v>
      </c>
      <c r="M60" s="96">
        <v>17456.189999999999</v>
      </c>
      <c r="N60" s="251">
        <v>-8890</v>
      </c>
      <c r="O60" s="96">
        <v>205848.84</v>
      </c>
      <c r="P60" s="97">
        <f t="shared" si="4"/>
        <v>178230.83999999997</v>
      </c>
      <c r="Q60" s="31">
        <f t="shared" si="5"/>
        <v>140781.86000000002</v>
      </c>
    </row>
    <row r="61" spans="1:18" ht="16">
      <c r="A61" s="9" t="s">
        <v>189</v>
      </c>
      <c r="B61" s="96">
        <v>124662.16</v>
      </c>
      <c r="C61" s="96">
        <v>107988.75</v>
      </c>
      <c r="D61" s="96">
        <v>128515.7</v>
      </c>
      <c r="E61" s="96">
        <v>116661.26</v>
      </c>
      <c r="F61" s="96">
        <v>115786.39</v>
      </c>
      <c r="G61" s="96">
        <v>128679.44</v>
      </c>
      <c r="H61" s="96">
        <v>123233.82</v>
      </c>
      <c r="I61" s="96">
        <v>119971.92</v>
      </c>
      <c r="J61" s="96">
        <v>114816.73</v>
      </c>
      <c r="K61" s="96">
        <v>98660.73</v>
      </c>
      <c r="L61" s="96">
        <v>116969.5</v>
      </c>
      <c r="M61" s="96">
        <v>138499.73000000001</v>
      </c>
      <c r="N61" s="415">
        <v>13773.1</v>
      </c>
      <c r="O61" s="96">
        <v>1434446.13</v>
      </c>
      <c r="P61" s="98">
        <f t="shared" si="4"/>
        <v>1416519.8399999999</v>
      </c>
      <c r="Q61" s="31">
        <f t="shared" si="5"/>
        <v>1177837.22</v>
      </c>
    </row>
    <row r="62" spans="1:18" ht="16" hidden="1" customHeight="1">
      <c r="A62" s="9" t="s">
        <v>190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415">
        <v>130429.85</v>
      </c>
      <c r="O62" s="9"/>
    </row>
    <row r="63" spans="1:18" ht="16" hidden="1" customHeight="1">
      <c r="A63" s="483" t="s">
        <v>331</v>
      </c>
      <c r="B63" s="484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8" ht="16" hidden="1" customHeight="1">
      <c r="A64" s="11" t="s">
        <v>191</v>
      </c>
      <c r="B64" s="77">
        <v>15433</v>
      </c>
      <c r="C64" s="77">
        <v>16178</v>
      </c>
      <c r="D64" s="77">
        <v>16327</v>
      </c>
      <c r="E64" s="77">
        <v>16625</v>
      </c>
      <c r="F64" s="77">
        <v>16923</v>
      </c>
      <c r="G64" s="77">
        <v>13046.18</v>
      </c>
      <c r="H64" s="76">
        <v>0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/>
      <c r="O64" s="77">
        <v>94532.18</v>
      </c>
      <c r="P64" s="97"/>
      <c r="Q64" s="31">
        <f t="shared" ref="Q64:Q66" si="6">SUM(I64:M64)*2</f>
        <v>0</v>
      </c>
      <c r="R64" s="21" t="s">
        <v>294</v>
      </c>
    </row>
    <row r="65" spans="1:18" ht="16" hidden="1" customHeight="1">
      <c r="A65" s="11" t="s">
        <v>332</v>
      </c>
      <c r="B65" s="76">
        <v>450</v>
      </c>
      <c r="C65" s="76">
        <v>900</v>
      </c>
      <c r="D65" s="77">
        <v>1200</v>
      </c>
      <c r="E65" s="76">
        <v>450</v>
      </c>
      <c r="F65" s="76">
        <v>0</v>
      </c>
      <c r="G65" s="77">
        <v>1050</v>
      </c>
      <c r="H65" s="76">
        <v>0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/>
      <c r="O65" s="77">
        <v>4050</v>
      </c>
      <c r="P65" s="97"/>
      <c r="Q65" s="31">
        <f t="shared" si="6"/>
        <v>0</v>
      </c>
      <c r="R65" s="21" t="s">
        <v>294</v>
      </c>
    </row>
    <row r="66" spans="1:18" ht="16" hidden="1" customHeight="1">
      <c r="A66" s="11" t="s">
        <v>333</v>
      </c>
      <c r="B66" s="76">
        <v>0</v>
      </c>
      <c r="C66" s="76">
        <v>0</v>
      </c>
      <c r="D66" s="76">
        <v>0</v>
      </c>
      <c r="E66" s="76">
        <v>0</v>
      </c>
      <c r="F66" s="76">
        <v>0</v>
      </c>
      <c r="G66" s="76">
        <v>0</v>
      </c>
      <c r="H66" s="77">
        <v>4500</v>
      </c>
      <c r="I66" s="77">
        <v>4500</v>
      </c>
      <c r="J66" s="77">
        <v>4500</v>
      </c>
      <c r="K66" s="77">
        <v>4500</v>
      </c>
      <c r="L66" s="77">
        <v>4500</v>
      </c>
      <c r="M66" s="77">
        <v>4500</v>
      </c>
      <c r="N66" s="77"/>
      <c r="O66" s="77">
        <v>27000</v>
      </c>
      <c r="P66" s="97"/>
      <c r="Q66" s="31">
        <f t="shared" si="6"/>
        <v>45000</v>
      </c>
      <c r="R66" s="21" t="s">
        <v>294</v>
      </c>
    </row>
    <row r="67" spans="1:18" ht="16">
      <c r="A67" s="9" t="s">
        <v>334</v>
      </c>
      <c r="B67" s="96">
        <v>15883</v>
      </c>
      <c r="C67" s="96">
        <v>17078</v>
      </c>
      <c r="D67" s="96">
        <v>17527</v>
      </c>
      <c r="E67" s="96">
        <v>17075</v>
      </c>
      <c r="F67" s="96">
        <v>16923</v>
      </c>
      <c r="G67" s="96">
        <v>14096.18</v>
      </c>
      <c r="H67" s="96">
        <v>4500</v>
      </c>
      <c r="I67" s="96">
        <v>4500</v>
      </c>
      <c r="J67" s="96">
        <v>4500</v>
      </c>
      <c r="K67" s="96">
        <v>4500</v>
      </c>
      <c r="L67" s="96">
        <v>4500</v>
      </c>
      <c r="M67" s="96">
        <v>4500</v>
      </c>
      <c r="N67" s="96"/>
      <c r="O67" s="96">
        <v>125582.18</v>
      </c>
      <c r="P67" s="97"/>
      <c r="Q67" s="31"/>
    </row>
    <row r="68" spans="1:18" ht="16" outlineLevel="2">
      <c r="A68" s="9" t="s">
        <v>335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8" ht="16" outlineLevel="2">
      <c r="A69" s="11" t="s">
        <v>336</v>
      </c>
      <c r="B69" s="314">
        <v>45</v>
      </c>
      <c r="C69" s="76">
        <v>0</v>
      </c>
      <c r="D69" s="76">
        <v>0</v>
      </c>
      <c r="E69" s="76">
        <v>0</v>
      </c>
      <c r="F69" s="76">
        <v>0</v>
      </c>
      <c r="G69" s="76">
        <v>0</v>
      </c>
      <c r="H69" s="76">
        <v>0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/>
      <c r="O69" s="76">
        <v>45</v>
      </c>
      <c r="P69" s="97"/>
      <c r="Q69" s="31">
        <f t="shared" ref="Q69:Q92" si="7">SUM(I69:M69)*2</f>
        <v>0</v>
      </c>
      <c r="R69" s="21" t="s">
        <v>294</v>
      </c>
    </row>
    <row r="70" spans="1:18" ht="16" outlineLevel="2">
      <c r="A70" s="11" t="s">
        <v>337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263">
        <v>1430.6</v>
      </c>
      <c r="J70" s="76">
        <v>0</v>
      </c>
      <c r="K70" s="76">
        <v>0</v>
      </c>
      <c r="L70" s="76">
        <v>0</v>
      </c>
      <c r="M70" s="76">
        <v>0</v>
      </c>
      <c r="N70" s="76"/>
      <c r="O70" s="77">
        <v>1430.6</v>
      </c>
      <c r="P70" s="97"/>
      <c r="Q70" s="31">
        <f t="shared" si="7"/>
        <v>2861.2</v>
      </c>
      <c r="R70" s="21" t="s">
        <v>286</v>
      </c>
    </row>
    <row r="71" spans="1:18" ht="16" outlineLevel="2">
      <c r="A71" s="11" t="s">
        <v>338</v>
      </c>
      <c r="B71" s="76">
        <v>133.84</v>
      </c>
      <c r="C71" s="76">
        <v>398.15</v>
      </c>
      <c r="D71" s="76">
        <v>138.15</v>
      </c>
      <c r="E71" s="76">
        <v>138.15</v>
      </c>
      <c r="F71" s="76">
        <v>138.01</v>
      </c>
      <c r="G71" s="76">
        <v>138</v>
      </c>
      <c r="H71" s="76">
        <v>138.01</v>
      </c>
      <c r="I71" s="76">
        <v>133</v>
      </c>
      <c r="J71" s="76">
        <v>158.07</v>
      </c>
      <c r="K71" s="76">
        <v>145.58000000000001</v>
      </c>
      <c r="L71" s="76">
        <v>138.36000000000001</v>
      </c>
      <c r="M71" s="76">
        <v>138.36000000000001</v>
      </c>
      <c r="N71" s="76"/>
      <c r="O71" s="77">
        <v>1935.68</v>
      </c>
      <c r="P71" s="97"/>
      <c r="Q71" s="31">
        <f t="shared" si="7"/>
        <v>1426.74</v>
      </c>
      <c r="R71" s="21" t="s">
        <v>286</v>
      </c>
    </row>
    <row r="72" spans="1:18" ht="16" outlineLevel="2">
      <c r="A72" s="11" t="s">
        <v>339</v>
      </c>
      <c r="B72" s="76">
        <v>0</v>
      </c>
      <c r="C72" s="76">
        <v>0</v>
      </c>
      <c r="D72" s="76">
        <v>0</v>
      </c>
      <c r="E72" s="76">
        <v>0</v>
      </c>
      <c r="F72" s="76">
        <v>0</v>
      </c>
      <c r="G72" s="76">
        <v>0</v>
      </c>
      <c r="H72" s="264">
        <v>264.32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/>
      <c r="O72" s="76">
        <v>264.32</v>
      </c>
      <c r="P72" s="97"/>
      <c r="Q72" s="31">
        <f t="shared" si="7"/>
        <v>0</v>
      </c>
      <c r="R72" s="21" t="s">
        <v>286</v>
      </c>
    </row>
    <row r="73" spans="1:18" ht="16" outlineLevel="2">
      <c r="A73" s="11" t="s">
        <v>340</v>
      </c>
      <c r="B73" s="76">
        <v>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300</v>
      </c>
      <c r="J73" s="76">
        <v>0</v>
      </c>
      <c r="K73" s="76">
        <v>0</v>
      </c>
      <c r="L73" s="76">
        <v>0</v>
      </c>
      <c r="M73" s="76">
        <v>0</v>
      </c>
      <c r="N73" s="76"/>
      <c r="O73" s="76">
        <v>300</v>
      </c>
      <c r="P73" s="97"/>
      <c r="Q73" s="31">
        <f t="shared" si="7"/>
        <v>600</v>
      </c>
      <c r="R73" s="21" t="s">
        <v>286</v>
      </c>
    </row>
    <row r="74" spans="1:18" ht="16" outlineLevel="2">
      <c r="A74" s="11" t="s">
        <v>341</v>
      </c>
      <c r="B74" s="264">
        <v>438.5</v>
      </c>
      <c r="C74" s="264">
        <v>354</v>
      </c>
      <c r="D74" s="76">
        <v>0</v>
      </c>
      <c r="E74" s="76">
        <v>0</v>
      </c>
      <c r="F74" s="76">
        <v>0</v>
      </c>
      <c r="G74" s="264">
        <v>926</v>
      </c>
      <c r="H74" s="76">
        <v>0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/>
      <c r="O74" s="77">
        <v>1718.5</v>
      </c>
      <c r="P74" s="97"/>
      <c r="Q74" s="31">
        <f t="shared" si="7"/>
        <v>0</v>
      </c>
      <c r="R74" s="21" t="s">
        <v>291</v>
      </c>
    </row>
    <row r="75" spans="1:18" ht="16" outlineLevel="2">
      <c r="A75" s="11" t="s">
        <v>342</v>
      </c>
      <c r="B75" s="76">
        <v>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32.869999999999997</v>
      </c>
      <c r="M75" s="76">
        <v>0</v>
      </c>
      <c r="N75" s="76"/>
      <c r="O75" s="76">
        <v>32.869999999999997</v>
      </c>
      <c r="P75" s="97"/>
      <c r="Q75" s="31">
        <f t="shared" si="7"/>
        <v>65.739999999999995</v>
      </c>
      <c r="R75" s="21" t="s">
        <v>286</v>
      </c>
    </row>
    <row r="76" spans="1:18" ht="16" outlineLevel="2">
      <c r="A76" s="11" t="s">
        <v>343</v>
      </c>
      <c r="B76" s="76">
        <v>200</v>
      </c>
      <c r="C76" s="76">
        <v>0</v>
      </c>
      <c r="D76" s="76">
        <v>0</v>
      </c>
      <c r="E76" s="76">
        <v>0</v>
      </c>
      <c r="F76" s="76">
        <v>80.599999999999994</v>
      </c>
      <c r="G76" s="76">
        <v>0</v>
      </c>
      <c r="H76" s="76">
        <v>253.43</v>
      </c>
      <c r="I76" s="76">
        <v>47.92</v>
      </c>
      <c r="J76" s="76">
        <v>64.489999999999995</v>
      </c>
      <c r="K76" s="76">
        <v>0</v>
      </c>
      <c r="L76" s="76">
        <v>90.33</v>
      </c>
      <c r="M76" s="76">
        <v>0</v>
      </c>
      <c r="N76" s="76"/>
      <c r="O76" s="76">
        <v>736.77</v>
      </c>
      <c r="P76" s="97"/>
      <c r="Q76" s="31">
        <f t="shared" si="7"/>
        <v>405.48</v>
      </c>
      <c r="R76" s="21" t="s">
        <v>286</v>
      </c>
    </row>
    <row r="77" spans="1:18" ht="16" outlineLevel="2">
      <c r="A77" s="11" t="s">
        <v>344</v>
      </c>
      <c r="B77" s="76">
        <v>0</v>
      </c>
      <c r="C77" s="76">
        <v>0</v>
      </c>
      <c r="D77" s="76">
        <v>0</v>
      </c>
      <c r="E77" s="76">
        <v>0</v>
      </c>
      <c r="F77" s="76">
        <v>0</v>
      </c>
      <c r="G77" s="76">
        <v>0</v>
      </c>
      <c r="H77" s="76">
        <v>0</v>
      </c>
      <c r="I77" s="76">
        <v>0</v>
      </c>
      <c r="J77" s="76">
        <v>0</v>
      </c>
      <c r="K77" s="76">
        <v>0</v>
      </c>
      <c r="L77" s="264">
        <v>277.36</v>
      </c>
      <c r="M77" s="76">
        <v>0</v>
      </c>
      <c r="N77" s="76"/>
      <c r="O77" s="76">
        <v>277.36</v>
      </c>
      <c r="P77" s="97"/>
      <c r="Q77" s="31">
        <f t="shared" si="7"/>
        <v>554.72</v>
      </c>
      <c r="R77" s="21" t="s">
        <v>286</v>
      </c>
    </row>
    <row r="78" spans="1:18" ht="16" outlineLevel="2">
      <c r="A78" s="11" t="s">
        <v>345</v>
      </c>
      <c r="B78" s="76">
        <v>0</v>
      </c>
      <c r="C78" s="76">
        <v>0</v>
      </c>
      <c r="D78" s="76">
        <v>195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/>
      <c r="O78" s="76">
        <v>195</v>
      </c>
      <c r="P78" s="97"/>
      <c r="Q78" s="31">
        <f t="shared" si="7"/>
        <v>0</v>
      </c>
      <c r="R78" s="21" t="s">
        <v>286</v>
      </c>
    </row>
    <row r="79" spans="1:18" ht="16" outlineLevel="2">
      <c r="A79" s="11" t="s">
        <v>346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264">
        <v>483.64</v>
      </c>
      <c r="J79" s="76">
        <v>0</v>
      </c>
      <c r="K79" s="76">
        <v>0</v>
      </c>
      <c r="L79" s="76">
        <v>0</v>
      </c>
      <c r="M79" s="264">
        <v>48.58</v>
      </c>
      <c r="N79" s="264"/>
      <c r="O79" s="76">
        <v>532.22</v>
      </c>
      <c r="P79" s="97"/>
      <c r="Q79" s="31">
        <f t="shared" si="7"/>
        <v>1064.44</v>
      </c>
      <c r="R79" s="21" t="s">
        <v>286</v>
      </c>
    </row>
    <row r="80" spans="1:18" ht="16" outlineLevel="2">
      <c r="A80" s="11" t="s">
        <v>347</v>
      </c>
      <c r="B80" s="76">
        <v>0</v>
      </c>
      <c r="C80" s="76">
        <v>0</v>
      </c>
      <c r="D80" s="76">
        <v>0</v>
      </c>
      <c r="E80" s="76">
        <v>0</v>
      </c>
      <c r="F80" s="76">
        <v>0</v>
      </c>
      <c r="G80" s="76">
        <v>0</v>
      </c>
      <c r="H80" s="264">
        <v>204</v>
      </c>
      <c r="I80" s="264">
        <v>926</v>
      </c>
      <c r="J80" s="263">
        <v>1001</v>
      </c>
      <c r="K80" s="76">
        <v>0</v>
      </c>
      <c r="L80" s="76">
        <v>102</v>
      </c>
      <c r="M80" s="76">
        <v>0</v>
      </c>
      <c r="N80" s="76"/>
      <c r="O80" s="77">
        <v>2233</v>
      </c>
      <c r="P80" s="97"/>
      <c r="Q80" s="31">
        <f t="shared" si="7"/>
        <v>4058</v>
      </c>
      <c r="R80" s="21" t="s">
        <v>291</v>
      </c>
    </row>
    <row r="81" spans="1:18" ht="16" outlineLevel="2">
      <c r="A81" s="11" t="s">
        <v>348</v>
      </c>
      <c r="B81" s="76">
        <v>0</v>
      </c>
      <c r="C81" s="76">
        <v>0</v>
      </c>
      <c r="D81" s="76">
        <v>0</v>
      </c>
      <c r="E81" s="76">
        <v>150</v>
      </c>
      <c r="F81" s="76">
        <v>0</v>
      </c>
      <c r="G81" s="263">
        <v>5633.42</v>
      </c>
      <c r="H81" s="76">
        <v>0</v>
      </c>
      <c r="I81" s="76">
        <v>500</v>
      </c>
      <c r="J81" s="76">
        <v>350</v>
      </c>
      <c r="K81" s="76">
        <v>350</v>
      </c>
      <c r="L81" s="76">
        <v>350</v>
      </c>
      <c r="M81" s="76">
        <v>350</v>
      </c>
      <c r="N81" s="76"/>
      <c r="O81" s="77">
        <v>7683.42</v>
      </c>
      <c r="P81" s="97"/>
      <c r="Q81" s="31">
        <f t="shared" si="7"/>
        <v>3800</v>
      </c>
      <c r="R81" s="21" t="s">
        <v>286</v>
      </c>
    </row>
    <row r="82" spans="1:18" ht="16" outlineLevel="2">
      <c r="A82" s="11" t="s">
        <v>349</v>
      </c>
      <c r="B82" s="263">
        <v>14300</v>
      </c>
      <c r="C82" s="76">
        <v>150</v>
      </c>
      <c r="D82" s="263">
        <v>2350</v>
      </c>
      <c r="E82" s="79">
        <v>-520.5</v>
      </c>
      <c r="G82" s="263">
        <v>5300</v>
      </c>
      <c r="H82" s="76">
        <v>0</v>
      </c>
      <c r="I82" s="76">
        <v>0</v>
      </c>
      <c r="J82" s="76">
        <v>0</v>
      </c>
      <c r="K82" s="76">
        <v>0</v>
      </c>
      <c r="L82" s="76">
        <v>0</v>
      </c>
      <c r="M82" s="76">
        <v>0</v>
      </c>
      <c r="N82" s="76"/>
      <c r="O82" s="77">
        <v>21579.5</v>
      </c>
      <c r="P82" s="97"/>
      <c r="Q82" s="31">
        <f t="shared" si="7"/>
        <v>0</v>
      </c>
      <c r="R82" s="21" t="s">
        <v>286</v>
      </c>
    </row>
    <row r="83" spans="1:18" ht="16" outlineLevel="2">
      <c r="A83" s="11" t="s">
        <v>350</v>
      </c>
      <c r="B83" s="76">
        <v>0</v>
      </c>
      <c r="C83" s="76">
        <v>0</v>
      </c>
      <c r="D83" s="76">
        <v>0</v>
      </c>
      <c r="E83" s="76">
        <v>0</v>
      </c>
      <c r="F83" s="76">
        <v>0</v>
      </c>
      <c r="G83" s="76">
        <v>0</v>
      </c>
      <c r="H83" s="76">
        <v>0</v>
      </c>
      <c r="I83" s="76">
        <v>0</v>
      </c>
      <c r="J83" s="76">
        <v>0</v>
      </c>
      <c r="K83" s="76">
        <v>0</v>
      </c>
      <c r="L83" s="264">
        <v>208.06</v>
      </c>
      <c r="M83" s="76">
        <v>0</v>
      </c>
      <c r="N83" s="76"/>
      <c r="O83" s="76">
        <v>208.06</v>
      </c>
      <c r="P83" s="97"/>
      <c r="Q83" s="31">
        <f t="shared" si="7"/>
        <v>416.12</v>
      </c>
      <c r="R83" s="21" t="s">
        <v>286</v>
      </c>
    </row>
    <row r="84" spans="1:18" ht="16" outlineLevel="2">
      <c r="A84" s="11" t="s">
        <v>351</v>
      </c>
      <c r="B84" s="76">
        <v>256</v>
      </c>
      <c r="C84" s="264">
        <v>796.72</v>
      </c>
      <c r="D84" s="76">
        <v>0</v>
      </c>
      <c r="E84" s="76">
        <v>0</v>
      </c>
      <c r="F84" s="264">
        <v>700.35</v>
      </c>
      <c r="G84" s="76">
        <v>0</v>
      </c>
      <c r="H84" s="76">
        <v>0</v>
      </c>
      <c r="I84" s="76">
        <v>0</v>
      </c>
      <c r="J84" s="76">
        <v>0</v>
      </c>
      <c r="K84" s="76">
        <v>0</v>
      </c>
      <c r="L84" s="76">
        <v>0</v>
      </c>
      <c r="M84" s="76">
        <v>0</v>
      </c>
      <c r="N84" s="76"/>
      <c r="O84" s="77">
        <v>1753.07</v>
      </c>
      <c r="P84" s="97"/>
      <c r="Q84" s="31">
        <f t="shared" si="7"/>
        <v>0</v>
      </c>
      <c r="R84" s="21" t="s">
        <v>286</v>
      </c>
    </row>
    <row r="85" spans="1:18" ht="16" outlineLevel="2">
      <c r="A85" s="11" t="s">
        <v>352</v>
      </c>
      <c r="B85" s="76">
        <v>0</v>
      </c>
      <c r="C85" s="76">
        <v>0</v>
      </c>
      <c r="D85" s="76">
        <v>0</v>
      </c>
      <c r="E85" s="76">
        <v>0</v>
      </c>
      <c r="F85" s="76">
        <v>0</v>
      </c>
      <c r="G85" s="76">
        <v>0</v>
      </c>
      <c r="H85" s="76">
        <v>0</v>
      </c>
      <c r="I85" s="76">
        <v>0</v>
      </c>
      <c r="J85" s="76">
        <v>350</v>
      </c>
      <c r="K85" s="76">
        <v>0</v>
      </c>
      <c r="L85" s="76">
        <v>0</v>
      </c>
      <c r="M85" s="76">
        <v>0</v>
      </c>
      <c r="N85" s="76"/>
      <c r="O85" s="76">
        <v>350</v>
      </c>
      <c r="P85" s="97"/>
      <c r="Q85" s="31">
        <f t="shared" si="7"/>
        <v>700</v>
      </c>
      <c r="R85" s="21" t="s">
        <v>286</v>
      </c>
    </row>
    <row r="86" spans="1:18" ht="16" outlineLevel="2">
      <c r="A86" s="11" t="s">
        <v>353</v>
      </c>
      <c r="B86" s="76">
        <v>0</v>
      </c>
      <c r="C86" s="76">
        <v>256</v>
      </c>
      <c r="D86" s="76">
        <v>256</v>
      </c>
      <c r="E86" s="76">
        <v>256</v>
      </c>
      <c r="F86" s="76">
        <v>256</v>
      </c>
      <c r="G86" s="76">
        <v>206.45</v>
      </c>
      <c r="H86" s="76">
        <v>300</v>
      </c>
      <c r="I86" s="263">
        <v>4622.79</v>
      </c>
      <c r="J86" s="77">
        <v>1407.22</v>
      </c>
      <c r="K86" s="77">
        <v>1107.22</v>
      </c>
      <c r="L86" s="77">
        <v>1107.22</v>
      </c>
      <c r="M86" s="77">
        <v>1107.22</v>
      </c>
      <c r="N86" s="77"/>
      <c r="O86" s="77">
        <v>10882.12</v>
      </c>
      <c r="P86" s="97"/>
      <c r="Q86" s="31">
        <f t="shared" si="7"/>
        <v>18703.34</v>
      </c>
      <c r="R86" s="21" t="s">
        <v>286</v>
      </c>
    </row>
    <row r="87" spans="1:18" ht="16" outlineLevel="2">
      <c r="A87" s="11" t="s">
        <v>354</v>
      </c>
      <c r="B87" s="76">
        <v>99</v>
      </c>
      <c r="C87" s="76">
        <v>99</v>
      </c>
      <c r="D87" s="76">
        <v>99</v>
      </c>
      <c r="E87" s="76">
        <v>99</v>
      </c>
      <c r="F87" s="76">
        <v>99</v>
      </c>
      <c r="G87" s="76">
        <v>99</v>
      </c>
      <c r="H87" s="76">
        <v>99</v>
      </c>
      <c r="I87" s="76">
        <v>99</v>
      </c>
      <c r="J87" s="76">
        <v>128</v>
      </c>
      <c r="K87" s="76">
        <v>99</v>
      </c>
      <c r="L87" s="264">
        <v>397</v>
      </c>
      <c r="M87" s="76">
        <v>0</v>
      </c>
      <c r="N87" s="76"/>
      <c r="O87" s="77">
        <v>1416</v>
      </c>
      <c r="P87" s="97"/>
      <c r="Q87" s="31">
        <f t="shared" si="7"/>
        <v>1446</v>
      </c>
      <c r="R87" s="21" t="s">
        <v>286</v>
      </c>
    </row>
    <row r="88" spans="1:18" ht="16" outlineLevel="2">
      <c r="A88" s="11" t="s">
        <v>355</v>
      </c>
      <c r="B88" s="76">
        <v>0</v>
      </c>
      <c r="C88" s="76">
        <v>0</v>
      </c>
      <c r="D88" s="76">
        <v>0</v>
      </c>
      <c r="E88" s="76" t="s">
        <v>592</v>
      </c>
      <c r="F88" s="76" t="s">
        <v>592</v>
      </c>
      <c r="G88" s="76">
        <v>0</v>
      </c>
      <c r="H88" s="76">
        <v>0</v>
      </c>
      <c r="I88" s="263">
        <v>1280</v>
      </c>
      <c r="J88" s="76">
        <v>0</v>
      </c>
      <c r="K88" s="76">
        <v>0</v>
      </c>
      <c r="L88" s="76">
        <v>0</v>
      </c>
      <c r="M88" s="76">
        <v>0</v>
      </c>
      <c r="N88" s="76"/>
      <c r="O88" s="77">
        <v>1280</v>
      </c>
      <c r="P88" s="97"/>
      <c r="Q88" s="31">
        <f t="shared" si="7"/>
        <v>2560</v>
      </c>
      <c r="R88" s="21" t="s">
        <v>294</v>
      </c>
    </row>
    <row r="89" spans="1:18" ht="16" outlineLevel="2">
      <c r="A89" s="11" t="s">
        <v>356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11.5</v>
      </c>
      <c r="K89" s="76">
        <v>73.8</v>
      </c>
      <c r="L89" s="76">
        <v>48</v>
      </c>
      <c r="M89" s="76">
        <v>21.6</v>
      </c>
      <c r="N89" s="76"/>
      <c r="O89" s="76">
        <v>154.9</v>
      </c>
      <c r="P89" s="97"/>
      <c r="Q89" s="31">
        <f t="shared" si="7"/>
        <v>309.8</v>
      </c>
      <c r="R89" s="21" t="s">
        <v>286</v>
      </c>
    </row>
    <row r="90" spans="1:18" ht="16" outlineLevel="2">
      <c r="A90" s="11" t="s">
        <v>357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264">
        <v>148.74</v>
      </c>
      <c r="M90" s="76">
        <v>0</v>
      </c>
      <c r="N90" s="76"/>
      <c r="O90" s="76">
        <v>148.74</v>
      </c>
      <c r="P90" s="97"/>
      <c r="Q90" s="31">
        <f t="shared" si="7"/>
        <v>297.48</v>
      </c>
      <c r="R90" s="21" t="s">
        <v>286</v>
      </c>
    </row>
    <row r="91" spans="1:18" ht="16" outlineLevel="2">
      <c r="A91" s="11" t="s">
        <v>358</v>
      </c>
      <c r="B91" s="76">
        <v>0</v>
      </c>
      <c r="C91" s="76">
        <v>0</v>
      </c>
      <c r="D91" s="264">
        <v>45</v>
      </c>
      <c r="E91" s="263">
        <v>1080</v>
      </c>
      <c r="F91" s="264">
        <v>225</v>
      </c>
      <c r="G91" s="264">
        <v>540</v>
      </c>
      <c r="H91" s="264">
        <v>125</v>
      </c>
      <c r="I91" s="76">
        <v>0</v>
      </c>
      <c r="J91" s="76">
        <v>0</v>
      </c>
      <c r="K91" s="76">
        <v>0</v>
      </c>
      <c r="L91" s="76">
        <v>0</v>
      </c>
      <c r="M91" s="264">
        <v>100</v>
      </c>
      <c r="N91" s="264"/>
      <c r="O91" s="77">
        <v>2115</v>
      </c>
      <c r="P91" s="97"/>
      <c r="Q91" s="31">
        <f t="shared" si="7"/>
        <v>200</v>
      </c>
      <c r="R91" s="21" t="s">
        <v>286</v>
      </c>
    </row>
    <row r="92" spans="1:18" ht="16" outlineLevel="2">
      <c r="A92" s="11" t="s">
        <v>359</v>
      </c>
      <c r="B92" s="76">
        <v>2.84</v>
      </c>
      <c r="C92" s="76">
        <v>0</v>
      </c>
      <c r="D92" s="76">
        <v>0</v>
      </c>
      <c r="E92" s="76">
        <v>0</v>
      </c>
      <c r="F92" s="76">
        <v>0</v>
      </c>
      <c r="G92" s="76">
        <v>0</v>
      </c>
      <c r="H92" s="76">
        <v>75.23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/>
      <c r="O92" s="76">
        <v>78.069999999999993</v>
      </c>
      <c r="P92" s="97"/>
      <c r="Q92" s="31">
        <f t="shared" si="7"/>
        <v>0</v>
      </c>
      <c r="R92" s="21" t="s">
        <v>286</v>
      </c>
    </row>
    <row r="93" spans="1:18" ht="16">
      <c r="A93" s="9" t="s">
        <v>192</v>
      </c>
      <c r="B93" s="96">
        <v>15475.18</v>
      </c>
      <c r="C93" s="96">
        <v>2053.87</v>
      </c>
      <c r="D93" s="96">
        <v>3083.15</v>
      </c>
      <c r="E93" s="96">
        <v>1202.6500000000001</v>
      </c>
      <c r="F93" s="96">
        <v>6798.96</v>
      </c>
      <c r="G93" s="96">
        <v>7542.87</v>
      </c>
      <c r="H93" s="96">
        <v>1458.99</v>
      </c>
      <c r="I93" s="262">
        <v>9822.9500000000007</v>
      </c>
      <c r="J93" s="96">
        <v>3470.28</v>
      </c>
      <c r="K93" s="96">
        <v>1775.6</v>
      </c>
      <c r="L93" s="96">
        <v>2899.94</v>
      </c>
      <c r="M93" s="96">
        <v>1765.76</v>
      </c>
      <c r="N93" s="96"/>
      <c r="O93" s="96">
        <v>57350.2</v>
      </c>
      <c r="P93" s="97"/>
      <c r="Q93" s="97"/>
    </row>
    <row r="94" spans="1:18" ht="16" outlineLevel="1">
      <c r="A94" s="9" t="s">
        <v>360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8" ht="16" outlineLevel="1">
      <c r="A95" s="11" t="s">
        <v>361</v>
      </c>
      <c r="B95" s="76">
        <v>0</v>
      </c>
      <c r="C95" s="76">
        <v>0</v>
      </c>
      <c r="D95" s="76">
        <v>0</v>
      </c>
      <c r="E95" s="76">
        <v>0</v>
      </c>
      <c r="F95" s="76">
        <v>0</v>
      </c>
      <c r="G95" s="76">
        <v>0</v>
      </c>
      <c r="H95" s="76">
        <v>0</v>
      </c>
      <c r="I95" s="76">
        <v>0</v>
      </c>
      <c r="J95" s="76">
        <v>0</v>
      </c>
      <c r="K95" s="77">
        <v>1715.42</v>
      </c>
      <c r="L95" s="76">
        <v>0</v>
      </c>
      <c r="M95" s="76">
        <v>514.16</v>
      </c>
      <c r="N95" s="76"/>
      <c r="O95" s="77">
        <v>2229.58</v>
      </c>
      <c r="P95" s="9"/>
      <c r="Q95" s="9"/>
      <c r="R95" s="21" t="s">
        <v>278</v>
      </c>
    </row>
    <row r="96" spans="1:18" ht="16" outlineLevel="1">
      <c r="A96" s="11" t="s">
        <v>362</v>
      </c>
      <c r="B96" s="77">
        <v>1720.67</v>
      </c>
      <c r="C96" s="77">
        <v>4650</v>
      </c>
      <c r="D96" s="77">
        <v>1333.7</v>
      </c>
      <c r="E96" s="77">
        <v>1558.63</v>
      </c>
      <c r="F96" s="76">
        <v>0</v>
      </c>
      <c r="G96" s="76">
        <v>0</v>
      </c>
      <c r="H96" s="76">
        <v>0</v>
      </c>
      <c r="I96" s="76">
        <v>0</v>
      </c>
      <c r="J96" s="76">
        <v>670.77</v>
      </c>
      <c r="K96" s="76">
        <v>290</v>
      </c>
      <c r="L96" s="76">
        <v>0</v>
      </c>
      <c r="M96" s="76">
        <v>509.3</v>
      </c>
      <c r="N96" s="76"/>
      <c r="O96" s="77">
        <v>10733.07</v>
      </c>
      <c r="P96" s="9"/>
      <c r="Q96" s="9"/>
      <c r="R96" s="21" t="s">
        <v>278</v>
      </c>
    </row>
    <row r="97" spans="1:18" ht="16" outlineLevel="1">
      <c r="A97" s="11" t="s">
        <v>363</v>
      </c>
      <c r="B97" s="77">
        <v>1160</v>
      </c>
      <c r="C97" s="77">
        <v>1261.33</v>
      </c>
      <c r="D97" s="76">
        <v>386.54</v>
      </c>
      <c r="E97" s="76">
        <v>985</v>
      </c>
      <c r="F97" s="77">
        <v>1870</v>
      </c>
      <c r="G97" s="77">
        <v>2420</v>
      </c>
      <c r="H97" s="76">
        <v>0</v>
      </c>
      <c r="I97" s="76">
        <v>0</v>
      </c>
      <c r="J97" s="76">
        <v>236.03</v>
      </c>
      <c r="K97" s="77">
        <v>1540.36</v>
      </c>
      <c r="L97" s="77">
        <v>2190.0100000000002</v>
      </c>
      <c r="M97" s="76">
        <v>235</v>
      </c>
      <c r="N97" s="76"/>
      <c r="O97" s="77">
        <v>12284.27</v>
      </c>
      <c r="P97" s="9"/>
      <c r="Q97" s="9"/>
      <c r="R97" s="21" t="s">
        <v>278</v>
      </c>
    </row>
    <row r="98" spans="1:18" ht="16" outlineLevel="1">
      <c r="A98" s="11" t="s">
        <v>364</v>
      </c>
      <c r="B98" s="76">
        <v>19.95</v>
      </c>
      <c r="C98" s="76">
        <v>0</v>
      </c>
      <c r="D98" s="76">
        <v>80.3</v>
      </c>
      <c r="E98" s="76">
        <v>0</v>
      </c>
      <c r="F98" s="76">
        <v>0</v>
      </c>
      <c r="G98" s="79">
        <v>-31.98</v>
      </c>
      <c r="H98" s="76">
        <v>0</v>
      </c>
      <c r="I98" s="76">
        <v>0</v>
      </c>
      <c r="J98" s="76">
        <v>0</v>
      </c>
      <c r="K98" s="76">
        <v>0</v>
      </c>
      <c r="L98" s="76">
        <v>0</v>
      </c>
      <c r="M98" s="76">
        <v>0</v>
      </c>
      <c r="N98" s="76"/>
      <c r="O98" s="76">
        <v>68.27</v>
      </c>
      <c r="P98" s="9"/>
      <c r="Q98" s="9"/>
      <c r="R98" s="21" t="s">
        <v>278</v>
      </c>
    </row>
    <row r="99" spans="1:18" ht="16" outlineLevel="1">
      <c r="A99" s="11" t="s">
        <v>365</v>
      </c>
      <c r="B99" s="76">
        <v>200</v>
      </c>
      <c r="C99" s="76">
        <v>0</v>
      </c>
      <c r="D99" s="76">
        <v>0</v>
      </c>
      <c r="E99" s="76">
        <v>0</v>
      </c>
      <c r="F99" s="76">
        <v>125</v>
      </c>
      <c r="G99" s="76">
        <v>980</v>
      </c>
      <c r="H99" s="76">
        <v>0</v>
      </c>
      <c r="I99" s="76">
        <v>0</v>
      </c>
      <c r="J99" s="76">
        <v>0</v>
      </c>
      <c r="K99" s="76">
        <v>0</v>
      </c>
      <c r="L99" s="76">
        <v>515</v>
      </c>
      <c r="M99" s="76">
        <v>0</v>
      </c>
      <c r="N99" s="76"/>
      <c r="O99" s="77">
        <v>1820</v>
      </c>
      <c r="P99" s="9"/>
      <c r="Q99" s="9"/>
      <c r="R99" s="21" t="s">
        <v>278</v>
      </c>
    </row>
    <row r="100" spans="1:18" ht="16" outlineLevel="1">
      <c r="A100" s="11" t="s">
        <v>366</v>
      </c>
      <c r="B100" s="76">
        <v>0</v>
      </c>
      <c r="C100" s="76">
        <v>0</v>
      </c>
      <c r="D100" s="76">
        <v>0</v>
      </c>
      <c r="E100" s="76">
        <v>0</v>
      </c>
      <c r="F100" s="76">
        <v>0</v>
      </c>
      <c r="G100" s="76">
        <v>0</v>
      </c>
      <c r="H100" s="76">
        <v>0</v>
      </c>
      <c r="I100" s="76">
        <v>0</v>
      </c>
      <c r="J100" s="76">
        <v>152</v>
      </c>
      <c r="K100" s="77">
        <v>5140</v>
      </c>
      <c r="L100" s="76">
        <v>61.19</v>
      </c>
      <c r="M100" s="76">
        <v>0</v>
      </c>
      <c r="N100" s="76"/>
      <c r="O100" s="77">
        <v>5353.19</v>
      </c>
      <c r="P100" s="97"/>
      <c r="Q100" s="97"/>
      <c r="R100" s="21" t="s">
        <v>276</v>
      </c>
    </row>
    <row r="101" spans="1:18" ht="16" outlineLevel="1">
      <c r="A101" s="11" t="s">
        <v>367</v>
      </c>
      <c r="B101" s="76">
        <v>0</v>
      </c>
      <c r="C101" s="76">
        <v>0</v>
      </c>
      <c r="D101" s="76">
        <v>560</v>
      </c>
      <c r="E101" s="77">
        <v>4100</v>
      </c>
      <c r="F101" s="76">
        <v>0</v>
      </c>
      <c r="G101" s="77">
        <v>6260</v>
      </c>
      <c r="H101" s="76">
        <v>0</v>
      </c>
      <c r="I101" s="76">
        <v>0</v>
      </c>
      <c r="J101" s="77">
        <v>2245</v>
      </c>
      <c r="K101" s="76">
        <v>0</v>
      </c>
      <c r="L101" s="76">
        <v>0</v>
      </c>
      <c r="M101" s="76">
        <v>0</v>
      </c>
      <c r="N101" s="76"/>
      <c r="O101" s="77">
        <v>13165</v>
      </c>
      <c r="P101" s="97"/>
      <c r="Q101" s="97"/>
      <c r="R101" s="21" t="s">
        <v>278</v>
      </c>
    </row>
    <row r="102" spans="1:18" ht="16">
      <c r="A102" s="9" t="s">
        <v>193</v>
      </c>
      <c r="B102" s="96">
        <v>3100.62</v>
      </c>
      <c r="C102" s="96">
        <v>5911.33</v>
      </c>
      <c r="D102" s="96">
        <v>2360.54</v>
      </c>
      <c r="E102" s="96">
        <v>6643.63</v>
      </c>
      <c r="F102" s="96">
        <v>1995</v>
      </c>
      <c r="G102" s="96">
        <v>9628.02</v>
      </c>
      <c r="H102" s="99">
        <v>0</v>
      </c>
      <c r="I102" s="99">
        <v>0</v>
      </c>
      <c r="J102" s="96">
        <v>3303.8</v>
      </c>
      <c r="K102" s="96">
        <v>8685.7800000000007</v>
      </c>
      <c r="L102" s="96">
        <v>2766.2</v>
      </c>
      <c r="M102" s="96">
        <v>1258.46</v>
      </c>
      <c r="N102" s="96"/>
      <c r="O102" s="96">
        <v>45653.38</v>
      </c>
      <c r="P102" s="97"/>
      <c r="Q102" s="97"/>
    </row>
    <row r="103" spans="1:18" ht="16" outlineLevel="1">
      <c r="A103" s="9" t="s">
        <v>194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8" ht="16" outlineLevel="1">
      <c r="A104" s="11" t="s">
        <v>368</v>
      </c>
      <c r="B104" s="76">
        <v>645</v>
      </c>
      <c r="C104" s="76">
        <v>645</v>
      </c>
      <c r="D104" s="76">
        <v>667.17</v>
      </c>
      <c r="E104" s="76">
        <v>682.98</v>
      </c>
      <c r="F104" s="77">
        <v>1175</v>
      </c>
      <c r="G104" s="77">
        <v>1820</v>
      </c>
      <c r="H104" s="76">
        <v>0</v>
      </c>
      <c r="I104" s="76">
        <v>0</v>
      </c>
      <c r="J104" s="76">
        <v>0</v>
      </c>
      <c r="K104" s="76">
        <v>0</v>
      </c>
      <c r="L104" s="76">
        <v>0</v>
      </c>
      <c r="M104" s="76">
        <v>0</v>
      </c>
      <c r="N104" s="76"/>
      <c r="O104" s="77">
        <v>5635.15</v>
      </c>
      <c r="P104" s="97"/>
      <c r="Q104" s="97"/>
      <c r="R104" s="21" t="s">
        <v>194</v>
      </c>
    </row>
    <row r="105" spans="1:18" ht="16" outlineLevel="1">
      <c r="A105" s="11" t="s">
        <v>369</v>
      </c>
      <c r="B105" s="76">
        <v>0</v>
      </c>
      <c r="C105" s="76">
        <v>0</v>
      </c>
      <c r="D105" s="76">
        <v>0</v>
      </c>
      <c r="E105" s="76">
        <v>0</v>
      </c>
      <c r="F105" s="76">
        <v>0</v>
      </c>
      <c r="G105" s="76">
        <v>0</v>
      </c>
      <c r="H105" s="77">
        <v>1950</v>
      </c>
      <c r="I105" s="76">
        <v>0</v>
      </c>
      <c r="J105" s="76">
        <v>0</v>
      </c>
      <c r="K105" s="76">
        <v>0</v>
      </c>
      <c r="L105" s="76">
        <v>0</v>
      </c>
      <c r="M105" s="76">
        <v>0</v>
      </c>
      <c r="N105" s="76"/>
      <c r="O105" s="77">
        <v>1950</v>
      </c>
      <c r="P105" s="97"/>
      <c r="Q105" s="97"/>
      <c r="R105" s="21" t="s">
        <v>194</v>
      </c>
    </row>
    <row r="106" spans="1:18" ht="1" customHeight="1" outlineLevel="1">
      <c r="A106" s="11" t="s">
        <v>370</v>
      </c>
      <c r="B106" s="76">
        <v>0</v>
      </c>
      <c r="C106" s="76">
        <v>0</v>
      </c>
      <c r="D106" s="76">
        <v>0</v>
      </c>
      <c r="E106" s="76">
        <v>0</v>
      </c>
      <c r="F106" s="76">
        <v>0</v>
      </c>
      <c r="G106" s="76">
        <v>0</v>
      </c>
      <c r="H106" s="76">
        <v>0</v>
      </c>
      <c r="I106" s="76">
        <v>0</v>
      </c>
      <c r="J106" s="76">
        <v>600</v>
      </c>
      <c r="K106" s="76">
        <v>750</v>
      </c>
      <c r="L106" s="76">
        <v>0</v>
      </c>
      <c r="M106" s="76">
        <v>250</v>
      </c>
      <c r="N106" s="76"/>
      <c r="O106" s="77">
        <v>1600</v>
      </c>
      <c r="P106" s="97"/>
      <c r="Q106" s="97"/>
      <c r="R106" s="21" t="s">
        <v>194</v>
      </c>
    </row>
    <row r="107" spans="1:18" ht="16" outlineLevel="1">
      <c r="A107" s="11" t="s">
        <v>371</v>
      </c>
      <c r="B107" s="76">
        <v>0</v>
      </c>
      <c r="C107" s="76">
        <v>0</v>
      </c>
      <c r="D107" s="76">
        <v>0</v>
      </c>
      <c r="E107" s="76">
        <v>0</v>
      </c>
      <c r="F107" s="76">
        <v>0</v>
      </c>
      <c r="G107" s="76">
        <v>0</v>
      </c>
      <c r="H107" s="76">
        <v>0</v>
      </c>
      <c r="I107" s="76">
        <v>429.38</v>
      </c>
      <c r="J107" s="76">
        <v>0</v>
      </c>
      <c r="K107" s="79">
        <v>-79.03</v>
      </c>
      <c r="L107" s="76">
        <v>69</v>
      </c>
      <c r="M107" s="76">
        <v>0</v>
      </c>
      <c r="N107" s="76"/>
      <c r="O107" s="76">
        <v>419.35</v>
      </c>
      <c r="P107" s="97"/>
      <c r="Q107" s="97"/>
      <c r="R107" s="21" t="s">
        <v>194</v>
      </c>
    </row>
    <row r="108" spans="1:18" ht="16" outlineLevel="1">
      <c r="A108" s="11" t="s">
        <v>372</v>
      </c>
      <c r="B108" s="76">
        <v>0</v>
      </c>
      <c r="C108" s="76">
        <v>0</v>
      </c>
      <c r="D108" s="76">
        <v>0</v>
      </c>
      <c r="E108" s="76">
        <v>0</v>
      </c>
      <c r="F108" s="76">
        <v>0</v>
      </c>
      <c r="G108" s="76">
        <v>0</v>
      </c>
      <c r="H108" s="76">
        <v>0</v>
      </c>
      <c r="I108" s="76">
        <v>0</v>
      </c>
      <c r="J108" s="76">
        <v>373.23</v>
      </c>
      <c r="K108" s="76">
        <v>0</v>
      </c>
      <c r="L108" s="76">
        <v>0</v>
      </c>
      <c r="M108" s="76">
        <v>0</v>
      </c>
      <c r="N108" s="76"/>
      <c r="O108" s="76">
        <v>373.23</v>
      </c>
      <c r="P108" s="97"/>
      <c r="Q108" s="97"/>
      <c r="R108" s="21" t="s">
        <v>194</v>
      </c>
    </row>
    <row r="109" spans="1:18" ht="16" outlineLevel="1">
      <c r="A109" s="11" t="s">
        <v>373</v>
      </c>
      <c r="B109" s="76">
        <v>0</v>
      </c>
      <c r="C109" s="76">
        <v>0</v>
      </c>
      <c r="D109" s="76">
        <v>0</v>
      </c>
      <c r="E109" s="76">
        <v>0</v>
      </c>
      <c r="F109" s="76">
        <v>0</v>
      </c>
      <c r="G109" s="76">
        <v>0</v>
      </c>
      <c r="H109" s="76">
        <v>0</v>
      </c>
      <c r="I109" s="76">
        <v>0</v>
      </c>
      <c r="J109" s="76">
        <v>0</v>
      </c>
      <c r="K109" s="76">
        <v>163.95</v>
      </c>
      <c r="L109" s="76">
        <v>0</v>
      </c>
      <c r="M109" s="76">
        <v>0</v>
      </c>
      <c r="N109" s="76"/>
      <c r="O109" s="76">
        <v>163.95</v>
      </c>
      <c r="P109" s="97"/>
      <c r="Q109" s="97"/>
      <c r="R109" s="21" t="s">
        <v>194</v>
      </c>
    </row>
    <row r="110" spans="1:18" ht="16" outlineLevel="1">
      <c r="A110" s="100" t="s">
        <v>374</v>
      </c>
      <c r="B110" s="76">
        <v>0</v>
      </c>
      <c r="C110" s="76">
        <v>0</v>
      </c>
      <c r="D110" s="76">
        <v>0</v>
      </c>
      <c r="E110" s="76">
        <v>0</v>
      </c>
      <c r="F110" s="76">
        <v>0</v>
      </c>
      <c r="G110" s="76">
        <v>0</v>
      </c>
      <c r="H110" s="77">
        <v>2940.39</v>
      </c>
      <c r="I110" s="77">
        <v>2532</v>
      </c>
      <c r="J110" s="77">
        <v>2832</v>
      </c>
      <c r="K110" s="77">
        <v>2832</v>
      </c>
      <c r="L110" s="77">
        <v>2832</v>
      </c>
      <c r="M110" s="77">
        <v>2832</v>
      </c>
      <c r="N110" s="77"/>
      <c r="O110" s="77">
        <v>16800.39</v>
      </c>
      <c r="P110" s="97"/>
      <c r="Q110" s="97"/>
      <c r="R110" s="21" t="s">
        <v>194</v>
      </c>
    </row>
    <row r="111" spans="1:18" ht="16" outlineLevel="1">
      <c r="A111" s="11" t="s">
        <v>375</v>
      </c>
      <c r="B111" s="76">
        <v>0</v>
      </c>
      <c r="C111" s="76">
        <v>0</v>
      </c>
      <c r="D111" s="76">
        <v>0</v>
      </c>
      <c r="E111" s="76">
        <v>0</v>
      </c>
      <c r="F111" s="76">
        <v>0</v>
      </c>
      <c r="G111" s="76">
        <v>0</v>
      </c>
      <c r="H111" s="76">
        <v>800.65</v>
      </c>
      <c r="I111" s="76">
        <v>730</v>
      </c>
      <c r="J111" s="76">
        <v>730</v>
      </c>
      <c r="K111" s="76">
        <v>730</v>
      </c>
      <c r="L111" s="76">
        <v>730</v>
      </c>
      <c r="M111" s="76">
        <v>730</v>
      </c>
      <c r="N111" s="76"/>
      <c r="O111" s="77">
        <v>4450.6499999999996</v>
      </c>
      <c r="P111" s="97"/>
      <c r="Q111" s="97"/>
      <c r="R111" s="21" t="s">
        <v>194</v>
      </c>
    </row>
    <row r="112" spans="1:18" ht="16" collapsed="1">
      <c r="A112" s="9" t="s">
        <v>195</v>
      </c>
      <c r="B112" s="99">
        <v>645</v>
      </c>
      <c r="C112" s="99">
        <v>645</v>
      </c>
      <c r="D112" s="99">
        <v>667.17</v>
      </c>
      <c r="E112" s="99">
        <v>682.98</v>
      </c>
      <c r="F112" s="96">
        <v>1175</v>
      </c>
      <c r="G112" s="96">
        <v>1820</v>
      </c>
      <c r="H112" s="262">
        <v>5691.04</v>
      </c>
      <c r="I112" s="96">
        <v>3691.38</v>
      </c>
      <c r="J112" s="96">
        <v>4535.2299999999996</v>
      </c>
      <c r="K112" s="96">
        <v>4396.92</v>
      </c>
      <c r="L112" s="96">
        <v>3631</v>
      </c>
      <c r="M112" s="96">
        <v>3812</v>
      </c>
      <c r="N112" s="96"/>
      <c r="O112" s="96">
        <v>31392.720000000001</v>
      </c>
      <c r="P112" s="97"/>
      <c r="Q112" s="97"/>
    </row>
    <row r="113" spans="1:19" ht="16" hidden="1" customHeight="1" outlineLevel="1">
      <c r="A113" s="483" t="s">
        <v>376</v>
      </c>
      <c r="B113" s="484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9" ht="16" hidden="1" customHeight="1" outlineLevel="1">
      <c r="A114" s="11" t="s">
        <v>377</v>
      </c>
      <c r="B114" s="76">
        <v>776.97</v>
      </c>
      <c r="C114" s="76">
        <v>704.69</v>
      </c>
      <c r="D114" s="76">
        <v>234.76</v>
      </c>
      <c r="E114" s="76">
        <v>960</v>
      </c>
      <c r="F114" s="76">
        <v>0</v>
      </c>
      <c r="G114" s="77">
        <v>1475.28</v>
      </c>
      <c r="H114" s="77">
        <v>1205.79</v>
      </c>
      <c r="I114" s="76">
        <v>502.98</v>
      </c>
      <c r="J114" s="77">
        <v>2330</v>
      </c>
      <c r="K114" s="76">
        <v>818.79</v>
      </c>
      <c r="L114" s="77">
        <v>2001.93</v>
      </c>
      <c r="M114" s="76">
        <v>45.12</v>
      </c>
      <c r="N114" s="76"/>
      <c r="O114" s="77">
        <v>11056.31</v>
      </c>
      <c r="P114" s="97"/>
      <c r="Q114" s="97"/>
      <c r="R114" s="21" t="s">
        <v>276</v>
      </c>
    </row>
    <row r="115" spans="1:19" ht="16" hidden="1" customHeight="1" outlineLevel="1">
      <c r="A115" s="11" t="s">
        <v>378</v>
      </c>
      <c r="B115" s="77">
        <v>3414.03</v>
      </c>
      <c r="C115" s="76">
        <v>532.35</v>
      </c>
      <c r="D115" s="76">
        <v>511.46</v>
      </c>
      <c r="E115" s="77">
        <v>2075.9899999999998</v>
      </c>
      <c r="F115" s="76">
        <v>0</v>
      </c>
      <c r="G115" s="76">
        <v>861.56</v>
      </c>
      <c r="H115" s="77">
        <v>2205.25</v>
      </c>
      <c r="I115" s="76">
        <v>0</v>
      </c>
      <c r="J115" s="77">
        <v>1872.8</v>
      </c>
      <c r="K115" s="77">
        <v>2179.4699999999998</v>
      </c>
      <c r="L115" s="76">
        <v>601.88</v>
      </c>
      <c r="M115" s="77">
        <v>3883.34</v>
      </c>
      <c r="N115" s="77"/>
      <c r="O115" s="77">
        <v>18138.13</v>
      </c>
      <c r="P115" s="97"/>
      <c r="Q115" s="97"/>
      <c r="R115" s="21" t="s">
        <v>276</v>
      </c>
    </row>
    <row r="116" spans="1:19" ht="16" hidden="1" customHeight="1" outlineLevel="1">
      <c r="A116" s="11" t="s">
        <v>379</v>
      </c>
      <c r="B116" s="76">
        <v>610</v>
      </c>
      <c r="C116" s="76">
        <v>775</v>
      </c>
      <c r="D116" s="76">
        <v>205.3</v>
      </c>
      <c r="E116" s="76">
        <v>0</v>
      </c>
      <c r="F116" s="76">
        <v>650</v>
      </c>
      <c r="G116" s="76">
        <v>0</v>
      </c>
      <c r="H116" s="76">
        <v>309.3</v>
      </c>
      <c r="I116" s="76">
        <v>0</v>
      </c>
      <c r="J116" s="76">
        <v>0</v>
      </c>
      <c r="K116" s="76">
        <v>0</v>
      </c>
      <c r="L116" s="76">
        <v>0</v>
      </c>
      <c r="M116" s="76">
        <v>0</v>
      </c>
      <c r="N116" s="76"/>
      <c r="O116" s="77">
        <v>2549.6</v>
      </c>
      <c r="P116" s="97"/>
      <c r="Q116" s="97"/>
      <c r="R116" s="21" t="s">
        <v>276</v>
      </c>
    </row>
    <row r="117" spans="1:19" ht="16" hidden="1" customHeight="1" outlineLevel="1">
      <c r="A117" s="11" t="s">
        <v>380</v>
      </c>
      <c r="B117" s="77">
        <v>1500</v>
      </c>
      <c r="C117" s="77">
        <v>1500</v>
      </c>
      <c r="D117" s="76">
        <v>750</v>
      </c>
      <c r="E117" s="76">
        <v>0</v>
      </c>
      <c r="F117" s="76">
        <v>0</v>
      </c>
      <c r="G117" s="76">
        <v>800</v>
      </c>
      <c r="H117" s="76">
        <v>0</v>
      </c>
      <c r="I117" s="76">
        <v>0</v>
      </c>
      <c r="J117" s="76">
        <v>645</v>
      </c>
      <c r="K117" s="76">
        <v>0</v>
      </c>
      <c r="L117" s="76">
        <v>396.41</v>
      </c>
      <c r="M117" s="76">
        <v>0</v>
      </c>
      <c r="N117" s="76"/>
      <c r="O117" s="77">
        <v>5591.41</v>
      </c>
      <c r="P117" s="97"/>
      <c r="Q117" s="97"/>
      <c r="R117" s="21" t="s">
        <v>276</v>
      </c>
    </row>
    <row r="118" spans="1:19" ht="16" hidden="1" customHeight="1" outlineLevel="1">
      <c r="A118" s="11" t="s">
        <v>381</v>
      </c>
      <c r="B118" s="77">
        <v>1009.81</v>
      </c>
      <c r="C118" s="76">
        <v>510.19</v>
      </c>
      <c r="D118" s="77">
        <v>1369.28</v>
      </c>
      <c r="E118" s="77">
        <v>1819.9</v>
      </c>
      <c r="F118" s="76">
        <v>674.13</v>
      </c>
      <c r="G118" s="77">
        <v>4162.29</v>
      </c>
      <c r="H118" s="76">
        <v>857</v>
      </c>
      <c r="I118" s="76">
        <v>0</v>
      </c>
      <c r="J118" s="76">
        <v>0</v>
      </c>
      <c r="K118" s="76">
        <v>0</v>
      </c>
      <c r="L118" s="76">
        <v>0</v>
      </c>
      <c r="M118" s="76">
        <v>209.99</v>
      </c>
      <c r="N118" s="76"/>
      <c r="O118" s="77">
        <v>10612.59</v>
      </c>
      <c r="P118" s="97"/>
      <c r="Q118" s="97"/>
      <c r="R118" s="21" t="s">
        <v>276</v>
      </c>
    </row>
    <row r="119" spans="1:19" ht="16" hidden="1" customHeight="1" outlineLevel="1">
      <c r="A119" s="11" t="s">
        <v>382</v>
      </c>
      <c r="B119" s="76">
        <v>0</v>
      </c>
      <c r="C119" s="76">
        <v>0</v>
      </c>
      <c r="D119" s="76">
        <v>0</v>
      </c>
      <c r="E119" s="76">
        <v>0</v>
      </c>
      <c r="F119" s="77">
        <v>1405</v>
      </c>
      <c r="G119" s="76">
        <v>954.6</v>
      </c>
      <c r="H119" s="76">
        <v>0</v>
      </c>
      <c r="I119" s="76">
        <v>0</v>
      </c>
      <c r="J119" s="76">
        <v>0</v>
      </c>
      <c r="K119" s="76">
        <v>633.25</v>
      </c>
      <c r="L119" s="76">
        <v>0</v>
      </c>
      <c r="M119" s="77">
        <v>1225</v>
      </c>
      <c r="N119" s="77"/>
      <c r="O119" s="77">
        <v>4217.8500000000004</v>
      </c>
      <c r="P119" s="97"/>
      <c r="Q119" s="97"/>
      <c r="R119" s="21" t="s">
        <v>276</v>
      </c>
    </row>
    <row r="120" spans="1:19" ht="16" hidden="1" customHeight="1" outlineLevel="1">
      <c r="A120" s="11" t="s">
        <v>383</v>
      </c>
      <c r="B120" s="76">
        <v>266.61</v>
      </c>
      <c r="C120" s="76">
        <v>0</v>
      </c>
      <c r="D120" s="76">
        <v>125</v>
      </c>
      <c r="E120" s="79">
        <v>-105</v>
      </c>
      <c r="F120" s="76">
        <v>0</v>
      </c>
      <c r="G120" s="76">
        <v>0</v>
      </c>
      <c r="H120" s="77">
        <v>1123.32</v>
      </c>
      <c r="I120" s="76">
        <v>161.49</v>
      </c>
      <c r="J120" s="76">
        <v>397.86</v>
      </c>
      <c r="K120" s="76">
        <v>953.46</v>
      </c>
      <c r="L120" s="77">
        <v>1018.7</v>
      </c>
      <c r="M120" s="77">
        <v>1322.35</v>
      </c>
      <c r="N120" s="77"/>
      <c r="O120" s="77">
        <v>5263.79</v>
      </c>
      <c r="P120" s="97"/>
      <c r="Q120" s="97"/>
      <c r="R120" s="21" t="s">
        <v>276</v>
      </c>
    </row>
    <row r="121" spans="1:19" ht="16" hidden="1" customHeight="1" outlineLevel="1">
      <c r="A121" s="11" t="s">
        <v>384</v>
      </c>
      <c r="B121" s="76">
        <v>0</v>
      </c>
      <c r="C121" s="76">
        <v>0</v>
      </c>
      <c r="D121" s="79">
        <v>-118</v>
      </c>
      <c r="E121" s="76">
        <v>0</v>
      </c>
      <c r="F121" s="76">
        <v>0</v>
      </c>
      <c r="G121" s="76">
        <v>128.99</v>
      </c>
      <c r="H121" s="76">
        <v>0</v>
      </c>
      <c r="I121" s="76">
        <v>0</v>
      </c>
      <c r="J121" s="76">
        <v>0</v>
      </c>
      <c r="K121" s="76">
        <v>0</v>
      </c>
      <c r="L121" s="76">
        <v>107.48</v>
      </c>
      <c r="M121" s="76">
        <v>0</v>
      </c>
      <c r="N121" s="76"/>
      <c r="O121" s="76">
        <v>118.47</v>
      </c>
      <c r="P121" s="97"/>
      <c r="Q121" s="97"/>
      <c r="R121" s="21" t="s">
        <v>276</v>
      </c>
    </row>
    <row r="122" spans="1:19" ht="16" hidden="1" customHeight="1" outlineLevel="1">
      <c r="A122" s="11" t="s">
        <v>385</v>
      </c>
      <c r="B122" s="76">
        <v>0</v>
      </c>
      <c r="C122" s="76">
        <v>75</v>
      </c>
      <c r="D122" s="76">
        <v>0</v>
      </c>
      <c r="E122" s="76">
        <v>50</v>
      </c>
      <c r="F122" s="76">
        <v>50</v>
      </c>
      <c r="G122" s="76">
        <v>25</v>
      </c>
      <c r="H122" s="76">
        <v>0</v>
      </c>
      <c r="I122" s="76">
        <v>0</v>
      </c>
      <c r="J122" s="76">
        <v>0</v>
      </c>
      <c r="K122" s="76">
        <v>0</v>
      </c>
      <c r="L122" s="76">
        <v>0</v>
      </c>
      <c r="M122" s="76">
        <v>0</v>
      </c>
      <c r="N122" s="76"/>
      <c r="O122" s="76">
        <v>200</v>
      </c>
      <c r="P122" s="97"/>
      <c r="Q122" s="97"/>
      <c r="R122" s="21" t="s">
        <v>276</v>
      </c>
    </row>
    <row r="123" spans="1:19" ht="16" hidden="1" customHeight="1" outlineLevel="1">
      <c r="A123" s="101" t="s">
        <v>386</v>
      </c>
      <c r="B123" s="102">
        <v>0</v>
      </c>
      <c r="C123" s="102">
        <v>0</v>
      </c>
      <c r="D123" s="102">
        <v>0</v>
      </c>
      <c r="E123" s="102">
        <v>0</v>
      </c>
      <c r="F123" s="102">
        <v>315</v>
      </c>
      <c r="G123" s="102">
        <v>370</v>
      </c>
      <c r="H123" s="102">
        <v>0</v>
      </c>
      <c r="I123" s="102">
        <v>0</v>
      </c>
      <c r="J123" s="102">
        <v>0</v>
      </c>
      <c r="K123" s="102">
        <v>0</v>
      </c>
      <c r="L123" s="102">
        <v>0</v>
      </c>
      <c r="M123" s="102">
        <v>0</v>
      </c>
      <c r="N123" s="102"/>
      <c r="O123" s="102">
        <v>685</v>
      </c>
      <c r="P123" s="103"/>
      <c r="Q123" s="103"/>
      <c r="R123" s="97" t="s">
        <v>197</v>
      </c>
      <c r="S123" s="21" t="s">
        <v>387</v>
      </c>
    </row>
    <row r="124" spans="1:19" ht="16" hidden="1" customHeight="1" outlineLevel="1">
      <c r="A124" s="101" t="s">
        <v>388</v>
      </c>
      <c r="B124" s="102">
        <v>0</v>
      </c>
      <c r="C124" s="102">
        <v>445</v>
      </c>
      <c r="D124" s="102">
        <v>0</v>
      </c>
      <c r="E124" s="102">
        <v>470</v>
      </c>
      <c r="F124" s="104">
        <v>1515</v>
      </c>
      <c r="G124" s="102">
        <v>504.68</v>
      </c>
      <c r="H124" s="102">
        <v>0</v>
      </c>
      <c r="I124" s="102">
        <v>0</v>
      </c>
      <c r="J124" s="102">
        <v>0</v>
      </c>
      <c r="K124" s="102">
        <v>730</v>
      </c>
      <c r="L124" s="102">
        <v>900</v>
      </c>
      <c r="M124" s="102">
        <v>0</v>
      </c>
      <c r="N124" s="102"/>
      <c r="O124" s="104">
        <v>4564.68</v>
      </c>
      <c r="P124" s="103"/>
      <c r="Q124" s="103"/>
      <c r="R124" s="97" t="s">
        <v>197</v>
      </c>
      <c r="S124" s="21" t="s">
        <v>387</v>
      </c>
    </row>
    <row r="125" spans="1:19" ht="16" hidden="1" customHeight="1" outlineLevel="1">
      <c r="A125" s="11" t="s">
        <v>389</v>
      </c>
      <c r="B125" s="76">
        <v>0</v>
      </c>
      <c r="C125" s="76">
        <v>0</v>
      </c>
      <c r="D125" s="76">
        <v>0</v>
      </c>
      <c r="E125" s="76">
        <v>0</v>
      </c>
      <c r="F125" s="76">
        <v>0</v>
      </c>
      <c r="G125" s="76">
        <v>0</v>
      </c>
      <c r="H125" s="76">
        <v>0</v>
      </c>
      <c r="I125" s="76">
        <v>38.5</v>
      </c>
      <c r="J125" s="76">
        <v>0</v>
      </c>
      <c r="K125" s="76">
        <v>0</v>
      </c>
      <c r="L125" s="76">
        <v>0</v>
      </c>
      <c r="M125" s="76">
        <v>0</v>
      </c>
      <c r="N125" s="76"/>
      <c r="O125" s="76">
        <v>38.5</v>
      </c>
      <c r="P125" s="97"/>
      <c r="Q125" s="97"/>
      <c r="R125" s="21" t="s">
        <v>276</v>
      </c>
    </row>
    <row r="126" spans="1:19" ht="16">
      <c r="A126" s="9" t="s">
        <v>196</v>
      </c>
      <c r="B126" s="96">
        <v>7577.42</v>
      </c>
      <c r="C126" s="96">
        <v>4542.2299999999996</v>
      </c>
      <c r="D126" s="96">
        <v>3077.8</v>
      </c>
      <c r="E126" s="96">
        <v>5270.89</v>
      </c>
      <c r="F126" s="96">
        <v>4609.13</v>
      </c>
      <c r="G126" s="96">
        <v>9282.4</v>
      </c>
      <c r="H126" s="96">
        <v>5700.66</v>
      </c>
      <c r="I126" s="99">
        <v>702.97</v>
      </c>
      <c r="J126" s="96">
        <v>5245.66</v>
      </c>
      <c r="K126" s="96">
        <v>5314.97</v>
      </c>
      <c r="L126" s="96">
        <v>5026.3999999999996</v>
      </c>
      <c r="M126" s="96">
        <v>6685.8</v>
      </c>
      <c r="N126" s="96"/>
      <c r="O126" s="96">
        <v>63036.33</v>
      </c>
      <c r="P126" s="97">
        <f>AVERAGE(K126:M126)*12</f>
        <v>68108.679999999993</v>
      </c>
      <c r="Q126" s="31">
        <f t="shared" ref="Q126" si="8">SUM(I126:M126)*2</f>
        <v>45951.6</v>
      </c>
    </row>
    <row r="127" spans="1:19" ht="16" outlineLevel="1">
      <c r="A127" s="9" t="s">
        <v>197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9" ht="16" outlineLevel="1">
      <c r="A128" s="11" t="s">
        <v>390</v>
      </c>
      <c r="B128" s="76">
        <v>0</v>
      </c>
      <c r="C128" s="76">
        <v>0</v>
      </c>
      <c r="D128" s="76">
        <v>0</v>
      </c>
      <c r="E128" s="76">
        <v>0</v>
      </c>
      <c r="F128" s="76">
        <v>0</v>
      </c>
      <c r="G128" s="76">
        <v>0</v>
      </c>
      <c r="H128" s="76">
        <v>0</v>
      </c>
      <c r="I128" s="76">
        <v>19.34</v>
      </c>
      <c r="J128" s="76">
        <v>0</v>
      </c>
      <c r="K128" s="76">
        <v>169.81</v>
      </c>
      <c r="L128" s="76">
        <v>0</v>
      </c>
      <c r="M128" s="76">
        <v>0</v>
      </c>
      <c r="N128" s="76"/>
      <c r="O128" s="76">
        <v>189.15</v>
      </c>
      <c r="P128" s="97"/>
      <c r="Q128" s="97"/>
      <c r="R128" s="21" t="s">
        <v>276</v>
      </c>
    </row>
    <row r="129" spans="1:19" ht="16" outlineLevel="1">
      <c r="A129" s="11" t="s">
        <v>391</v>
      </c>
      <c r="B129" s="76">
        <v>0</v>
      </c>
      <c r="C129" s="76">
        <v>0</v>
      </c>
      <c r="D129" s="76">
        <v>0</v>
      </c>
      <c r="E129" s="76">
        <v>0</v>
      </c>
      <c r="F129" s="76">
        <v>0</v>
      </c>
      <c r="G129" s="76">
        <v>0</v>
      </c>
      <c r="H129" s="76">
        <v>0</v>
      </c>
      <c r="I129" s="76">
        <v>0</v>
      </c>
      <c r="J129" s="76">
        <v>47.57</v>
      </c>
      <c r="K129" s="76">
        <v>0</v>
      </c>
      <c r="L129" s="76">
        <v>0</v>
      </c>
      <c r="M129" s="77">
        <v>1916.73</v>
      </c>
      <c r="N129" s="77"/>
      <c r="O129" s="77">
        <v>1964.3</v>
      </c>
      <c r="P129" s="97"/>
      <c r="Q129" s="97"/>
      <c r="R129" s="97" t="s">
        <v>197</v>
      </c>
    </row>
    <row r="130" spans="1:19" ht="16" outlineLevel="1">
      <c r="A130" s="11" t="s">
        <v>392</v>
      </c>
      <c r="B130" s="76">
        <v>0</v>
      </c>
      <c r="C130" s="76">
        <v>887</v>
      </c>
      <c r="D130" s="76">
        <v>0</v>
      </c>
      <c r="E130" s="77">
        <v>1186.18</v>
      </c>
      <c r="F130" s="76">
        <v>106</v>
      </c>
      <c r="G130" s="76">
        <v>0</v>
      </c>
      <c r="H130" s="76">
        <v>523.29999999999995</v>
      </c>
      <c r="I130" s="76">
        <v>0</v>
      </c>
      <c r="J130" s="76">
        <v>0</v>
      </c>
      <c r="K130" s="76">
        <v>0</v>
      </c>
      <c r="L130" s="76">
        <v>0</v>
      </c>
      <c r="M130" s="76">
        <v>0</v>
      </c>
      <c r="N130" s="76"/>
      <c r="O130" s="77">
        <v>2702.48</v>
      </c>
      <c r="P130" s="97"/>
      <c r="Q130" s="97"/>
      <c r="R130" s="21" t="s">
        <v>276</v>
      </c>
    </row>
    <row r="131" spans="1:19" ht="16" outlineLevel="1">
      <c r="A131" s="11" t="s">
        <v>393</v>
      </c>
      <c r="B131" s="76">
        <v>0</v>
      </c>
      <c r="C131" s="76">
        <v>24.95</v>
      </c>
      <c r="D131" s="76">
        <v>24.95</v>
      </c>
      <c r="E131" s="76">
        <v>24.95</v>
      </c>
      <c r="F131" s="76">
        <v>0</v>
      </c>
      <c r="G131" s="76">
        <v>49.9</v>
      </c>
      <c r="H131" s="76">
        <v>0</v>
      </c>
      <c r="I131" s="76">
        <v>0</v>
      </c>
      <c r="J131" s="76">
        <v>0</v>
      </c>
      <c r="K131" s="76">
        <v>0</v>
      </c>
      <c r="L131" s="76">
        <v>0</v>
      </c>
      <c r="M131" s="76">
        <v>0</v>
      </c>
      <c r="N131" s="76"/>
      <c r="O131" s="76">
        <v>124.75</v>
      </c>
      <c r="P131" s="97"/>
      <c r="Q131" s="97"/>
      <c r="R131" s="97" t="s">
        <v>197</v>
      </c>
    </row>
    <row r="132" spans="1:19" ht="16" outlineLevel="1">
      <c r="A132" s="11" t="s">
        <v>394</v>
      </c>
      <c r="B132" s="76">
        <v>107.48</v>
      </c>
      <c r="C132" s="76">
        <v>0</v>
      </c>
      <c r="D132" s="76">
        <v>344.33</v>
      </c>
      <c r="E132" s="76">
        <v>458.25</v>
      </c>
      <c r="F132" s="76">
        <v>113.92</v>
      </c>
      <c r="G132" s="76">
        <v>0</v>
      </c>
      <c r="H132" s="76">
        <v>0</v>
      </c>
      <c r="I132" s="76">
        <v>0</v>
      </c>
      <c r="J132" s="76">
        <v>343.47</v>
      </c>
      <c r="K132" s="76">
        <v>341.76</v>
      </c>
      <c r="L132" s="76">
        <v>0</v>
      </c>
      <c r="M132" s="76">
        <v>0</v>
      </c>
      <c r="N132" s="76"/>
      <c r="O132" s="77">
        <v>1709.21</v>
      </c>
      <c r="P132" s="97"/>
      <c r="Q132" s="97"/>
      <c r="R132" s="97" t="s">
        <v>197</v>
      </c>
    </row>
    <row r="133" spans="1:19" ht="16" outlineLevel="1">
      <c r="A133" s="11" t="s">
        <v>395</v>
      </c>
      <c r="B133" s="77">
        <v>3579.82</v>
      </c>
      <c r="C133" s="76">
        <v>0</v>
      </c>
      <c r="D133" s="77">
        <v>2473</v>
      </c>
      <c r="E133" s="77">
        <v>2888.16</v>
      </c>
      <c r="F133" s="77">
        <v>2662.76</v>
      </c>
      <c r="G133" s="77">
        <v>3499.83</v>
      </c>
      <c r="H133" s="77">
        <v>2225.91</v>
      </c>
      <c r="I133" s="77">
        <v>1604.25</v>
      </c>
      <c r="J133" s="77">
        <v>1877.54</v>
      </c>
      <c r="K133" s="77">
        <v>1964.2</v>
      </c>
      <c r="L133" s="77">
        <v>1660.11</v>
      </c>
      <c r="M133" s="77">
        <v>2263.5100000000002</v>
      </c>
      <c r="N133" s="77"/>
      <c r="O133" s="77">
        <v>26699.09</v>
      </c>
      <c r="P133" s="97">
        <f>AVERAGE(K133:M133)*12</f>
        <v>23551.279999999999</v>
      </c>
      <c r="Q133" s="97"/>
      <c r="R133" s="97" t="s">
        <v>197</v>
      </c>
    </row>
    <row r="134" spans="1:19" ht="16" outlineLevel="1">
      <c r="A134" s="11" t="s">
        <v>396</v>
      </c>
      <c r="B134" s="77">
        <v>1950</v>
      </c>
      <c r="C134" s="77">
        <v>1950</v>
      </c>
      <c r="D134" s="77">
        <v>1950</v>
      </c>
      <c r="E134" s="76">
        <v>0</v>
      </c>
      <c r="F134" s="77">
        <v>1950</v>
      </c>
      <c r="G134" s="77">
        <v>3900</v>
      </c>
      <c r="H134" s="77">
        <v>1950</v>
      </c>
      <c r="I134" s="77">
        <v>1950</v>
      </c>
      <c r="J134" s="77">
        <v>1950</v>
      </c>
      <c r="K134" s="77">
        <v>1950</v>
      </c>
      <c r="L134" s="77">
        <v>1950</v>
      </c>
      <c r="M134" s="77">
        <v>1950</v>
      </c>
      <c r="N134" s="77"/>
      <c r="O134" s="77">
        <v>23400</v>
      </c>
      <c r="P134" s="97"/>
      <c r="Q134" s="97"/>
      <c r="R134" s="97" t="s">
        <v>197</v>
      </c>
    </row>
    <row r="135" spans="1:19" ht="16" outlineLevel="1">
      <c r="A135" s="11" t="s">
        <v>397</v>
      </c>
      <c r="B135" s="76">
        <v>133.84</v>
      </c>
      <c r="C135" s="76">
        <v>138.13999999999999</v>
      </c>
      <c r="D135" s="76">
        <v>138.13999999999999</v>
      </c>
      <c r="E135" s="76">
        <v>138.13999999999999</v>
      </c>
      <c r="F135" s="76">
        <v>138</v>
      </c>
      <c r="G135" s="76">
        <v>138.01</v>
      </c>
      <c r="H135" s="76">
        <v>133.84</v>
      </c>
      <c r="I135" s="76">
        <v>137.16</v>
      </c>
      <c r="J135" s="76">
        <v>158.1</v>
      </c>
      <c r="K135" s="76">
        <v>145.59</v>
      </c>
      <c r="L135" s="76">
        <v>138.36000000000001</v>
      </c>
      <c r="M135" s="76">
        <v>138.36000000000001</v>
      </c>
      <c r="N135" s="76"/>
      <c r="O135" s="77">
        <v>1675.68</v>
      </c>
      <c r="P135" s="97"/>
      <c r="Q135" s="97"/>
      <c r="R135" s="97" t="s">
        <v>197</v>
      </c>
    </row>
    <row r="136" spans="1:19" ht="16" outlineLevel="1">
      <c r="A136" s="11" t="s">
        <v>398</v>
      </c>
      <c r="B136" s="76">
        <v>180</v>
      </c>
      <c r="C136" s="76">
        <v>180</v>
      </c>
      <c r="D136" s="79">
        <v>-608</v>
      </c>
      <c r="E136" s="76">
        <v>180</v>
      </c>
      <c r="F136" s="76">
        <v>180</v>
      </c>
      <c r="G136" s="76">
        <v>605.5</v>
      </c>
      <c r="H136" s="76">
        <v>180</v>
      </c>
      <c r="I136" s="76">
        <v>180</v>
      </c>
      <c r="J136" s="76">
        <v>180</v>
      </c>
      <c r="K136" s="76">
        <v>180</v>
      </c>
      <c r="L136" s="76">
        <v>703.5</v>
      </c>
      <c r="M136" s="76">
        <v>180</v>
      </c>
      <c r="N136" s="76"/>
      <c r="O136" s="77">
        <v>2321</v>
      </c>
      <c r="P136" s="97"/>
      <c r="Q136" s="97"/>
      <c r="R136" s="97" t="s">
        <v>197</v>
      </c>
    </row>
    <row r="137" spans="1:19" ht="16" outlineLevel="1">
      <c r="A137" s="11" t="s">
        <v>399</v>
      </c>
      <c r="B137" s="76">
        <v>0</v>
      </c>
      <c r="C137" s="76">
        <v>0</v>
      </c>
      <c r="D137" s="76">
        <v>0</v>
      </c>
      <c r="E137" s="76">
        <v>0</v>
      </c>
      <c r="F137" s="76">
        <v>0</v>
      </c>
      <c r="G137" s="76">
        <v>878.31</v>
      </c>
      <c r="H137" s="76">
        <v>0</v>
      </c>
      <c r="I137" s="76">
        <v>0</v>
      </c>
      <c r="J137" s="76">
        <v>900</v>
      </c>
      <c r="K137" s="76">
        <v>225</v>
      </c>
      <c r="L137" s="76">
        <v>900</v>
      </c>
      <c r="M137" s="76">
        <v>900</v>
      </c>
      <c r="N137" s="76"/>
      <c r="O137" s="77">
        <v>3803.31</v>
      </c>
      <c r="P137" s="97"/>
      <c r="Q137" s="97"/>
      <c r="R137" s="97" t="s">
        <v>197</v>
      </c>
    </row>
    <row r="138" spans="1:19" ht="16">
      <c r="A138" s="9" t="s">
        <v>198</v>
      </c>
      <c r="B138" s="96">
        <v>5951.14</v>
      </c>
      <c r="C138" s="96">
        <v>3180.09</v>
      </c>
      <c r="D138" s="96">
        <v>4322.42</v>
      </c>
      <c r="E138" s="96">
        <v>4875.68</v>
      </c>
      <c r="F138" s="96">
        <v>5150.68</v>
      </c>
      <c r="G138" s="96">
        <v>9071.5499999999993</v>
      </c>
      <c r="H138" s="96">
        <v>5013.05</v>
      </c>
      <c r="I138" s="96">
        <v>3890.75</v>
      </c>
      <c r="J138" s="96">
        <v>5456.68</v>
      </c>
      <c r="K138" s="96">
        <v>4976.3599999999997</v>
      </c>
      <c r="L138" s="96">
        <v>5351.97</v>
      </c>
      <c r="M138" s="96">
        <v>7348.6</v>
      </c>
      <c r="N138" s="96"/>
      <c r="O138" s="96">
        <v>64588.97</v>
      </c>
      <c r="P138" s="97">
        <f>O138*1.03</f>
        <v>66526.6391</v>
      </c>
      <c r="Q138" s="97"/>
    </row>
    <row r="139" spans="1:19" ht="16">
      <c r="A139" s="9" t="s">
        <v>49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229"/>
      <c r="Q139" s="229"/>
    </row>
    <row r="140" spans="1:19" ht="16" outlineLevel="1">
      <c r="A140" s="11" t="s">
        <v>400</v>
      </c>
      <c r="B140" s="77">
        <v>1518.99</v>
      </c>
      <c r="C140" s="76">
        <v>159.43</v>
      </c>
      <c r="D140" s="76">
        <v>108.56</v>
      </c>
      <c r="E140" s="76">
        <v>686.75</v>
      </c>
      <c r="F140" s="76">
        <v>847.37</v>
      </c>
      <c r="G140" s="76">
        <v>0</v>
      </c>
      <c r="H140" s="76">
        <v>0</v>
      </c>
      <c r="I140" s="76">
        <v>0</v>
      </c>
      <c r="J140" s="76">
        <v>0</v>
      </c>
      <c r="K140" s="76">
        <v>0</v>
      </c>
      <c r="L140" s="76">
        <v>0</v>
      </c>
      <c r="M140" s="76">
        <v>0</v>
      </c>
      <c r="N140" s="76"/>
      <c r="O140" s="77">
        <v>3321.1</v>
      </c>
      <c r="P140" s="97"/>
      <c r="Q140" s="97"/>
      <c r="R140" s="21" t="s">
        <v>49</v>
      </c>
      <c r="S140" s="21" t="s">
        <v>401</v>
      </c>
    </row>
    <row r="141" spans="1:19" ht="16" outlineLevel="1">
      <c r="A141" s="11" t="s">
        <v>402</v>
      </c>
      <c r="B141" s="76">
        <v>0</v>
      </c>
      <c r="C141" s="76">
        <v>721.01</v>
      </c>
      <c r="D141" s="76">
        <v>0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76">
        <v>704.84</v>
      </c>
      <c r="K141" s="76">
        <v>576.32000000000005</v>
      </c>
      <c r="L141" s="76">
        <v>0</v>
      </c>
      <c r="M141" s="76">
        <v>0</v>
      </c>
      <c r="N141" s="76"/>
      <c r="O141" s="77">
        <v>2002.17</v>
      </c>
      <c r="P141" s="97"/>
      <c r="Q141" s="97"/>
      <c r="R141" s="21" t="s">
        <v>49</v>
      </c>
      <c r="S141" s="21" t="s">
        <v>401</v>
      </c>
    </row>
    <row r="142" spans="1:19" ht="16" outlineLevel="1">
      <c r="A142" s="11" t="s">
        <v>403</v>
      </c>
      <c r="B142" s="76">
        <v>908.05</v>
      </c>
      <c r="C142" s="77">
        <v>1033.78</v>
      </c>
      <c r="D142" s="76">
        <v>842.86</v>
      </c>
      <c r="E142" s="76">
        <v>858.39</v>
      </c>
      <c r="F142" s="77">
        <v>1328.01</v>
      </c>
      <c r="G142" s="77">
        <v>1291.6300000000001</v>
      </c>
      <c r="H142" s="76">
        <v>0</v>
      </c>
      <c r="I142" s="76">
        <v>0</v>
      </c>
      <c r="J142" s="76">
        <v>0</v>
      </c>
      <c r="K142" s="76">
        <v>0</v>
      </c>
      <c r="L142" s="76">
        <v>0</v>
      </c>
      <c r="M142" s="76">
        <v>0</v>
      </c>
      <c r="N142" s="76"/>
      <c r="O142" s="77">
        <v>6262.72</v>
      </c>
      <c r="P142" s="97"/>
      <c r="Q142" s="97"/>
      <c r="R142" s="21" t="s">
        <v>49</v>
      </c>
      <c r="S142" s="21" t="s">
        <v>247</v>
      </c>
    </row>
    <row r="143" spans="1:19" ht="16" outlineLevel="1">
      <c r="A143" s="11" t="s">
        <v>404</v>
      </c>
      <c r="B143" s="77">
        <v>2841.87</v>
      </c>
      <c r="C143" s="77">
        <v>3374.99</v>
      </c>
      <c r="D143" s="77">
        <v>2565.44</v>
      </c>
      <c r="E143" s="77">
        <v>2631.26</v>
      </c>
      <c r="F143" s="77">
        <v>2246.4699999999998</v>
      </c>
      <c r="G143" s="77">
        <v>2181.13</v>
      </c>
      <c r="H143" s="76">
        <v>0</v>
      </c>
      <c r="I143" s="77">
        <v>1272.04</v>
      </c>
      <c r="J143" s="77">
        <v>2020.28</v>
      </c>
      <c r="K143" s="77">
        <v>2161.02</v>
      </c>
      <c r="L143" s="77">
        <v>2331.46</v>
      </c>
      <c r="M143" s="77">
        <v>2619.0100000000002</v>
      </c>
      <c r="N143" s="77"/>
      <c r="O143" s="77">
        <v>26244.97</v>
      </c>
      <c r="P143" s="97"/>
      <c r="Q143" s="97"/>
      <c r="R143" s="21" t="s">
        <v>49</v>
      </c>
      <c r="S143" s="21" t="s">
        <v>247</v>
      </c>
    </row>
    <row r="144" spans="1:19" ht="16" outlineLevel="1">
      <c r="A144" s="11" t="s">
        <v>405</v>
      </c>
      <c r="B144" s="76">
        <v>0</v>
      </c>
      <c r="C144" s="77">
        <v>2217.0500000000002</v>
      </c>
      <c r="D144" s="76">
        <v>700.34</v>
      </c>
      <c r="E144" s="76">
        <v>739.01</v>
      </c>
      <c r="F144" s="76">
        <v>313.17</v>
      </c>
      <c r="G144" s="76">
        <v>223.12</v>
      </c>
      <c r="H144" s="77">
        <v>2930.23</v>
      </c>
      <c r="I144" s="76">
        <v>971.93</v>
      </c>
      <c r="J144" s="76">
        <v>221.03</v>
      </c>
      <c r="K144" s="76">
        <v>927.33</v>
      </c>
      <c r="L144" s="77">
        <v>1026.1400000000001</v>
      </c>
      <c r="M144" s="76">
        <v>745.29</v>
      </c>
      <c r="N144" s="76"/>
      <c r="O144" s="77">
        <v>11014.64</v>
      </c>
      <c r="P144" s="97"/>
      <c r="Q144" s="97"/>
      <c r="R144" s="21" t="s">
        <v>49</v>
      </c>
      <c r="S144" s="21" t="s">
        <v>401</v>
      </c>
    </row>
    <row r="145" spans="1:19" ht="16" outlineLevel="1">
      <c r="A145" s="11" t="s">
        <v>406</v>
      </c>
      <c r="B145" s="76">
        <v>0</v>
      </c>
      <c r="C145" s="76">
        <v>656.85</v>
      </c>
      <c r="D145" s="77">
        <v>1523.47</v>
      </c>
      <c r="E145" s="79">
        <v>-85.48</v>
      </c>
      <c r="F145" s="76">
        <v>862.62</v>
      </c>
      <c r="G145" s="77">
        <v>2637.51</v>
      </c>
      <c r="H145" s="77">
        <v>2519.12</v>
      </c>
      <c r="I145" s="77">
        <v>2020.64</v>
      </c>
      <c r="J145" s="77">
        <v>3255.96</v>
      </c>
      <c r="K145" s="77">
        <v>1979.16</v>
      </c>
      <c r="L145" s="77">
        <v>1290.6600000000001</v>
      </c>
      <c r="M145" s="77">
        <v>1325.04</v>
      </c>
      <c r="N145" s="77"/>
      <c r="O145" s="77">
        <v>17985.55</v>
      </c>
      <c r="P145" s="97"/>
      <c r="Q145" s="97"/>
      <c r="R145" s="21" t="s">
        <v>49</v>
      </c>
      <c r="S145" s="21" t="s">
        <v>401</v>
      </c>
    </row>
    <row r="146" spans="1:19" ht="16" outlineLevel="1">
      <c r="A146" s="11" t="s">
        <v>407</v>
      </c>
      <c r="B146" s="76">
        <v>0</v>
      </c>
      <c r="C146" s="76">
        <v>0</v>
      </c>
      <c r="D146" s="76">
        <v>0</v>
      </c>
      <c r="E146" s="76">
        <v>0</v>
      </c>
      <c r="F146" s="76">
        <v>0</v>
      </c>
      <c r="G146" s="76">
        <v>0</v>
      </c>
      <c r="H146" s="77">
        <v>1294.43</v>
      </c>
      <c r="I146" s="77">
        <v>2145.94</v>
      </c>
      <c r="J146" s="77">
        <v>1202.08</v>
      </c>
      <c r="K146" s="77">
        <v>1280.43</v>
      </c>
      <c r="L146" s="77">
        <v>1319.62</v>
      </c>
      <c r="M146" s="77">
        <v>1630.78</v>
      </c>
      <c r="N146" s="77"/>
      <c r="O146" s="77">
        <v>8873.2800000000007</v>
      </c>
      <c r="P146" s="97"/>
      <c r="Q146" s="97"/>
      <c r="R146" s="21" t="s">
        <v>49</v>
      </c>
      <c r="S146" s="21" t="s">
        <v>247</v>
      </c>
    </row>
    <row r="147" spans="1:19" ht="16">
      <c r="A147" s="9" t="s">
        <v>199</v>
      </c>
      <c r="B147" s="96">
        <v>5268.91</v>
      </c>
      <c r="C147" s="96">
        <v>8163.11</v>
      </c>
      <c r="D147" s="96">
        <v>5740.67</v>
      </c>
      <c r="E147" s="96">
        <v>4829.93</v>
      </c>
      <c r="F147" s="96">
        <v>5597.64</v>
      </c>
      <c r="G147" s="96">
        <v>6333.39</v>
      </c>
      <c r="H147" s="96">
        <v>6743.78</v>
      </c>
      <c r="I147" s="96">
        <v>6410.55</v>
      </c>
      <c r="J147" s="96">
        <v>7404.19</v>
      </c>
      <c r="K147" s="96">
        <v>6924.26</v>
      </c>
      <c r="L147" s="96">
        <v>5967.88</v>
      </c>
      <c r="M147" s="96">
        <v>6320.12</v>
      </c>
      <c r="N147" s="96"/>
      <c r="O147" s="96">
        <v>75704.429999999993</v>
      </c>
      <c r="P147" s="97"/>
      <c r="Q147" s="97"/>
    </row>
    <row r="148" spans="1:19" ht="16">
      <c r="A148" s="9" t="s">
        <v>408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9" ht="16">
      <c r="A149" s="11" t="s">
        <v>409</v>
      </c>
      <c r="B149" s="77">
        <v>19057.990000000002</v>
      </c>
      <c r="C149" s="77">
        <v>7450.19</v>
      </c>
      <c r="D149" s="77">
        <v>16496.849999999999</v>
      </c>
      <c r="E149" s="77">
        <v>16496.849999999999</v>
      </c>
      <c r="F149" s="77">
        <v>16496.849999999999</v>
      </c>
      <c r="G149" s="77">
        <v>16496.849999999999</v>
      </c>
      <c r="H149" s="77">
        <v>16496.849999999999</v>
      </c>
      <c r="I149" s="77">
        <v>16496.849999999999</v>
      </c>
      <c r="J149" s="77">
        <v>20353.189999999999</v>
      </c>
      <c r="K149" s="77">
        <v>20353.189999999999</v>
      </c>
      <c r="L149" s="77">
        <v>20353.189999999999</v>
      </c>
      <c r="M149" s="77">
        <v>20353.189999999999</v>
      </c>
      <c r="N149" s="77"/>
      <c r="O149" s="77">
        <v>206902.04</v>
      </c>
      <c r="P149" s="97"/>
      <c r="Q149" s="97"/>
      <c r="R149" s="21" t="s">
        <v>245</v>
      </c>
    </row>
    <row r="150" spans="1:19" ht="16">
      <c r="A150" s="11" t="s">
        <v>410</v>
      </c>
      <c r="B150" s="77">
        <v>13244.91</v>
      </c>
      <c r="C150" s="77">
        <v>13652.25</v>
      </c>
      <c r="D150" s="77">
        <v>13652.25</v>
      </c>
      <c r="E150" s="77">
        <v>13652.25</v>
      </c>
      <c r="F150" s="77">
        <v>13652.25</v>
      </c>
      <c r="G150" s="77">
        <v>13652.25</v>
      </c>
      <c r="H150" s="77">
        <v>13652.25</v>
      </c>
      <c r="I150" s="77">
        <v>13652.25</v>
      </c>
      <c r="J150" s="77">
        <v>15688.81</v>
      </c>
      <c r="K150" s="77">
        <v>15688.81</v>
      </c>
      <c r="L150" s="77">
        <v>15688.81</v>
      </c>
      <c r="M150" s="77">
        <v>8165.67</v>
      </c>
      <c r="N150" s="77"/>
      <c r="O150" s="77">
        <v>164042.76</v>
      </c>
      <c r="P150" s="97"/>
      <c r="Q150" s="97"/>
      <c r="R150" s="21" t="s">
        <v>411</v>
      </c>
    </row>
    <row r="151" spans="1:19" ht="16">
      <c r="A151" s="9" t="s">
        <v>200</v>
      </c>
      <c r="B151" s="96">
        <v>32302.9</v>
      </c>
      <c r="C151" s="96">
        <v>21102.44</v>
      </c>
      <c r="D151" s="96">
        <v>30149.1</v>
      </c>
      <c r="E151" s="96">
        <v>30149.1</v>
      </c>
      <c r="F151" s="96">
        <v>30149.1</v>
      </c>
      <c r="G151" s="96">
        <v>30149.1</v>
      </c>
      <c r="H151" s="96">
        <v>30149.1</v>
      </c>
      <c r="I151" s="96">
        <v>30149.1</v>
      </c>
      <c r="J151" s="96">
        <v>36042</v>
      </c>
      <c r="K151" s="96">
        <v>36042</v>
      </c>
      <c r="L151" s="96">
        <v>36042</v>
      </c>
      <c r="M151" s="96">
        <v>28518.86</v>
      </c>
      <c r="N151" s="96"/>
      <c r="O151" s="96">
        <v>370944.8</v>
      </c>
      <c r="P151" s="97"/>
      <c r="Q151" s="97"/>
    </row>
    <row r="152" spans="1:19" ht="16" outlineLevel="1">
      <c r="A152" s="9" t="s">
        <v>412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9" ht="16" outlineLevel="1">
      <c r="A153" s="11" t="s">
        <v>413</v>
      </c>
      <c r="B153" s="76">
        <v>0</v>
      </c>
      <c r="C153" s="76">
        <v>0</v>
      </c>
      <c r="D153" s="76">
        <v>0</v>
      </c>
      <c r="E153" s="76">
        <v>0</v>
      </c>
      <c r="F153" s="76">
        <v>0</v>
      </c>
      <c r="G153" s="76">
        <v>0</v>
      </c>
      <c r="H153" s="76">
        <v>350</v>
      </c>
      <c r="I153" s="76">
        <v>700</v>
      </c>
      <c r="J153" s="76">
        <v>250</v>
      </c>
      <c r="K153" s="76">
        <v>0</v>
      </c>
      <c r="L153" s="76">
        <v>0</v>
      </c>
      <c r="M153" s="76">
        <v>0</v>
      </c>
      <c r="N153" s="76"/>
      <c r="O153" s="77">
        <v>1300</v>
      </c>
      <c r="P153" s="97"/>
      <c r="Q153" s="97"/>
      <c r="R153" s="21" t="s">
        <v>201</v>
      </c>
    </row>
    <row r="154" spans="1:19" ht="16" outlineLevel="1">
      <c r="A154" s="11" t="s">
        <v>414</v>
      </c>
      <c r="B154" s="76">
        <v>0</v>
      </c>
      <c r="C154" s="76">
        <v>0</v>
      </c>
      <c r="D154" s="76">
        <v>0</v>
      </c>
      <c r="E154" s="76">
        <v>0</v>
      </c>
      <c r="F154" s="76">
        <v>0</v>
      </c>
      <c r="G154" s="77">
        <v>2067.13</v>
      </c>
      <c r="H154" s="77">
        <v>12911.24</v>
      </c>
      <c r="I154" s="77">
        <v>17611.93</v>
      </c>
      <c r="J154" s="77">
        <v>14937.77</v>
      </c>
      <c r="K154" s="77">
        <v>9049.4699999999993</v>
      </c>
      <c r="L154" s="77">
        <v>9581.16</v>
      </c>
      <c r="M154" s="77">
        <v>10053.01</v>
      </c>
      <c r="N154" s="77"/>
      <c r="O154" s="77">
        <v>76211.710000000006</v>
      </c>
      <c r="P154" s="97"/>
      <c r="Q154" s="97"/>
      <c r="R154" s="21" t="s">
        <v>201</v>
      </c>
    </row>
    <row r="155" spans="1:19" ht="16" outlineLevel="1">
      <c r="A155" s="11" t="s">
        <v>415</v>
      </c>
      <c r="B155" s="76">
        <v>0</v>
      </c>
      <c r="C155" s="76">
        <v>0</v>
      </c>
      <c r="D155" s="76">
        <v>0</v>
      </c>
      <c r="E155" s="76">
        <v>0</v>
      </c>
      <c r="F155" s="76">
        <v>0</v>
      </c>
      <c r="G155" s="76">
        <v>128.16</v>
      </c>
      <c r="H155" s="76">
        <v>797.88</v>
      </c>
      <c r="I155" s="77">
        <v>1089.02</v>
      </c>
      <c r="J155" s="76">
        <v>994.53</v>
      </c>
      <c r="K155" s="76">
        <v>641.75</v>
      </c>
      <c r="L155" s="77">
        <v>1043.8499999999999</v>
      </c>
      <c r="M155" s="76">
        <v>631.04</v>
      </c>
      <c r="N155" s="76"/>
      <c r="O155" s="77">
        <v>5326.23</v>
      </c>
      <c r="P155" s="97"/>
      <c r="Q155" s="97"/>
      <c r="R155" s="21" t="s">
        <v>201</v>
      </c>
    </row>
    <row r="156" spans="1:19" ht="16" outlineLevel="1">
      <c r="A156" s="11" t="s">
        <v>416</v>
      </c>
      <c r="B156" s="76">
        <v>0</v>
      </c>
      <c r="C156" s="76">
        <v>0</v>
      </c>
      <c r="D156" s="76">
        <v>0</v>
      </c>
      <c r="E156" s="76">
        <v>0</v>
      </c>
      <c r="F156" s="76">
        <v>0</v>
      </c>
      <c r="G156" s="76">
        <v>29.97</v>
      </c>
      <c r="H156" s="76">
        <v>186.6</v>
      </c>
      <c r="I156" s="76">
        <v>254.7</v>
      </c>
      <c r="J156" s="76">
        <v>105.87</v>
      </c>
      <c r="K156" s="76">
        <v>150.09</v>
      </c>
      <c r="L156" s="76">
        <v>244.12</v>
      </c>
      <c r="M156" s="76">
        <v>147.57</v>
      </c>
      <c r="N156" s="76"/>
      <c r="O156" s="77">
        <v>1118.92</v>
      </c>
      <c r="P156" s="97"/>
      <c r="Q156" s="97"/>
      <c r="R156" s="21" t="s">
        <v>201</v>
      </c>
    </row>
    <row r="157" spans="1:19" ht="16" outlineLevel="1">
      <c r="A157" s="11" t="s">
        <v>417</v>
      </c>
      <c r="B157" s="76">
        <v>0</v>
      </c>
      <c r="C157" s="76">
        <v>0</v>
      </c>
      <c r="D157" s="76">
        <v>0</v>
      </c>
      <c r="E157" s="76">
        <v>0</v>
      </c>
      <c r="F157" s="76">
        <v>0</v>
      </c>
      <c r="G157" s="76">
        <v>12.41</v>
      </c>
      <c r="H157" s="76">
        <v>73.7</v>
      </c>
      <c r="I157" s="76">
        <v>72.959999999999994</v>
      </c>
      <c r="J157" s="76">
        <v>0</v>
      </c>
      <c r="K157" s="76">
        <v>1.72</v>
      </c>
      <c r="L157" s="76">
        <v>23.55</v>
      </c>
      <c r="M157" s="76">
        <v>0</v>
      </c>
      <c r="N157" s="76"/>
      <c r="O157" s="76">
        <v>184.34</v>
      </c>
      <c r="P157" s="97"/>
      <c r="Q157" s="97"/>
      <c r="R157" s="21" t="s">
        <v>201</v>
      </c>
    </row>
    <row r="158" spans="1:19" ht="16" outlineLevel="1">
      <c r="A158" s="11" t="s">
        <v>418</v>
      </c>
      <c r="B158" s="76">
        <v>0</v>
      </c>
      <c r="C158" s="76">
        <v>0</v>
      </c>
      <c r="D158" s="76">
        <v>0</v>
      </c>
      <c r="E158" s="76">
        <v>0</v>
      </c>
      <c r="F158" s="76">
        <v>0</v>
      </c>
      <c r="G158" s="76">
        <v>5.78</v>
      </c>
      <c r="H158" s="76">
        <v>34.380000000000003</v>
      </c>
      <c r="I158" s="76">
        <v>34.049999999999997</v>
      </c>
      <c r="J158" s="76">
        <v>0</v>
      </c>
      <c r="K158" s="76">
        <v>0.8</v>
      </c>
      <c r="L158" s="76">
        <v>11</v>
      </c>
      <c r="M158" s="76">
        <v>0</v>
      </c>
      <c r="N158" s="76"/>
      <c r="O158" s="76">
        <v>86.01</v>
      </c>
      <c r="P158" s="97"/>
      <c r="Q158" s="97"/>
      <c r="R158" s="21" t="s">
        <v>201</v>
      </c>
    </row>
    <row r="159" spans="1:19" ht="16" outlineLevel="1">
      <c r="A159" s="11" t="s">
        <v>419</v>
      </c>
      <c r="B159" s="76">
        <v>0</v>
      </c>
      <c r="C159" s="76">
        <v>0</v>
      </c>
      <c r="D159" s="76">
        <v>0</v>
      </c>
      <c r="E159" s="76">
        <v>0</v>
      </c>
      <c r="F159" s="76">
        <v>0</v>
      </c>
      <c r="G159" s="76">
        <v>14.06</v>
      </c>
      <c r="H159" s="76">
        <v>150.94</v>
      </c>
      <c r="I159" s="76">
        <v>153.63999999999999</v>
      </c>
      <c r="J159" s="76">
        <v>109.4</v>
      </c>
      <c r="K159" s="76">
        <v>76.44</v>
      </c>
      <c r="L159" s="76">
        <v>197.07</v>
      </c>
      <c r="M159" s="76">
        <v>81.94</v>
      </c>
      <c r="N159" s="76"/>
      <c r="O159" s="76">
        <v>783.49</v>
      </c>
      <c r="P159" s="97"/>
      <c r="Q159" s="97"/>
      <c r="R159" s="21" t="s">
        <v>201</v>
      </c>
    </row>
    <row r="160" spans="1:19" ht="16" outlineLevel="1">
      <c r="A160" s="11" t="s">
        <v>420</v>
      </c>
      <c r="B160" s="76">
        <v>0</v>
      </c>
      <c r="C160" s="76">
        <v>0</v>
      </c>
      <c r="D160" s="76">
        <v>0</v>
      </c>
      <c r="E160" s="76">
        <v>0</v>
      </c>
      <c r="F160" s="76">
        <v>0</v>
      </c>
      <c r="G160" s="76">
        <v>45.54</v>
      </c>
      <c r="H160" s="76">
        <v>90.92</v>
      </c>
      <c r="I160" s="76">
        <v>91</v>
      </c>
      <c r="J160" s="76">
        <v>68.97</v>
      </c>
      <c r="K160" s="76">
        <v>45.44</v>
      </c>
      <c r="L160" s="76">
        <v>69.33</v>
      </c>
      <c r="M160" s="76">
        <v>45.26</v>
      </c>
      <c r="N160" s="76"/>
      <c r="O160" s="76">
        <v>456.46</v>
      </c>
      <c r="P160" s="97"/>
      <c r="Q160" s="97"/>
      <c r="R160" s="21" t="s">
        <v>286</v>
      </c>
    </row>
    <row r="161" spans="1:18" ht="16" outlineLevel="1">
      <c r="A161" s="11" t="s">
        <v>421</v>
      </c>
      <c r="B161" s="76">
        <v>0</v>
      </c>
      <c r="C161" s="76">
        <v>0</v>
      </c>
      <c r="D161" s="76">
        <v>0</v>
      </c>
      <c r="E161" s="76">
        <v>0</v>
      </c>
      <c r="F161" s="76">
        <v>0</v>
      </c>
      <c r="G161" s="76">
        <v>0</v>
      </c>
      <c r="H161" s="76">
        <v>0</v>
      </c>
      <c r="I161" s="76">
        <v>0</v>
      </c>
      <c r="J161" s="76">
        <v>126.73</v>
      </c>
      <c r="K161" s="76">
        <v>0</v>
      </c>
      <c r="L161" s="76">
        <v>0</v>
      </c>
      <c r="M161" s="76">
        <v>0</v>
      </c>
      <c r="N161" s="76"/>
      <c r="O161" s="76">
        <v>126.73</v>
      </c>
      <c r="P161" s="97"/>
      <c r="Q161" s="97"/>
      <c r="R161" s="21" t="s">
        <v>201</v>
      </c>
    </row>
    <row r="162" spans="1:18" ht="16" outlineLevel="1">
      <c r="A162" s="11" t="s">
        <v>422</v>
      </c>
      <c r="B162" s="77">
        <v>1200</v>
      </c>
      <c r="C162" s="76">
        <v>0</v>
      </c>
      <c r="D162" s="76">
        <v>0</v>
      </c>
      <c r="E162" s="76">
        <v>0</v>
      </c>
      <c r="F162" s="76">
        <v>0</v>
      </c>
      <c r="G162" s="76">
        <v>0</v>
      </c>
      <c r="H162" s="76">
        <v>0</v>
      </c>
      <c r="I162" s="76">
        <v>0</v>
      </c>
      <c r="J162" s="76">
        <v>0</v>
      </c>
      <c r="K162" s="76">
        <v>0</v>
      </c>
      <c r="L162" s="77">
        <v>2150</v>
      </c>
      <c r="M162" s="76">
        <v>0</v>
      </c>
      <c r="N162" s="76"/>
      <c r="O162" s="77">
        <v>3350</v>
      </c>
      <c r="P162" s="97"/>
      <c r="Q162" s="97"/>
      <c r="R162" s="21" t="s">
        <v>201</v>
      </c>
    </row>
    <row r="163" spans="1:18" ht="16" outlineLevel="1">
      <c r="A163" s="11" t="s">
        <v>423</v>
      </c>
      <c r="B163" s="76">
        <v>0</v>
      </c>
      <c r="C163" s="76">
        <v>0</v>
      </c>
      <c r="D163" s="76">
        <v>0</v>
      </c>
      <c r="E163" s="76">
        <v>0</v>
      </c>
      <c r="F163" s="76">
        <v>0</v>
      </c>
      <c r="G163" s="76">
        <v>0</v>
      </c>
      <c r="H163" s="76">
        <v>0</v>
      </c>
      <c r="I163" s="76">
        <v>0</v>
      </c>
      <c r="J163" s="76">
        <v>67.849999999999994</v>
      </c>
      <c r="K163" s="76">
        <v>14.75</v>
      </c>
      <c r="L163" s="76">
        <v>11.8</v>
      </c>
      <c r="M163" s="76">
        <v>11.8</v>
      </c>
      <c r="N163" s="76"/>
      <c r="O163" s="76">
        <v>106.2</v>
      </c>
      <c r="P163" s="97"/>
      <c r="Q163" s="97"/>
      <c r="R163" s="21" t="s">
        <v>201</v>
      </c>
    </row>
    <row r="164" spans="1:18" ht="16" outlineLevel="1">
      <c r="A164" s="11" t="s">
        <v>424</v>
      </c>
      <c r="B164" s="76">
        <v>0</v>
      </c>
      <c r="C164" s="76">
        <v>0</v>
      </c>
      <c r="D164" s="76">
        <v>0</v>
      </c>
      <c r="E164" s="76">
        <v>0</v>
      </c>
      <c r="F164" s="76">
        <v>0</v>
      </c>
      <c r="G164" s="76">
        <v>0</v>
      </c>
      <c r="H164" s="76">
        <v>0</v>
      </c>
      <c r="I164" s="76">
        <v>0</v>
      </c>
      <c r="J164" s="76">
        <v>235.4</v>
      </c>
      <c r="K164" s="76">
        <v>51.24</v>
      </c>
      <c r="L164" s="76">
        <v>36.72</v>
      </c>
      <c r="M164" s="76">
        <v>36.72</v>
      </c>
      <c r="N164" s="76"/>
      <c r="O164" s="76">
        <v>360.08</v>
      </c>
      <c r="P164" s="97"/>
      <c r="Q164" s="97"/>
      <c r="R164" s="21" t="s">
        <v>201</v>
      </c>
    </row>
    <row r="165" spans="1:18" ht="16" outlineLevel="1">
      <c r="A165" s="11" t="s">
        <v>425</v>
      </c>
      <c r="B165" s="76">
        <v>0</v>
      </c>
      <c r="C165" s="76">
        <v>0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77">
        <v>1150</v>
      </c>
      <c r="K165" s="77">
        <v>1325</v>
      </c>
      <c r="L165" s="76">
        <v>725</v>
      </c>
      <c r="M165" s="76">
        <v>125</v>
      </c>
      <c r="N165" s="76"/>
      <c r="O165" s="77">
        <v>3325</v>
      </c>
      <c r="P165" s="97"/>
      <c r="Q165" s="97"/>
      <c r="R165" s="21" t="s">
        <v>201</v>
      </c>
    </row>
    <row r="166" spans="1:18" ht="16" outlineLevel="1">
      <c r="A166" s="11" t="s">
        <v>426</v>
      </c>
      <c r="B166" s="76">
        <v>0</v>
      </c>
      <c r="C166" s="76">
        <v>0</v>
      </c>
      <c r="D166" s="76">
        <v>0</v>
      </c>
      <c r="E166" s="76">
        <v>0</v>
      </c>
      <c r="F166" s="76">
        <v>0</v>
      </c>
      <c r="G166" s="76">
        <v>0</v>
      </c>
      <c r="H166" s="76">
        <v>0</v>
      </c>
      <c r="I166" s="76">
        <v>0</v>
      </c>
      <c r="J166" s="76">
        <v>700</v>
      </c>
      <c r="K166" s="77">
        <v>1050</v>
      </c>
      <c r="L166" s="77">
        <v>1050</v>
      </c>
      <c r="M166" s="77">
        <v>1050</v>
      </c>
      <c r="N166" s="77"/>
      <c r="O166" s="77">
        <v>3850</v>
      </c>
      <c r="P166" s="97"/>
      <c r="Q166" s="97"/>
      <c r="R166" s="21" t="s">
        <v>201</v>
      </c>
    </row>
    <row r="167" spans="1:18" ht="16">
      <c r="A167" s="9" t="s">
        <v>202</v>
      </c>
      <c r="B167" s="96">
        <v>1200</v>
      </c>
      <c r="C167" s="99">
        <v>0</v>
      </c>
      <c r="D167" s="99">
        <v>0</v>
      </c>
      <c r="E167" s="99">
        <v>0</v>
      </c>
      <c r="F167" s="99">
        <v>0</v>
      </c>
      <c r="G167" s="96">
        <v>2303.0500000000002</v>
      </c>
      <c r="H167" s="96">
        <v>14595.66</v>
      </c>
      <c r="I167" s="96">
        <v>20007.3</v>
      </c>
      <c r="J167" s="96">
        <v>18746.52</v>
      </c>
      <c r="K167" s="96">
        <v>12406.7</v>
      </c>
      <c r="L167" s="96">
        <v>15143.6</v>
      </c>
      <c r="M167" s="96">
        <v>12182.34</v>
      </c>
      <c r="N167" s="96"/>
      <c r="O167" s="96">
        <v>96585.17</v>
      </c>
      <c r="P167" s="97">
        <f>((K167+M167)/2)*12</f>
        <v>147534.24</v>
      </c>
      <c r="Q167" s="97"/>
    </row>
    <row r="168" spans="1:18" ht="16">
      <c r="A168" s="9" t="s">
        <v>203</v>
      </c>
      <c r="B168" s="96">
        <v>87404.17</v>
      </c>
      <c r="C168" s="96">
        <v>62676.07</v>
      </c>
      <c r="D168" s="96">
        <v>66927.850000000006</v>
      </c>
      <c r="E168" s="96">
        <v>70729.86</v>
      </c>
      <c r="F168" s="96">
        <v>72398.509999999995</v>
      </c>
      <c r="G168" s="96">
        <v>90226.559999999998</v>
      </c>
      <c r="H168" s="96">
        <v>73852.28</v>
      </c>
      <c r="I168" s="96">
        <v>79175</v>
      </c>
      <c r="J168" s="96">
        <v>88704.36</v>
      </c>
      <c r="K168" s="96">
        <v>85022.59</v>
      </c>
      <c r="L168" s="96">
        <v>81328.990000000005</v>
      </c>
      <c r="M168" s="96">
        <v>72391.94</v>
      </c>
      <c r="N168" s="96"/>
      <c r="O168" s="96">
        <v>930838.18</v>
      </c>
      <c r="P168" s="97"/>
      <c r="Q168" s="97"/>
    </row>
    <row r="169" spans="1:18" ht="16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8" ht="16">
      <c r="A170" s="9" t="s">
        <v>427</v>
      </c>
      <c r="B170" s="82">
        <v>37257.99</v>
      </c>
      <c r="C170" s="82">
        <v>45312.68</v>
      </c>
      <c r="D170" s="82">
        <v>61587.85</v>
      </c>
      <c r="E170" s="82">
        <v>45931.4</v>
      </c>
      <c r="F170" s="82">
        <v>43387.88</v>
      </c>
      <c r="G170" s="82">
        <v>38452.879999999997</v>
      </c>
      <c r="H170" s="82">
        <v>49381.54</v>
      </c>
      <c r="I170" s="82">
        <v>40796.92</v>
      </c>
      <c r="J170" s="82">
        <v>26112.37</v>
      </c>
      <c r="K170" s="82">
        <v>13638.14</v>
      </c>
      <c r="L170" s="82">
        <v>35640.51</v>
      </c>
      <c r="M170" s="82">
        <v>66107.789999999994</v>
      </c>
      <c r="N170" s="82"/>
      <c r="O170" s="82">
        <v>503607.95</v>
      </c>
      <c r="P170" s="97"/>
      <c r="Q170" s="97"/>
    </row>
    <row r="171" spans="1:18" ht="16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8" ht="16">
      <c r="A172" s="9" t="s">
        <v>134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8" ht="16">
      <c r="A173" s="9" t="s">
        <v>301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spans="1:18" ht="16">
      <c r="A174" s="11" t="s">
        <v>428</v>
      </c>
      <c r="B174" s="76">
        <v>0</v>
      </c>
      <c r="C174" s="76">
        <v>156.44</v>
      </c>
      <c r="D174" s="76">
        <v>134.01</v>
      </c>
      <c r="E174" s="76">
        <v>100.61</v>
      </c>
      <c r="F174" s="76">
        <v>88.5</v>
      </c>
      <c r="G174" s="76">
        <v>83.12</v>
      </c>
      <c r="H174" s="76">
        <v>85.88</v>
      </c>
      <c r="I174" s="76">
        <v>79.13</v>
      </c>
      <c r="J174" s="76">
        <v>81.680000000000007</v>
      </c>
      <c r="K174" s="76">
        <v>0</v>
      </c>
      <c r="L174" s="76">
        <v>0</v>
      </c>
      <c r="M174" s="76">
        <v>0</v>
      </c>
      <c r="N174" s="76"/>
      <c r="O174" s="76">
        <v>809.37</v>
      </c>
      <c r="P174" s="97"/>
      <c r="Q174" s="97"/>
    </row>
    <row r="175" spans="1:18" ht="16">
      <c r="A175" s="9" t="s">
        <v>188</v>
      </c>
      <c r="B175" s="99">
        <v>0</v>
      </c>
      <c r="C175" s="99">
        <v>156.44</v>
      </c>
      <c r="D175" s="99">
        <v>134.01</v>
      </c>
      <c r="E175" s="99">
        <v>100.61</v>
      </c>
      <c r="F175" s="99">
        <v>88.5</v>
      </c>
      <c r="G175" s="99">
        <v>83.12</v>
      </c>
      <c r="H175" s="99">
        <v>85.88</v>
      </c>
      <c r="I175" s="99">
        <v>79.13</v>
      </c>
      <c r="J175" s="99">
        <v>81.680000000000007</v>
      </c>
      <c r="K175" s="99">
        <v>0</v>
      </c>
      <c r="L175" s="99">
        <v>0</v>
      </c>
      <c r="M175" s="99">
        <v>0</v>
      </c>
      <c r="N175" s="99"/>
      <c r="O175" s="99">
        <v>809.37</v>
      </c>
      <c r="P175" s="97"/>
      <c r="Q175" s="97"/>
    </row>
    <row r="176" spans="1:18" ht="16">
      <c r="A176" s="9" t="s">
        <v>429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7" ht="16">
      <c r="A177" s="11" t="s">
        <v>430</v>
      </c>
      <c r="B177" s="77">
        <v>71846.710000000006</v>
      </c>
      <c r="C177" s="77">
        <v>74080.490000000005</v>
      </c>
      <c r="D177" s="77">
        <v>74241.600000000006</v>
      </c>
      <c r="E177" s="77">
        <v>69923.759999999995</v>
      </c>
      <c r="F177" s="77">
        <v>73676.600000000006</v>
      </c>
      <c r="G177" s="77">
        <v>78964.38</v>
      </c>
      <c r="H177" s="77">
        <v>78964.38</v>
      </c>
      <c r="I177" s="77">
        <v>76251.05</v>
      </c>
      <c r="J177" s="77">
        <v>79710.320000000007</v>
      </c>
      <c r="K177" s="77">
        <v>79439.22</v>
      </c>
      <c r="L177" s="77">
        <v>76876.67</v>
      </c>
      <c r="M177" s="77">
        <v>79439.22</v>
      </c>
      <c r="N177" s="77"/>
      <c r="O177" s="77">
        <v>913414.4</v>
      </c>
      <c r="P177" s="97"/>
      <c r="Q177" s="97"/>
    </row>
    <row r="178" spans="1:17" ht="16">
      <c r="A178" s="11" t="s">
        <v>431</v>
      </c>
      <c r="B178" s="76">
        <v>0</v>
      </c>
      <c r="C178" s="77">
        <v>1700</v>
      </c>
      <c r="D178" s="76">
        <v>0</v>
      </c>
      <c r="E178" s="76">
        <v>0</v>
      </c>
      <c r="F178" s="76">
        <v>0</v>
      </c>
      <c r="G178" s="77">
        <v>1700</v>
      </c>
      <c r="H178" s="77">
        <v>1700</v>
      </c>
      <c r="I178" s="76">
        <v>0</v>
      </c>
      <c r="J178" s="76">
        <v>0</v>
      </c>
      <c r="K178" s="76">
        <v>0</v>
      </c>
      <c r="L178" s="76">
        <v>0</v>
      </c>
      <c r="M178" s="76">
        <v>0</v>
      </c>
      <c r="N178" s="76"/>
      <c r="O178" s="77">
        <v>5100</v>
      </c>
      <c r="P178" s="97"/>
      <c r="Q178" s="97"/>
    </row>
    <row r="179" spans="1:17" ht="16">
      <c r="A179" s="483" t="s">
        <v>432</v>
      </c>
      <c r="B179" s="484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7" ht="16">
      <c r="A180" s="11" t="s">
        <v>433</v>
      </c>
      <c r="B180" s="76">
        <v>0</v>
      </c>
      <c r="C180" s="76">
        <v>0</v>
      </c>
      <c r="D180" s="76">
        <v>0</v>
      </c>
      <c r="E180" s="76">
        <v>0</v>
      </c>
      <c r="F180" s="76">
        <v>0</v>
      </c>
      <c r="G180" s="76">
        <v>121.25</v>
      </c>
      <c r="H180" s="76">
        <v>0</v>
      </c>
      <c r="I180" s="76">
        <v>0</v>
      </c>
      <c r="J180" s="76">
        <v>0</v>
      </c>
      <c r="K180" s="76">
        <v>0</v>
      </c>
      <c r="L180" s="76">
        <v>0</v>
      </c>
      <c r="M180" s="76">
        <v>0</v>
      </c>
      <c r="N180" s="76"/>
      <c r="O180" s="76">
        <v>121.25</v>
      </c>
      <c r="P180" s="97"/>
      <c r="Q180" s="97"/>
    </row>
    <row r="181" spans="1:17" ht="16">
      <c r="A181" s="9" t="s">
        <v>434</v>
      </c>
      <c r="B181" s="99">
        <v>0</v>
      </c>
      <c r="C181" s="99">
        <v>0</v>
      </c>
      <c r="D181" s="99">
        <v>0</v>
      </c>
      <c r="E181" s="99">
        <v>0</v>
      </c>
      <c r="F181" s="99">
        <v>0</v>
      </c>
      <c r="G181" s="99">
        <v>121.25</v>
      </c>
      <c r="H181" s="99">
        <v>0</v>
      </c>
      <c r="I181" s="99">
        <v>0</v>
      </c>
      <c r="J181" s="99">
        <v>0</v>
      </c>
      <c r="K181" s="99">
        <v>0</v>
      </c>
      <c r="L181" s="99">
        <v>0</v>
      </c>
      <c r="M181" s="99">
        <v>0</v>
      </c>
      <c r="N181" s="99"/>
      <c r="O181" s="99">
        <v>121.25</v>
      </c>
      <c r="P181" s="97"/>
      <c r="Q181" s="97"/>
    </row>
    <row r="182" spans="1:17" ht="16" outlineLevel="2">
      <c r="A182" s="483" t="s">
        <v>435</v>
      </c>
      <c r="B182" s="484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7" ht="16" outlineLevel="2">
      <c r="A183" s="11" t="s">
        <v>436</v>
      </c>
      <c r="B183" s="76">
        <v>0</v>
      </c>
      <c r="C183" s="76">
        <v>0</v>
      </c>
      <c r="D183" s="76">
        <v>0</v>
      </c>
      <c r="E183" s="76">
        <v>0</v>
      </c>
      <c r="F183" s="76">
        <v>0</v>
      </c>
      <c r="G183" s="76">
        <v>0</v>
      </c>
      <c r="H183" s="76">
        <v>0</v>
      </c>
      <c r="I183" s="76">
        <v>0</v>
      </c>
      <c r="J183" s="76">
        <v>0</v>
      </c>
      <c r="K183" s="76">
        <v>0</v>
      </c>
      <c r="L183" s="77">
        <v>2953.9</v>
      </c>
      <c r="M183" s="76">
        <v>0</v>
      </c>
      <c r="N183" s="76"/>
      <c r="O183" s="77">
        <v>2953.9</v>
      </c>
      <c r="P183" s="97"/>
      <c r="Q183" s="97"/>
    </row>
    <row r="184" spans="1:17" ht="16" outlineLevel="2">
      <c r="A184" s="11" t="s">
        <v>437</v>
      </c>
      <c r="B184" s="77">
        <v>3928.92</v>
      </c>
      <c r="C184" s="77">
        <v>3000</v>
      </c>
      <c r="D184" s="77">
        <v>5000</v>
      </c>
      <c r="E184" s="77">
        <v>2370</v>
      </c>
      <c r="F184" s="77">
        <v>3112</v>
      </c>
      <c r="G184" s="76">
        <v>0</v>
      </c>
      <c r="H184" s="76">
        <v>0</v>
      </c>
      <c r="I184" s="76">
        <v>0</v>
      </c>
      <c r="J184" s="76">
        <v>0</v>
      </c>
      <c r="K184" s="76">
        <v>0</v>
      </c>
      <c r="L184" s="76">
        <v>0</v>
      </c>
      <c r="M184" s="76">
        <v>0</v>
      </c>
      <c r="N184" s="76"/>
      <c r="O184" s="77">
        <v>17410.919999999998</v>
      </c>
      <c r="P184" s="97"/>
      <c r="Q184" s="97"/>
    </row>
    <row r="185" spans="1:17" ht="16" outlineLevel="2">
      <c r="A185" s="11" t="s">
        <v>438</v>
      </c>
      <c r="B185" s="76">
        <v>0</v>
      </c>
      <c r="C185" s="77">
        <v>16300.37</v>
      </c>
      <c r="D185" s="76">
        <v>0</v>
      </c>
      <c r="E185" s="77">
        <v>4733.58</v>
      </c>
      <c r="F185" s="76">
        <v>0</v>
      </c>
      <c r="G185" s="77">
        <v>7067.51</v>
      </c>
      <c r="H185" s="76">
        <v>0</v>
      </c>
      <c r="I185" s="76">
        <v>0</v>
      </c>
      <c r="J185" s="76">
        <v>0</v>
      </c>
      <c r="K185" s="76">
        <v>0</v>
      </c>
      <c r="L185" s="76">
        <v>0</v>
      </c>
      <c r="M185" s="76">
        <v>0</v>
      </c>
      <c r="N185" s="76"/>
      <c r="O185" s="77">
        <v>28101.46</v>
      </c>
      <c r="P185" s="97"/>
      <c r="Q185" s="97"/>
    </row>
    <row r="186" spans="1:17" ht="16" outlineLevel="2">
      <c r="A186" s="11" t="s">
        <v>439</v>
      </c>
      <c r="B186" s="77">
        <v>14307</v>
      </c>
      <c r="C186" s="76">
        <v>0</v>
      </c>
      <c r="D186" s="76">
        <v>0</v>
      </c>
      <c r="E186" s="77">
        <v>16221.38</v>
      </c>
      <c r="F186" s="76">
        <v>0</v>
      </c>
      <c r="G186" s="77">
        <v>5874</v>
      </c>
      <c r="H186" s="76">
        <v>0</v>
      </c>
      <c r="I186" s="76">
        <v>0</v>
      </c>
      <c r="J186" s="76">
        <v>0</v>
      </c>
      <c r="K186" s="76">
        <v>0</v>
      </c>
      <c r="L186" s="76">
        <v>0</v>
      </c>
      <c r="M186" s="76">
        <v>0</v>
      </c>
      <c r="N186" s="76"/>
      <c r="O186" s="77">
        <v>36402.379999999997</v>
      </c>
      <c r="P186" s="97"/>
      <c r="Q186" s="97"/>
    </row>
    <row r="187" spans="1:17" ht="16" outlineLevel="2">
      <c r="A187" s="11" t="s">
        <v>440</v>
      </c>
      <c r="B187" s="76">
        <v>0</v>
      </c>
      <c r="C187" s="76">
        <v>0</v>
      </c>
      <c r="D187" s="76">
        <v>0</v>
      </c>
      <c r="E187" s="76">
        <v>0</v>
      </c>
      <c r="F187" s="76">
        <v>0</v>
      </c>
      <c r="G187" s="76">
        <v>0</v>
      </c>
      <c r="H187" s="76">
        <v>0</v>
      </c>
      <c r="I187" s="76">
        <v>0</v>
      </c>
      <c r="J187" s="76">
        <v>0</v>
      </c>
      <c r="K187" s="76">
        <v>0</v>
      </c>
      <c r="L187" s="77">
        <v>3596.19</v>
      </c>
      <c r="M187" s="76">
        <v>0</v>
      </c>
      <c r="N187" s="76"/>
      <c r="O187" s="77">
        <v>3596.19</v>
      </c>
      <c r="P187" s="97"/>
      <c r="Q187" s="97"/>
    </row>
    <row r="188" spans="1:17" ht="16" outlineLevel="2">
      <c r="A188" s="11" t="s">
        <v>441</v>
      </c>
      <c r="B188" s="76">
        <v>0</v>
      </c>
      <c r="C188" s="77">
        <v>8500</v>
      </c>
      <c r="D188" s="76">
        <v>0</v>
      </c>
      <c r="E188" s="76">
        <v>0</v>
      </c>
      <c r="F188" s="76">
        <v>0</v>
      </c>
      <c r="G188" s="76">
        <v>0</v>
      </c>
      <c r="H188" s="76">
        <v>0</v>
      </c>
      <c r="I188" s="76">
        <v>0</v>
      </c>
      <c r="J188" s="76">
        <v>0</v>
      </c>
      <c r="K188" s="76">
        <v>0</v>
      </c>
      <c r="L188" s="76">
        <v>0</v>
      </c>
      <c r="M188" s="76">
        <v>0</v>
      </c>
      <c r="N188" s="76"/>
      <c r="O188" s="77">
        <v>8500</v>
      </c>
      <c r="P188" s="97"/>
      <c r="Q188" s="97"/>
    </row>
    <row r="189" spans="1:17" ht="16" outlineLevel="2">
      <c r="A189" s="11" t="s">
        <v>442</v>
      </c>
      <c r="B189" s="77">
        <v>1385.71</v>
      </c>
      <c r="C189" s="77">
        <v>1087.1199999999999</v>
      </c>
      <c r="D189" s="76">
        <v>0</v>
      </c>
      <c r="E189" s="76">
        <v>0</v>
      </c>
      <c r="F189" s="76">
        <v>0</v>
      </c>
      <c r="G189" s="77">
        <v>4405</v>
      </c>
      <c r="H189" s="76">
        <v>0</v>
      </c>
      <c r="I189" s="76">
        <v>0</v>
      </c>
      <c r="J189" s="76">
        <v>0</v>
      </c>
      <c r="K189" s="76">
        <v>0</v>
      </c>
      <c r="L189" s="76">
        <v>0</v>
      </c>
      <c r="M189" s="76">
        <v>0</v>
      </c>
      <c r="N189" s="76"/>
      <c r="O189" s="77">
        <v>6877.83</v>
      </c>
      <c r="P189" s="97"/>
      <c r="Q189" s="97"/>
    </row>
    <row r="190" spans="1:17" ht="16" outlineLevel="2">
      <c r="A190" s="11" t="s">
        <v>443</v>
      </c>
      <c r="B190" s="76">
        <v>0</v>
      </c>
      <c r="C190" s="76">
        <v>0</v>
      </c>
      <c r="D190" s="76">
        <v>0</v>
      </c>
      <c r="E190" s="76">
        <v>408.02</v>
      </c>
      <c r="F190" s="76">
        <v>90</v>
      </c>
      <c r="G190" s="76">
        <v>0</v>
      </c>
      <c r="H190" s="76">
        <v>0</v>
      </c>
      <c r="I190" s="76">
        <v>0</v>
      </c>
      <c r="J190" s="76">
        <v>0</v>
      </c>
      <c r="K190" s="76">
        <v>0</v>
      </c>
      <c r="L190" s="76">
        <v>0</v>
      </c>
      <c r="M190" s="76">
        <v>0</v>
      </c>
      <c r="N190" s="76"/>
      <c r="O190" s="76">
        <v>498.02</v>
      </c>
      <c r="P190" s="97"/>
      <c r="Q190" s="97"/>
    </row>
    <row r="191" spans="1:17" ht="16" outlineLevel="2">
      <c r="A191" s="11" t="s">
        <v>444</v>
      </c>
      <c r="B191" s="76">
        <v>0</v>
      </c>
      <c r="C191" s="76">
        <v>0</v>
      </c>
      <c r="D191" s="76">
        <v>0</v>
      </c>
      <c r="E191" s="76">
        <v>0</v>
      </c>
      <c r="F191" s="76">
        <v>0</v>
      </c>
      <c r="G191" s="76">
        <v>0</v>
      </c>
      <c r="H191" s="77">
        <v>3645</v>
      </c>
      <c r="I191" s="76">
        <v>0</v>
      </c>
      <c r="J191" s="76">
        <v>0</v>
      </c>
      <c r="K191" s="76">
        <v>0</v>
      </c>
      <c r="L191" s="76">
        <v>0</v>
      </c>
      <c r="M191" s="76">
        <v>0</v>
      </c>
      <c r="N191" s="76"/>
      <c r="O191" s="77">
        <v>3645</v>
      </c>
      <c r="P191" s="97"/>
      <c r="Q191" s="97"/>
    </row>
    <row r="192" spans="1:17" ht="16" outlineLevel="2">
      <c r="A192" s="11" t="s">
        <v>445</v>
      </c>
      <c r="B192" s="76">
        <v>0</v>
      </c>
      <c r="C192" s="76">
        <v>0</v>
      </c>
      <c r="D192" s="76">
        <v>0</v>
      </c>
      <c r="E192" s="76">
        <v>0</v>
      </c>
      <c r="F192" s="76">
        <v>0</v>
      </c>
      <c r="G192" s="76">
        <v>0</v>
      </c>
      <c r="H192" s="76">
        <v>0</v>
      </c>
      <c r="I192" s="77">
        <v>3811.06</v>
      </c>
      <c r="J192" s="76">
        <v>0</v>
      </c>
      <c r="K192" s="76">
        <v>0</v>
      </c>
      <c r="L192" s="76">
        <v>0</v>
      </c>
      <c r="M192" s="76">
        <v>0</v>
      </c>
      <c r="N192" s="76"/>
      <c r="O192" s="77">
        <v>3811.06</v>
      </c>
      <c r="P192" s="97"/>
      <c r="Q192" s="97"/>
    </row>
    <row r="193" spans="1:17" ht="16" outlineLevel="2">
      <c r="A193" s="11" t="s">
        <v>446</v>
      </c>
      <c r="B193" s="76">
        <v>0</v>
      </c>
      <c r="C193" s="77">
        <v>15245.47</v>
      </c>
      <c r="D193" s="76">
        <v>0</v>
      </c>
      <c r="E193" s="76">
        <v>0</v>
      </c>
      <c r="F193" s="76">
        <v>0</v>
      </c>
      <c r="G193" s="76">
        <v>0</v>
      </c>
      <c r="H193" s="76">
        <v>0</v>
      </c>
      <c r="I193" s="76">
        <v>0</v>
      </c>
      <c r="J193" s="76">
        <v>0</v>
      </c>
      <c r="K193" s="76">
        <v>0</v>
      </c>
      <c r="L193" s="76">
        <v>0</v>
      </c>
      <c r="M193" s="76">
        <v>0</v>
      </c>
      <c r="N193" s="76"/>
      <c r="O193" s="77">
        <v>15245.47</v>
      </c>
      <c r="P193" s="97"/>
      <c r="Q193" s="97"/>
    </row>
    <row r="194" spans="1:17" ht="16" outlineLevel="2">
      <c r="A194" s="11" t="s">
        <v>447</v>
      </c>
      <c r="B194" s="76">
        <v>0</v>
      </c>
      <c r="C194" s="76">
        <v>0</v>
      </c>
      <c r="D194" s="76">
        <v>0</v>
      </c>
      <c r="E194" s="76">
        <v>0</v>
      </c>
      <c r="F194" s="76">
        <v>0</v>
      </c>
      <c r="G194" s="76">
        <v>0</v>
      </c>
      <c r="H194" s="76">
        <v>0</v>
      </c>
      <c r="I194" s="76">
        <v>0</v>
      </c>
      <c r="J194" s="76">
        <v>0</v>
      </c>
      <c r="K194" s="76">
        <v>0</v>
      </c>
      <c r="L194" s="77">
        <v>7785</v>
      </c>
      <c r="M194" s="76">
        <v>0</v>
      </c>
      <c r="N194" s="76"/>
      <c r="O194" s="77">
        <v>7785</v>
      </c>
      <c r="P194" s="97"/>
      <c r="Q194" s="97"/>
    </row>
    <row r="195" spans="1:17" ht="16" outlineLevel="2">
      <c r="A195" s="11" t="s">
        <v>448</v>
      </c>
      <c r="B195" s="76">
        <v>0</v>
      </c>
      <c r="C195" s="76">
        <v>0</v>
      </c>
      <c r="D195" s="76">
        <v>0</v>
      </c>
      <c r="E195" s="76">
        <v>0</v>
      </c>
      <c r="F195" s="76">
        <v>0</v>
      </c>
      <c r="G195" s="76">
        <v>0</v>
      </c>
      <c r="H195" s="76">
        <v>0</v>
      </c>
      <c r="I195" s="76">
        <v>0</v>
      </c>
      <c r="J195" s="76">
        <v>0</v>
      </c>
      <c r="K195" s="77">
        <v>7817.02</v>
      </c>
      <c r="L195" s="76">
        <v>0</v>
      </c>
      <c r="M195" s="77">
        <v>1394.05</v>
      </c>
      <c r="N195" s="77"/>
      <c r="O195" s="77">
        <v>9211.07</v>
      </c>
      <c r="P195" s="97"/>
      <c r="Q195" s="97"/>
    </row>
    <row r="196" spans="1:17" ht="16" outlineLevel="2">
      <c r="A196" s="11" t="s">
        <v>449</v>
      </c>
      <c r="B196" s="76">
        <v>0</v>
      </c>
      <c r="C196" s="77">
        <v>3550</v>
      </c>
      <c r="D196" s="77">
        <v>9539.7099999999991</v>
      </c>
      <c r="E196" s="77">
        <v>5230</v>
      </c>
      <c r="F196" s="77">
        <v>9600</v>
      </c>
      <c r="G196" s="76">
        <v>0</v>
      </c>
      <c r="H196" s="76">
        <v>0</v>
      </c>
      <c r="I196" s="77">
        <v>7825</v>
      </c>
      <c r="J196" s="77">
        <v>3690</v>
      </c>
      <c r="K196" s="77">
        <v>16255</v>
      </c>
      <c r="L196" s="77">
        <v>7535</v>
      </c>
      <c r="M196" s="76">
        <v>0</v>
      </c>
      <c r="N196" s="76"/>
      <c r="O196" s="77">
        <v>63224.71</v>
      </c>
      <c r="P196" s="97"/>
      <c r="Q196" s="97"/>
    </row>
    <row r="197" spans="1:17" ht="16" outlineLevel="2">
      <c r="A197" s="11" t="s">
        <v>450</v>
      </c>
      <c r="B197" s="76">
        <v>0</v>
      </c>
      <c r="C197" s="76">
        <v>0</v>
      </c>
      <c r="D197" s="76">
        <v>0</v>
      </c>
      <c r="E197" s="76">
        <v>0</v>
      </c>
      <c r="F197" s="76">
        <v>0</v>
      </c>
      <c r="G197" s="76">
        <v>0</v>
      </c>
      <c r="H197" s="76">
        <v>0</v>
      </c>
      <c r="I197" s="76">
        <v>0</v>
      </c>
      <c r="J197" s="76">
        <v>0</v>
      </c>
      <c r="K197" s="76">
        <v>0</v>
      </c>
      <c r="L197" s="77">
        <v>4380</v>
      </c>
      <c r="M197" s="76">
        <v>0</v>
      </c>
      <c r="N197" s="76"/>
      <c r="O197" s="77">
        <v>4380</v>
      </c>
      <c r="P197" s="97"/>
      <c r="Q197" s="97"/>
    </row>
    <row r="198" spans="1:17" ht="16" outlineLevel="2">
      <c r="A198" s="11" t="s">
        <v>451</v>
      </c>
      <c r="B198" s="76">
        <v>0</v>
      </c>
      <c r="C198" s="76">
        <v>0</v>
      </c>
      <c r="D198" s="76">
        <v>0</v>
      </c>
      <c r="E198" s="76">
        <v>0</v>
      </c>
      <c r="F198" s="76">
        <v>0</v>
      </c>
      <c r="G198" s="76">
        <v>0</v>
      </c>
      <c r="H198" s="76">
        <v>0</v>
      </c>
      <c r="I198" s="76">
        <v>0</v>
      </c>
      <c r="J198" s="76">
        <v>375.12</v>
      </c>
      <c r="K198" s="76">
        <v>0</v>
      </c>
      <c r="L198" s="76">
        <v>0</v>
      </c>
      <c r="M198" s="76">
        <v>0</v>
      </c>
      <c r="N198" s="76"/>
      <c r="O198" s="76">
        <v>375.12</v>
      </c>
      <c r="P198" s="97"/>
      <c r="Q198" s="97"/>
    </row>
    <row r="199" spans="1:17" ht="16" outlineLevel="2">
      <c r="A199" s="11" t="s">
        <v>452</v>
      </c>
      <c r="B199" s="76">
        <v>0</v>
      </c>
      <c r="C199" s="76">
        <v>0</v>
      </c>
      <c r="D199" s="76">
        <v>0</v>
      </c>
      <c r="E199" s="76">
        <v>0</v>
      </c>
      <c r="F199" s="76">
        <v>0</v>
      </c>
      <c r="G199" s="76">
        <v>0</v>
      </c>
      <c r="H199" s="77">
        <v>1350</v>
      </c>
      <c r="I199" s="76">
        <v>0</v>
      </c>
      <c r="J199" s="76">
        <v>0</v>
      </c>
      <c r="K199" s="76">
        <v>0</v>
      </c>
      <c r="L199" s="76">
        <v>0</v>
      </c>
      <c r="M199" s="76">
        <v>0</v>
      </c>
      <c r="N199" s="76"/>
      <c r="O199" s="77">
        <v>1350</v>
      </c>
      <c r="P199" s="97"/>
      <c r="Q199" s="97"/>
    </row>
    <row r="200" spans="1:17" ht="16" outlineLevel="2">
      <c r="A200" s="11" t="s">
        <v>453</v>
      </c>
      <c r="B200" s="76">
        <v>0</v>
      </c>
      <c r="C200" s="76">
        <v>0</v>
      </c>
      <c r="D200" s="76">
        <v>0</v>
      </c>
      <c r="E200" s="76">
        <v>0</v>
      </c>
      <c r="F200" s="76">
        <v>0</v>
      </c>
      <c r="G200" s="76">
        <v>0</v>
      </c>
      <c r="H200" s="76">
        <v>0</v>
      </c>
      <c r="I200" s="76">
        <v>0</v>
      </c>
      <c r="J200" s="76">
        <v>0</v>
      </c>
      <c r="K200" s="77">
        <v>3335</v>
      </c>
      <c r="L200" s="77">
        <v>2180</v>
      </c>
      <c r="M200" s="76">
        <v>0</v>
      </c>
      <c r="N200" s="76"/>
      <c r="O200" s="77">
        <v>5515</v>
      </c>
      <c r="P200" s="97"/>
      <c r="Q200" s="97"/>
    </row>
    <row r="201" spans="1:17" ht="16" outlineLevel="2">
      <c r="A201" s="11" t="s">
        <v>454</v>
      </c>
      <c r="B201" s="76">
        <v>0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7">
        <v>1160</v>
      </c>
      <c r="M201" s="76">
        <v>0</v>
      </c>
      <c r="N201" s="76"/>
      <c r="O201" s="77">
        <v>1160</v>
      </c>
      <c r="P201" s="97"/>
      <c r="Q201" s="97"/>
    </row>
    <row r="202" spans="1:17" ht="16" outlineLevel="2">
      <c r="A202" s="11" t="s">
        <v>455</v>
      </c>
      <c r="B202" s="76">
        <v>0</v>
      </c>
      <c r="C202" s="76">
        <v>0</v>
      </c>
      <c r="D202" s="77">
        <v>26955.8</v>
      </c>
      <c r="E202" s="76">
        <v>0</v>
      </c>
      <c r="F202" s="76">
        <v>0</v>
      </c>
      <c r="G202" s="76">
        <v>0</v>
      </c>
      <c r="H202" s="76">
        <v>0</v>
      </c>
      <c r="I202" s="76">
        <v>0</v>
      </c>
      <c r="J202" s="76">
        <v>0</v>
      </c>
      <c r="K202" s="76">
        <v>0</v>
      </c>
      <c r="L202" s="76">
        <v>0</v>
      </c>
      <c r="M202" s="76">
        <v>0</v>
      </c>
      <c r="N202" s="76"/>
      <c r="O202" s="77">
        <v>26955.8</v>
      </c>
      <c r="P202" s="97"/>
      <c r="Q202" s="97"/>
    </row>
    <row r="203" spans="1:17" ht="16" outlineLevel="2">
      <c r="A203" s="11" t="s">
        <v>456</v>
      </c>
      <c r="B203" s="76">
        <v>0</v>
      </c>
      <c r="C203" s="76">
        <v>0</v>
      </c>
      <c r="D203" s="76">
        <v>0</v>
      </c>
      <c r="E203" s="76">
        <v>0</v>
      </c>
      <c r="F203" s="76">
        <v>0</v>
      </c>
      <c r="G203" s="76">
        <v>0</v>
      </c>
      <c r="H203" s="76">
        <v>0</v>
      </c>
      <c r="I203" s="76">
        <v>0</v>
      </c>
      <c r="J203" s="76">
        <v>0</v>
      </c>
      <c r="K203" s="76">
        <v>0</v>
      </c>
      <c r="L203" s="76">
        <v>940</v>
      </c>
      <c r="M203" s="76">
        <v>0</v>
      </c>
      <c r="N203" s="76"/>
      <c r="O203" s="76">
        <v>940</v>
      </c>
      <c r="P203" s="97"/>
      <c r="Q203" s="97"/>
    </row>
    <row r="204" spans="1:17" ht="16">
      <c r="A204" s="9" t="s">
        <v>457</v>
      </c>
      <c r="B204" s="96">
        <v>19621.63</v>
      </c>
      <c r="C204" s="96">
        <v>47682.96</v>
      </c>
      <c r="D204" s="96">
        <v>41495.51</v>
      </c>
      <c r="E204" s="96">
        <v>28962.98</v>
      </c>
      <c r="F204" s="96">
        <v>12802</v>
      </c>
      <c r="G204" s="96">
        <v>17346.509999999998</v>
      </c>
      <c r="H204" s="96">
        <v>4995</v>
      </c>
      <c r="I204" s="96">
        <v>11636.06</v>
      </c>
      <c r="J204" s="96">
        <v>4065.12</v>
      </c>
      <c r="K204" s="96">
        <v>27407.02</v>
      </c>
      <c r="L204" s="96">
        <v>30530.09</v>
      </c>
      <c r="M204" s="96">
        <v>1394.05</v>
      </c>
      <c r="N204" s="96"/>
      <c r="O204" s="96">
        <v>247938.93</v>
      </c>
      <c r="P204" s="97"/>
      <c r="Q204" s="97"/>
    </row>
    <row r="205" spans="1:17" ht="16">
      <c r="A205" s="9" t="s">
        <v>458</v>
      </c>
      <c r="B205" s="96">
        <v>91468.34</v>
      </c>
      <c r="C205" s="96">
        <v>123463.45</v>
      </c>
      <c r="D205" s="96">
        <v>115737.11</v>
      </c>
      <c r="E205" s="96">
        <v>98886.74</v>
      </c>
      <c r="F205" s="96">
        <v>86478.6</v>
      </c>
      <c r="G205" s="96">
        <v>98132.14</v>
      </c>
      <c r="H205" s="96">
        <v>85659.38</v>
      </c>
      <c r="I205" s="96">
        <v>87887.11</v>
      </c>
      <c r="J205" s="96">
        <v>83775.44</v>
      </c>
      <c r="K205" s="96">
        <v>106846.24</v>
      </c>
      <c r="L205" s="96">
        <v>107406.76</v>
      </c>
      <c r="M205" s="96">
        <v>80833.27</v>
      </c>
      <c r="N205" s="96"/>
      <c r="O205" s="96">
        <v>1166574.58</v>
      </c>
      <c r="P205" s="97"/>
      <c r="Q205" s="97"/>
    </row>
    <row r="206" spans="1:17" ht="1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</row>
    <row r="207" spans="1:17" ht="16">
      <c r="A207" s="9" t="s">
        <v>459</v>
      </c>
      <c r="B207" s="105">
        <v>-91468.34</v>
      </c>
      <c r="C207" s="105">
        <v>-123307.01</v>
      </c>
      <c r="D207" s="105">
        <v>-115603.1</v>
      </c>
      <c r="E207" s="105">
        <v>-98786.13</v>
      </c>
      <c r="F207" s="105">
        <v>-86390.1</v>
      </c>
      <c r="G207" s="105">
        <v>-98049.02</v>
      </c>
      <c r="H207" s="105">
        <v>-85573.5</v>
      </c>
      <c r="I207" s="105">
        <v>-87807.98</v>
      </c>
      <c r="J207" s="105">
        <v>-83693.759999999995</v>
      </c>
      <c r="K207" s="105">
        <v>-106846.24</v>
      </c>
      <c r="L207" s="105">
        <v>-107406.76</v>
      </c>
      <c r="M207" s="105">
        <v>-80833.27</v>
      </c>
      <c r="N207" s="105"/>
      <c r="O207" s="105">
        <v>-1165765.21</v>
      </c>
      <c r="P207" s="97"/>
      <c r="Q207" s="97"/>
    </row>
    <row r="208" spans="1:17" ht="16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</row>
    <row r="209" spans="1:17" ht="16">
      <c r="A209" s="11" t="s">
        <v>460</v>
      </c>
      <c r="B209" s="77">
        <v>124662.16</v>
      </c>
      <c r="C209" s="77">
        <v>108145.19</v>
      </c>
      <c r="D209" s="77">
        <v>128649.71</v>
      </c>
      <c r="E209" s="77">
        <v>116761.87</v>
      </c>
      <c r="F209" s="77">
        <v>115874.89</v>
      </c>
      <c r="G209" s="77">
        <v>128762.56</v>
      </c>
      <c r="H209" s="77">
        <v>123319.7</v>
      </c>
      <c r="I209" s="77">
        <v>120051.05</v>
      </c>
      <c r="J209" s="77">
        <v>114898.41</v>
      </c>
      <c r="K209" s="77">
        <v>98660.73</v>
      </c>
      <c r="L209" s="77">
        <v>116969.5</v>
      </c>
      <c r="M209" s="77">
        <v>138499.73000000001</v>
      </c>
      <c r="N209" s="77"/>
      <c r="O209" s="77">
        <v>1435255.5</v>
      </c>
      <c r="P209" s="97"/>
      <c r="Q209" s="97"/>
    </row>
    <row r="210" spans="1:17" ht="16">
      <c r="A210" s="11" t="s">
        <v>461</v>
      </c>
      <c r="B210" s="77">
        <v>178872.51</v>
      </c>
      <c r="C210" s="77">
        <v>186139.51999999999</v>
      </c>
      <c r="D210" s="77">
        <v>182664.95999999999</v>
      </c>
      <c r="E210" s="77">
        <v>169616.6</v>
      </c>
      <c r="F210" s="77">
        <v>158877.10999999999</v>
      </c>
      <c r="G210" s="77">
        <v>188358.7</v>
      </c>
      <c r="H210" s="77">
        <v>159511.66</v>
      </c>
      <c r="I210" s="77">
        <v>167062.10999999999</v>
      </c>
      <c r="J210" s="77">
        <v>172479.8</v>
      </c>
      <c r="K210" s="77">
        <v>191868.83</v>
      </c>
      <c r="L210" s="77">
        <v>188735.75</v>
      </c>
      <c r="M210" s="77">
        <v>153225.21</v>
      </c>
      <c r="N210" s="77"/>
      <c r="O210" s="77">
        <v>2097412.7599999998</v>
      </c>
      <c r="P210" s="97"/>
      <c r="Q210" s="97"/>
    </row>
    <row r="211" spans="1:17" ht="16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</row>
    <row r="212" spans="1:17" ht="16">
      <c r="A212" s="9" t="s">
        <v>462</v>
      </c>
      <c r="B212" s="105">
        <v>-54210.35</v>
      </c>
      <c r="C212" s="105">
        <v>-77994.33</v>
      </c>
      <c r="D212" s="105">
        <v>-54015.25</v>
      </c>
      <c r="E212" s="105">
        <v>-52854.73</v>
      </c>
      <c r="F212" s="105">
        <v>-43002.22</v>
      </c>
      <c r="G212" s="105">
        <v>-59596.14</v>
      </c>
      <c r="H212" s="105">
        <v>-36191.96</v>
      </c>
      <c r="I212" s="105">
        <v>-47011.06</v>
      </c>
      <c r="J212" s="105">
        <v>-57581.39</v>
      </c>
      <c r="K212" s="105">
        <v>-93208.1</v>
      </c>
      <c r="L212" s="105">
        <v>-71766.25</v>
      </c>
      <c r="M212" s="105">
        <v>-14725.48</v>
      </c>
      <c r="N212" s="105"/>
      <c r="O212" s="105">
        <v>-662157.26</v>
      </c>
      <c r="P212" s="97"/>
      <c r="Q212" s="97"/>
    </row>
  </sheetData>
  <autoFilter ref="A17:M168" xr:uid="{00000000-0001-0000-0700-000000000000}">
    <filterColumn colId="0">
      <customFilters>
        <customFilter val="TOTAL*"/>
      </customFilters>
    </filterColumn>
  </autoFilter>
  <dataConsolidate/>
  <mergeCells count="16">
    <mergeCell ref="A5:O5"/>
    <mergeCell ref="A6:O6"/>
    <mergeCell ref="A7:O7"/>
    <mergeCell ref="A8:O8"/>
    <mergeCell ref="A9:O9"/>
    <mergeCell ref="A10:O10"/>
    <mergeCell ref="A11:O11"/>
    <mergeCell ref="A113:B113"/>
    <mergeCell ref="A179:B179"/>
    <mergeCell ref="A182:B182"/>
    <mergeCell ref="A12:O12"/>
    <mergeCell ref="A13:O13"/>
    <mergeCell ref="A14:O14"/>
    <mergeCell ref="A15:O15"/>
    <mergeCell ref="A16:O16"/>
    <mergeCell ref="A63:B63"/>
  </mergeCells>
  <hyperlinks>
    <hyperlink ref="A110" r:id="rId1" xr:uid="{00000000-0004-0000-0700-000000000000}"/>
  </hyperlinks>
  <pageMargins left="0.7" right="0.7" top="0.75" bottom="0.75" header="0.3" footer="0.3"/>
  <pageSetup orientation="portrait" horizontalDpi="0" verticalDpi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2AA5-9FA5-C843-AF3C-767017D974B5}">
  <dimension ref="B4:R30"/>
  <sheetViews>
    <sheetView workbookViewId="0">
      <selection activeCell="K34" sqref="K34"/>
    </sheetView>
  </sheetViews>
  <sheetFormatPr baseColWidth="10" defaultRowHeight="14" outlineLevelCol="1"/>
  <cols>
    <col min="2" max="2" width="33.33203125" bestFit="1" customWidth="1"/>
    <col min="3" max="8" width="11.5" customWidth="1" outlineLevel="1"/>
    <col min="9" max="11" width="11.5" bestFit="1" customWidth="1"/>
    <col min="12" max="12" width="10.5" bestFit="1" customWidth="1"/>
    <col min="13" max="13" width="11.5" bestFit="1" customWidth="1"/>
    <col min="14" max="14" width="12.83203125" customWidth="1"/>
    <col min="15" max="16" width="15" customWidth="1"/>
    <col min="17" max="18" width="11.6640625" bestFit="1" customWidth="1"/>
    <col min="19" max="19" width="34" bestFit="1" customWidth="1"/>
    <col min="20" max="20" width="26.6640625" bestFit="1" customWidth="1"/>
    <col min="21" max="21" width="29.83203125" bestFit="1" customWidth="1"/>
    <col min="22" max="22" width="18" bestFit="1" customWidth="1"/>
    <col min="23" max="23" width="21.1640625" bestFit="1" customWidth="1"/>
    <col min="24" max="24" width="14.83203125" bestFit="1" customWidth="1"/>
    <col min="25" max="25" width="18" bestFit="1" customWidth="1"/>
    <col min="26" max="26" width="11.6640625" bestFit="1" customWidth="1"/>
  </cols>
  <sheetData>
    <row r="4" spans="2:18" ht="17">
      <c r="B4" s="75" t="s">
        <v>1</v>
      </c>
      <c r="C4" s="90">
        <v>45627</v>
      </c>
      <c r="D4" s="90">
        <v>45658</v>
      </c>
      <c r="E4" s="90">
        <v>45689</v>
      </c>
      <c r="F4" s="90">
        <v>45717</v>
      </c>
      <c r="G4" s="90">
        <v>45748</v>
      </c>
      <c r="H4" s="91">
        <v>45778</v>
      </c>
      <c r="I4" s="90">
        <v>45809</v>
      </c>
      <c r="J4" s="90">
        <v>45839</v>
      </c>
      <c r="K4" s="90">
        <v>45870</v>
      </c>
      <c r="L4" s="90">
        <v>45901</v>
      </c>
      <c r="M4" s="90">
        <v>45931</v>
      </c>
      <c r="N4" s="90">
        <v>45962</v>
      </c>
      <c r="O4" s="90" t="s">
        <v>579</v>
      </c>
      <c r="P4" s="90" t="s">
        <v>590</v>
      </c>
      <c r="Q4" s="90" t="s">
        <v>296</v>
      </c>
      <c r="R4" s="90" t="s">
        <v>578</v>
      </c>
    </row>
    <row r="5" spans="2:18" ht="16">
      <c r="B5" s="11" t="s">
        <v>300</v>
      </c>
      <c r="C5" s="305">
        <v>107168.36</v>
      </c>
      <c r="D5" s="305">
        <v>88881.95</v>
      </c>
      <c r="E5" s="305">
        <v>113371</v>
      </c>
      <c r="F5" s="305">
        <v>95382.35</v>
      </c>
      <c r="G5" s="305">
        <v>88029.98</v>
      </c>
      <c r="H5" s="305">
        <v>110541</v>
      </c>
      <c r="I5" s="305">
        <v>106694.97</v>
      </c>
      <c r="J5" s="305">
        <v>108561.68</v>
      </c>
      <c r="K5" s="305">
        <v>100393.75</v>
      </c>
      <c r="L5" s="305">
        <v>85547.93</v>
      </c>
      <c r="M5" s="305">
        <v>102980.78</v>
      </c>
      <c r="N5" s="305">
        <v>121043.54</v>
      </c>
      <c r="O5" s="229">
        <f>SUM(C5:N5)</f>
        <v>1228597.29</v>
      </c>
      <c r="P5" s="229">
        <f>SUM(I5:N5)*2</f>
        <v>1250445.3</v>
      </c>
      <c r="Q5" s="229">
        <f>SUM(L5:N5)*4</f>
        <v>1238289</v>
      </c>
      <c r="R5" s="229">
        <f>N5*12</f>
        <v>1452522.48</v>
      </c>
    </row>
    <row r="6" spans="2:18" ht="16">
      <c r="B6" s="11" t="s">
        <v>301</v>
      </c>
      <c r="C6" s="305">
        <v>17493.8</v>
      </c>
      <c r="D6" s="305">
        <v>19106.8</v>
      </c>
      <c r="E6" s="305">
        <v>15144.7</v>
      </c>
      <c r="F6" s="305">
        <v>21278.91</v>
      </c>
      <c r="G6" s="305">
        <v>27756.41</v>
      </c>
      <c r="H6" s="305">
        <v>18138.439999999999</v>
      </c>
      <c r="I6" s="305">
        <v>16538.849999999999</v>
      </c>
      <c r="J6" s="305">
        <v>11410.24</v>
      </c>
      <c r="K6" s="305">
        <v>14422.98</v>
      </c>
      <c r="L6" s="305">
        <v>13112.8</v>
      </c>
      <c r="M6" s="305">
        <v>13988.72</v>
      </c>
      <c r="N6" s="305">
        <v>17456.189999999999</v>
      </c>
      <c r="O6" s="229">
        <f>SUM(C6:N6)</f>
        <v>205848.84</v>
      </c>
      <c r="P6" s="229">
        <f>SUM(I6:N6)*2</f>
        <v>173859.56</v>
      </c>
      <c r="Q6" s="229">
        <f>SUM(L6:N6)*4</f>
        <v>178230.83999999997</v>
      </c>
      <c r="R6" s="229">
        <f>N6*12</f>
        <v>209474.27999999997</v>
      </c>
    </row>
    <row r="7" spans="2:18" ht="17" thickBot="1">
      <c r="B7" s="9" t="s">
        <v>189</v>
      </c>
      <c r="C7" s="308">
        <v>124662.16</v>
      </c>
      <c r="D7" s="308">
        <v>107988.75</v>
      </c>
      <c r="E7" s="308">
        <v>128515.7</v>
      </c>
      <c r="F7" s="308">
        <v>116661.26</v>
      </c>
      <c r="G7" s="308">
        <v>115786.39</v>
      </c>
      <c r="H7" s="308">
        <v>128679.44</v>
      </c>
      <c r="I7" s="308">
        <v>123233.82</v>
      </c>
      <c r="J7" s="308">
        <v>119971.92</v>
      </c>
      <c r="K7" s="308">
        <v>114816.73</v>
      </c>
      <c r="L7" s="308">
        <v>98660.73</v>
      </c>
      <c r="M7" s="308">
        <v>116969.5</v>
      </c>
      <c r="N7" s="308">
        <v>138499.73000000001</v>
      </c>
      <c r="O7" s="307">
        <f>SUM(C7:N7)</f>
        <v>1434446.1300000001</v>
      </c>
      <c r="P7" s="307">
        <f>SUM(I7:N7)*2</f>
        <v>1424304.8599999999</v>
      </c>
      <c r="Q7" s="307">
        <f>SUM(L7:N7)*4</f>
        <v>1416519.8399999999</v>
      </c>
      <c r="R7" s="307">
        <f>N7*12</f>
        <v>1661996.7600000002</v>
      </c>
    </row>
    <row r="8" spans="2:18" ht="15" thickTop="1"/>
    <row r="9" spans="2:18" ht="16">
      <c r="B9" s="9" t="s">
        <v>331</v>
      </c>
      <c r="C9" s="306">
        <v>15883</v>
      </c>
      <c r="D9" s="306">
        <v>17078</v>
      </c>
      <c r="E9" s="306">
        <v>17527</v>
      </c>
      <c r="F9" s="306">
        <v>17075</v>
      </c>
      <c r="G9" s="306">
        <v>16923</v>
      </c>
      <c r="H9" s="306">
        <v>14096.18</v>
      </c>
      <c r="I9" s="306">
        <v>4500</v>
      </c>
      <c r="J9" s="306">
        <v>4500</v>
      </c>
      <c r="K9" s="306">
        <v>4500</v>
      </c>
      <c r="L9" s="306">
        <v>4500</v>
      </c>
      <c r="M9" s="306">
        <v>4500</v>
      </c>
      <c r="N9" s="306">
        <v>4500</v>
      </c>
      <c r="R9" s="229">
        <f t="shared" ref="R9:R17" si="0">N9*12</f>
        <v>54000</v>
      </c>
    </row>
    <row r="10" spans="2:18" ht="16">
      <c r="B10" s="9" t="s">
        <v>335</v>
      </c>
      <c r="C10" s="96">
        <v>15475.18</v>
      </c>
      <c r="D10" s="96">
        <v>2053.87</v>
      </c>
      <c r="E10" s="96">
        <v>3083.15</v>
      </c>
      <c r="F10" s="96">
        <v>1202.6500000000001</v>
      </c>
      <c r="G10" s="96">
        <v>6798.96</v>
      </c>
      <c r="H10" s="96">
        <v>7542.87</v>
      </c>
      <c r="I10" s="96">
        <v>1458.99</v>
      </c>
      <c r="J10" s="262">
        <v>9822.9500000000007</v>
      </c>
      <c r="K10" s="96">
        <v>3470.28</v>
      </c>
      <c r="L10" s="96">
        <v>1775.6</v>
      </c>
      <c r="M10" s="96">
        <v>2899.94</v>
      </c>
      <c r="N10" s="96">
        <v>1765.76</v>
      </c>
      <c r="R10" s="229">
        <f t="shared" si="0"/>
        <v>21189.119999999999</v>
      </c>
    </row>
    <row r="11" spans="2:18" ht="16">
      <c r="B11" s="9" t="s">
        <v>360</v>
      </c>
      <c r="C11" s="96">
        <v>3100.62</v>
      </c>
      <c r="D11" s="96">
        <v>5911.33</v>
      </c>
      <c r="E11" s="96">
        <v>2360.54</v>
      </c>
      <c r="F11" s="96">
        <v>6643.63</v>
      </c>
      <c r="G11" s="96">
        <v>1995</v>
      </c>
      <c r="H11" s="96">
        <v>9628.02</v>
      </c>
      <c r="I11" s="309">
        <v>0</v>
      </c>
      <c r="J11" s="309">
        <v>0</v>
      </c>
      <c r="K11" s="96">
        <v>3303.8</v>
      </c>
      <c r="L11" s="96">
        <v>8685.7800000000007</v>
      </c>
      <c r="M11" s="96">
        <v>2766.2</v>
      </c>
      <c r="N11" s="96">
        <v>1258.46</v>
      </c>
      <c r="R11" s="229">
        <f t="shared" si="0"/>
        <v>15101.52</v>
      </c>
    </row>
    <row r="12" spans="2:18" ht="16">
      <c r="B12" s="9" t="s">
        <v>194</v>
      </c>
      <c r="C12" s="99">
        <v>645</v>
      </c>
      <c r="D12" s="99">
        <v>645</v>
      </c>
      <c r="E12" s="99">
        <v>667.17</v>
      </c>
      <c r="F12" s="99">
        <v>682.98</v>
      </c>
      <c r="G12" s="96">
        <v>1175</v>
      </c>
      <c r="H12" s="96">
        <v>1820</v>
      </c>
      <c r="I12" s="96">
        <v>5691.04</v>
      </c>
      <c r="J12" s="96">
        <v>3691.38</v>
      </c>
      <c r="K12" s="96">
        <v>4535.2299999999996</v>
      </c>
      <c r="L12" s="96">
        <v>4396.92</v>
      </c>
      <c r="M12" s="96">
        <v>3631</v>
      </c>
      <c r="N12" s="96">
        <v>3812</v>
      </c>
      <c r="R12" s="229">
        <f t="shared" si="0"/>
        <v>45744</v>
      </c>
    </row>
    <row r="13" spans="2:18" ht="16">
      <c r="B13" s="9" t="s">
        <v>376</v>
      </c>
      <c r="C13" s="96">
        <v>7577.42</v>
      </c>
      <c r="D13" s="96">
        <v>4542.2299999999996</v>
      </c>
      <c r="E13" s="96">
        <v>3077.8</v>
      </c>
      <c r="F13" s="96">
        <v>5270.89</v>
      </c>
      <c r="G13" s="96">
        <v>4609.13</v>
      </c>
      <c r="H13" s="96">
        <v>9282.4</v>
      </c>
      <c r="I13" s="96">
        <v>5700.66</v>
      </c>
      <c r="J13" s="99">
        <v>702.97</v>
      </c>
      <c r="K13" s="96">
        <v>5245.66</v>
      </c>
      <c r="L13" s="96">
        <v>5314.97</v>
      </c>
      <c r="M13" s="96">
        <v>5026.3999999999996</v>
      </c>
      <c r="N13" s="96">
        <v>6685.8</v>
      </c>
      <c r="R13" s="229">
        <f t="shared" si="0"/>
        <v>80229.600000000006</v>
      </c>
    </row>
    <row r="14" spans="2:18" ht="16">
      <c r="B14" s="9" t="s">
        <v>197</v>
      </c>
      <c r="C14" s="96">
        <v>5951.14</v>
      </c>
      <c r="D14" s="96">
        <v>3180.09</v>
      </c>
      <c r="E14" s="96">
        <v>4322.42</v>
      </c>
      <c r="F14" s="96">
        <v>4875.68</v>
      </c>
      <c r="G14" s="96">
        <v>5150.68</v>
      </c>
      <c r="H14" s="96">
        <v>9071.5499999999993</v>
      </c>
      <c r="I14" s="96">
        <v>5013.05</v>
      </c>
      <c r="J14" s="96">
        <v>3890.75</v>
      </c>
      <c r="K14" s="96">
        <v>5456.68</v>
      </c>
      <c r="L14" s="96">
        <v>4976.3599999999997</v>
      </c>
      <c r="M14" s="96">
        <v>5351.97</v>
      </c>
      <c r="N14" s="96">
        <v>7348.6</v>
      </c>
      <c r="R14" s="229">
        <f t="shared" si="0"/>
        <v>88183.200000000012</v>
      </c>
    </row>
    <row r="15" spans="2:18" ht="16">
      <c r="B15" s="9" t="s">
        <v>49</v>
      </c>
      <c r="C15" s="96">
        <v>5268.91</v>
      </c>
      <c r="D15" s="96">
        <v>8163.11</v>
      </c>
      <c r="E15" s="96">
        <v>5740.67</v>
      </c>
      <c r="F15" s="96">
        <v>4829.93</v>
      </c>
      <c r="G15" s="96">
        <v>5597.64</v>
      </c>
      <c r="H15" s="96">
        <v>6333.39</v>
      </c>
      <c r="I15" s="96">
        <v>6743.78</v>
      </c>
      <c r="J15" s="96">
        <v>6410.55</v>
      </c>
      <c r="K15" s="96">
        <v>7404.19</v>
      </c>
      <c r="L15" s="96">
        <v>6924.26</v>
      </c>
      <c r="M15" s="96">
        <v>5967.88</v>
      </c>
      <c r="N15" s="96">
        <v>6320.12</v>
      </c>
      <c r="R15" s="229">
        <f t="shared" si="0"/>
        <v>75841.440000000002</v>
      </c>
    </row>
    <row r="16" spans="2:18" ht="16">
      <c r="B16" s="9" t="s">
        <v>408</v>
      </c>
      <c r="C16" s="96">
        <v>32302.9</v>
      </c>
      <c r="D16" s="96">
        <v>21102.44</v>
      </c>
      <c r="E16" s="96">
        <v>30149.1</v>
      </c>
      <c r="F16" s="96">
        <v>30149.1</v>
      </c>
      <c r="G16" s="96">
        <v>30149.1</v>
      </c>
      <c r="H16" s="96">
        <v>30149.1</v>
      </c>
      <c r="I16" s="96">
        <v>30149.1</v>
      </c>
      <c r="J16" s="96">
        <v>30149.1</v>
      </c>
      <c r="K16" s="96">
        <v>36042</v>
      </c>
      <c r="L16" s="96">
        <v>36042</v>
      </c>
      <c r="M16" s="96">
        <v>36042</v>
      </c>
      <c r="N16" s="96">
        <v>28518.86</v>
      </c>
      <c r="R16" s="229">
        <f t="shared" si="0"/>
        <v>342226.32</v>
      </c>
    </row>
    <row r="17" spans="2:18" ht="16">
      <c r="B17" s="9" t="s">
        <v>412</v>
      </c>
      <c r="C17" s="96">
        <v>1200</v>
      </c>
      <c r="D17" s="99">
        <v>0</v>
      </c>
      <c r="E17" s="99">
        <v>0</v>
      </c>
      <c r="F17" s="99">
        <v>0</v>
      </c>
      <c r="G17" s="99">
        <v>0</v>
      </c>
      <c r="H17" s="96">
        <v>2303.0500000000002</v>
      </c>
      <c r="I17" s="96">
        <v>14595.66</v>
      </c>
      <c r="J17" s="96">
        <v>20007.3</v>
      </c>
      <c r="K17" s="96">
        <v>18746.52</v>
      </c>
      <c r="L17" s="96">
        <v>12406.7</v>
      </c>
      <c r="M17" s="96">
        <v>15143.6</v>
      </c>
      <c r="N17" s="96">
        <v>12182.34</v>
      </c>
      <c r="R17" s="229">
        <f t="shared" si="0"/>
        <v>146188.08000000002</v>
      </c>
    </row>
    <row r="18" spans="2:18" ht="16">
      <c r="B18" s="9" t="s">
        <v>579</v>
      </c>
      <c r="C18" s="229">
        <f t="shared" ref="C18:N18" si="1">SUM(C9:C17)</f>
        <v>87404.170000000013</v>
      </c>
      <c r="D18" s="229">
        <f t="shared" si="1"/>
        <v>62676.069999999992</v>
      </c>
      <c r="E18" s="229">
        <f t="shared" si="1"/>
        <v>66927.850000000006</v>
      </c>
      <c r="F18" s="229">
        <f t="shared" si="1"/>
        <v>70729.86</v>
      </c>
      <c r="G18" s="229">
        <f t="shared" si="1"/>
        <v>72398.510000000009</v>
      </c>
      <c r="H18" s="229">
        <f t="shared" si="1"/>
        <v>90226.560000000012</v>
      </c>
      <c r="I18" s="229">
        <f t="shared" si="1"/>
        <v>73852.28</v>
      </c>
      <c r="J18" s="229">
        <f t="shared" si="1"/>
        <v>79175</v>
      </c>
      <c r="K18" s="229">
        <f t="shared" si="1"/>
        <v>88704.36</v>
      </c>
      <c r="L18" s="229">
        <f t="shared" si="1"/>
        <v>85022.590000000011</v>
      </c>
      <c r="M18" s="229">
        <f t="shared" si="1"/>
        <v>81328.990000000005</v>
      </c>
      <c r="N18" s="229">
        <f t="shared" si="1"/>
        <v>72391.94</v>
      </c>
      <c r="R18" s="397">
        <f>SUM(R9:R17)</f>
        <v>868703.28</v>
      </c>
    </row>
    <row r="20" spans="2:18" ht="17">
      <c r="C20" s="90">
        <v>45627</v>
      </c>
      <c r="D20" s="90">
        <v>45658</v>
      </c>
      <c r="E20" s="90">
        <v>45689</v>
      </c>
      <c r="F20" s="90">
        <v>45717</v>
      </c>
      <c r="G20" s="90">
        <v>45748</v>
      </c>
      <c r="H20" s="91">
        <v>45778</v>
      </c>
      <c r="I20" s="90">
        <v>45809</v>
      </c>
      <c r="J20" s="90">
        <v>45839</v>
      </c>
      <c r="K20" s="90">
        <v>45870</v>
      </c>
      <c r="L20" s="90">
        <v>45901</v>
      </c>
      <c r="M20" s="90">
        <v>45931</v>
      </c>
      <c r="N20" s="90">
        <v>45962</v>
      </c>
    </row>
    <row r="21" spans="2:18" ht="16">
      <c r="B21" s="9" t="s">
        <v>331</v>
      </c>
      <c r="C21" s="306">
        <v>15883</v>
      </c>
      <c r="D21" s="306">
        <v>17078</v>
      </c>
      <c r="E21" s="306">
        <v>17527</v>
      </c>
      <c r="F21" s="306">
        <v>17075</v>
      </c>
      <c r="G21" s="306">
        <v>16923</v>
      </c>
      <c r="H21" s="306">
        <v>14096.18</v>
      </c>
      <c r="I21" s="306">
        <v>4500</v>
      </c>
      <c r="J21" s="306">
        <v>4500</v>
      </c>
      <c r="K21" s="306">
        <v>4500</v>
      </c>
      <c r="L21" s="306">
        <v>4500</v>
      </c>
      <c r="M21" s="306">
        <v>4500</v>
      </c>
      <c r="N21" s="306">
        <v>4500</v>
      </c>
    </row>
    <row r="22" spans="2:18" ht="16">
      <c r="B22" s="9" t="s">
        <v>335</v>
      </c>
      <c r="C22" s="96">
        <v>15475.18</v>
      </c>
      <c r="D22" s="96">
        <v>2053.87</v>
      </c>
      <c r="E22" s="96">
        <v>3083.15</v>
      </c>
      <c r="F22" s="96">
        <v>1202.6500000000001</v>
      </c>
      <c r="G22" s="96">
        <v>6798.96</v>
      </c>
      <c r="H22" s="96">
        <v>7542.87</v>
      </c>
      <c r="I22" s="96">
        <v>1458.99</v>
      </c>
      <c r="J22" s="262">
        <v>9822.9500000000007</v>
      </c>
      <c r="K22" s="96">
        <v>3470.28</v>
      </c>
      <c r="L22" s="96">
        <v>1775.6</v>
      </c>
      <c r="M22" s="96">
        <v>2899.94</v>
      </c>
      <c r="N22" s="96">
        <v>1765.76</v>
      </c>
    </row>
    <row r="23" spans="2:18" ht="16">
      <c r="B23" s="9" t="s">
        <v>360</v>
      </c>
      <c r="C23" s="96">
        <v>3100.62</v>
      </c>
      <c r="D23" s="96">
        <v>5911.33</v>
      </c>
      <c r="E23" s="96">
        <v>2360.54</v>
      </c>
      <c r="F23" s="96">
        <v>6643.63</v>
      </c>
      <c r="G23" s="96">
        <v>1995</v>
      </c>
      <c r="H23" s="96">
        <v>9628.02</v>
      </c>
      <c r="I23" s="99">
        <v>0</v>
      </c>
      <c r="J23" s="99">
        <v>0</v>
      </c>
      <c r="K23" s="96">
        <v>3303.8</v>
      </c>
      <c r="L23" s="96">
        <v>8685.7800000000007</v>
      </c>
      <c r="M23" s="96">
        <v>2766.2</v>
      </c>
      <c r="N23" s="96">
        <v>1258.46</v>
      </c>
    </row>
    <row r="24" spans="2:18" ht="16">
      <c r="B24" s="9" t="s">
        <v>194</v>
      </c>
      <c r="C24" s="99">
        <v>645</v>
      </c>
      <c r="D24" s="99">
        <v>645</v>
      </c>
      <c r="E24" s="99">
        <v>667.17</v>
      </c>
      <c r="F24" s="99">
        <v>682.98</v>
      </c>
      <c r="G24" s="96">
        <v>1175</v>
      </c>
      <c r="H24" s="96">
        <v>1820</v>
      </c>
      <c r="I24" s="96">
        <v>5691.04</v>
      </c>
      <c r="J24" s="96">
        <v>3691.38</v>
      </c>
      <c r="K24" s="96">
        <v>4535.2299999999996</v>
      </c>
      <c r="L24" s="96">
        <v>4396.92</v>
      </c>
      <c r="M24" s="96">
        <v>3631</v>
      </c>
      <c r="N24" s="96">
        <v>3812</v>
      </c>
    </row>
    <row r="25" spans="2:18" ht="16">
      <c r="B25" s="9" t="s">
        <v>376</v>
      </c>
      <c r="C25" s="96">
        <v>7577.42</v>
      </c>
      <c r="D25" s="96">
        <v>4542.2299999999996</v>
      </c>
      <c r="E25" s="96">
        <v>3077.8</v>
      </c>
      <c r="F25" s="96">
        <v>5270.89</v>
      </c>
      <c r="G25" s="96">
        <v>4609.13</v>
      </c>
      <c r="H25" s="96">
        <v>9282.4</v>
      </c>
      <c r="I25" s="96">
        <v>5700.66</v>
      </c>
      <c r="J25" s="99">
        <v>702.97</v>
      </c>
      <c r="K25" s="96">
        <v>5245.66</v>
      </c>
      <c r="L25" s="96">
        <v>5314.97</v>
      </c>
      <c r="M25" s="96">
        <v>5026.3999999999996</v>
      </c>
      <c r="N25" s="96">
        <v>6685.8</v>
      </c>
    </row>
    <row r="26" spans="2:18" ht="16">
      <c r="B26" s="9" t="s">
        <v>197</v>
      </c>
      <c r="C26" s="96">
        <v>5951.14</v>
      </c>
      <c r="D26" s="96">
        <v>3180.09</v>
      </c>
      <c r="E26" s="96">
        <v>4322.42</v>
      </c>
      <c r="F26" s="96">
        <v>4875.68</v>
      </c>
      <c r="G26" s="96">
        <v>5150.68</v>
      </c>
      <c r="H26" s="96">
        <v>9071.5499999999993</v>
      </c>
      <c r="I26" s="96">
        <v>5013.05</v>
      </c>
      <c r="J26" s="96">
        <v>3890.75</v>
      </c>
      <c r="K26" s="96">
        <v>5456.68</v>
      </c>
      <c r="L26" s="96">
        <v>4976.3599999999997</v>
      </c>
      <c r="M26" s="96">
        <v>5351.97</v>
      </c>
      <c r="N26" s="96">
        <v>7348.6</v>
      </c>
    </row>
    <row r="27" spans="2:18" ht="16">
      <c r="B27" s="9" t="s">
        <v>49</v>
      </c>
      <c r="C27" s="96">
        <v>5268.91</v>
      </c>
      <c r="D27" s="96">
        <v>8163.11</v>
      </c>
      <c r="E27" s="96">
        <v>5740.67</v>
      </c>
      <c r="F27" s="96">
        <v>4829.93</v>
      </c>
      <c r="G27" s="96">
        <v>5597.64</v>
      </c>
      <c r="H27" s="96">
        <v>6333.39</v>
      </c>
      <c r="I27" s="96">
        <v>6743.78</v>
      </c>
      <c r="J27" s="96">
        <v>6410.55</v>
      </c>
      <c r="K27" s="96">
        <v>7404.19</v>
      </c>
      <c r="L27" s="96">
        <v>6924.26</v>
      </c>
      <c r="M27" s="96">
        <v>5967.88</v>
      </c>
      <c r="N27" s="96">
        <v>6320.12</v>
      </c>
    </row>
    <row r="28" spans="2:18" ht="16">
      <c r="B28" s="9" t="s">
        <v>408</v>
      </c>
      <c r="C28" s="96">
        <v>32302.9</v>
      </c>
      <c r="D28" s="96">
        <v>21102.44</v>
      </c>
      <c r="E28" s="96">
        <v>30149.1</v>
      </c>
      <c r="F28" s="96">
        <v>30149.1</v>
      </c>
      <c r="G28" s="96">
        <v>30149.1</v>
      </c>
      <c r="H28" s="96">
        <v>30149.1</v>
      </c>
      <c r="I28" s="96">
        <v>30149.1</v>
      </c>
      <c r="J28" s="96">
        <v>30149.1</v>
      </c>
      <c r="K28" s="96">
        <v>36042</v>
      </c>
      <c r="L28" s="96">
        <v>36042</v>
      </c>
      <c r="M28" s="96">
        <v>36042</v>
      </c>
      <c r="N28" s="96">
        <v>28518.86</v>
      </c>
    </row>
    <row r="29" spans="2:18" ht="16">
      <c r="B29" s="9" t="s">
        <v>412</v>
      </c>
      <c r="C29" s="96">
        <v>1200</v>
      </c>
      <c r="D29" s="99">
        <v>0</v>
      </c>
      <c r="E29" s="99">
        <v>0</v>
      </c>
      <c r="F29" s="99">
        <v>0</v>
      </c>
      <c r="G29" s="99">
        <v>0</v>
      </c>
      <c r="H29" s="96">
        <v>2303.0500000000002</v>
      </c>
      <c r="I29" s="96">
        <v>14595.66</v>
      </c>
      <c r="J29" s="96">
        <v>20007.3</v>
      </c>
      <c r="K29" s="96" t="s">
        <v>624</v>
      </c>
      <c r="L29" s="96">
        <v>12406.7</v>
      </c>
      <c r="M29" s="96">
        <v>15143.6</v>
      </c>
      <c r="N29" s="96">
        <v>12182.34</v>
      </c>
    </row>
    <row r="30" spans="2:18" ht="16">
      <c r="B30" s="9" t="s">
        <v>579</v>
      </c>
      <c r="C30" s="229">
        <f t="shared" ref="C30:N30" si="2">SUM(C21:C29)</f>
        <v>87404.170000000013</v>
      </c>
      <c r="D30" s="229">
        <f t="shared" si="2"/>
        <v>62676.069999999992</v>
      </c>
      <c r="E30" s="229">
        <f t="shared" si="2"/>
        <v>66927.850000000006</v>
      </c>
      <c r="F30" s="229">
        <f t="shared" si="2"/>
        <v>70729.86</v>
      </c>
      <c r="G30" s="229">
        <f t="shared" si="2"/>
        <v>72398.510000000009</v>
      </c>
      <c r="H30" s="229">
        <f t="shared" si="2"/>
        <v>90226.560000000012</v>
      </c>
      <c r="I30" s="229">
        <f t="shared" si="2"/>
        <v>73852.28</v>
      </c>
      <c r="J30" s="229">
        <f t="shared" si="2"/>
        <v>79175</v>
      </c>
      <c r="K30" s="229">
        <f t="shared" si="2"/>
        <v>69957.84</v>
      </c>
      <c r="L30" s="229">
        <f t="shared" si="2"/>
        <v>85022.590000000011</v>
      </c>
      <c r="M30" s="229">
        <f t="shared" si="2"/>
        <v>81328.990000000005</v>
      </c>
      <c r="N30" s="229">
        <f t="shared" si="2"/>
        <v>72391.94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355D-5A18-1A49-9B39-FA34AAFA0355}">
  <dimension ref="A1:D7"/>
  <sheetViews>
    <sheetView workbookViewId="0">
      <selection activeCell="E10" sqref="E10"/>
    </sheetView>
  </sheetViews>
  <sheetFormatPr baseColWidth="10" defaultRowHeight="14"/>
  <cols>
    <col min="1" max="1" width="30.83203125" bestFit="1" customWidth="1"/>
    <col min="2" max="2" width="13.1640625" bestFit="1" customWidth="1"/>
    <col min="3" max="3" width="12.5" bestFit="1" customWidth="1"/>
    <col min="4" max="4" width="24.83203125" bestFit="1" customWidth="1"/>
  </cols>
  <sheetData>
    <row r="1" spans="1:4" ht="20">
      <c r="A1" s="515" t="s">
        <v>1014</v>
      </c>
      <c r="B1" s="515"/>
      <c r="C1" s="515"/>
      <c r="D1" s="515"/>
    </row>
    <row r="3" spans="1:4">
      <c r="A3" s="227" t="s">
        <v>574</v>
      </c>
      <c r="B3" t="s">
        <v>577</v>
      </c>
      <c r="C3" t="s">
        <v>576</v>
      </c>
      <c r="D3" t="s">
        <v>683</v>
      </c>
    </row>
    <row r="4" spans="1:4">
      <c r="A4" s="228" t="s">
        <v>220</v>
      </c>
      <c r="B4">
        <v>106</v>
      </c>
      <c r="C4" s="230">
        <v>113554</v>
      </c>
      <c r="D4" s="230">
        <v>11921.5</v>
      </c>
    </row>
    <row r="5" spans="1:4">
      <c r="A5" s="228" t="s">
        <v>778</v>
      </c>
      <c r="B5">
        <v>2</v>
      </c>
      <c r="C5" s="230">
        <v>2004</v>
      </c>
      <c r="D5" s="230">
        <v>361</v>
      </c>
    </row>
    <row r="6" spans="1:4">
      <c r="A6" s="228" t="s">
        <v>821</v>
      </c>
      <c r="B6">
        <v>5</v>
      </c>
      <c r="C6" s="230">
        <v>5541</v>
      </c>
      <c r="D6" s="230">
        <v>656</v>
      </c>
    </row>
    <row r="7" spans="1:4">
      <c r="A7" s="228" t="s">
        <v>575</v>
      </c>
      <c r="B7">
        <v>113</v>
      </c>
      <c r="C7" s="230">
        <v>121099</v>
      </c>
      <c r="D7" s="230">
        <v>12938.5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E894-54BC-CA42-949A-99B9EDB5797A}">
  <dimension ref="A1:N128"/>
  <sheetViews>
    <sheetView workbookViewId="0">
      <selection sqref="A1:N128"/>
    </sheetView>
  </sheetViews>
  <sheetFormatPr baseColWidth="10" defaultRowHeight="14"/>
  <cols>
    <col min="1" max="1" width="15" bestFit="1" customWidth="1"/>
    <col min="3" max="3" width="6.1640625" bestFit="1" customWidth="1"/>
    <col min="4" max="4" width="28.5" bestFit="1" customWidth="1"/>
    <col min="5" max="5" width="16.83203125" bestFit="1" customWidth="1"/>
    <col min="6" max="6" width="13.33203125" bestFit="1" customWidth="1"/>
    <col min="7" max="7" width="9.1640625" bestFit="1" customWidth="1"/>
  </cols>
  <sheetData>
    <row r="1" spans="1:14" ht="17">
      <c r="A1" s="401" t="s">
        <v>212</v>
      </c>
      <c r="B1" s="401" t="s">
        <v>215</v>
      </c>
      <c r="C1" s="401" t="s">
        <v>275</v>
      </c>
      <c r="D1" s="401" t="s">
        <v>754</v>
      </c>
      <c r="E1" s="401" t="s">
        <v>755</v>
      </c>
      <c r="F1" s="401" t="s">
        <v>756</v>
      </c>
      <c r="G1" s="401" t="s">
        <v>9</v>
      </c>
      <c r="H1" s="401" t="s">
        <v>757</v>
      </c>
      <c r="I1" s="401" t="s">
        <v>758</v>
      </c>
      <c r="J1" s="401" t="s">
        <v>759</v>
      </c>
      <c r="K1" s="401" t="s">
        <v>760</v>
      </c>
      <c r="L1" s="401" t="s">
        <v>761</v>
      </c>
      <c r="M1" s="401" t="s">
        <v>762</v>
      </c>
      <c r="N1" s="401" t="s">
        <v>214</v>
      </c>
    </row>
    <row r="2" spans="1:14" ht="16">
      <c r="A2" s="480" t="s">
        <v>216</v>
      </c>
      <c r="B2" s="481">
        <v>850</v>
      </c>
      <c r="C2" s="480" t="s">
        <v>763</v>
      </c>
      <c r="D2" s="480"/>
      <c r="E2" s="480" t="s">
        <v>217</v>
      </c>
      <c r="F2" s="251">
        <v>1149</v>
      </c>
      <c r="G2" s="251"/>
      <c r="H2" s="251">
        <v>0</v>
      </c>
      <c r="I2" s="482"/>
      <c r="J2" s="482"/>
      <c r="K2" s="482"/>
      <c r="L2" s="482"/>
      <c r="M2" s="251"/>
      <c r="N2" s="251">
        <v>1149</v>
      </c>
    </row>
    <row r="3" spans="1:14" ht="16">
      <c r="A3" s="480" t="s">
        <v>216</v>
      </c>
      <c r="B3" s="481">
        <v>850</v>
      </c>
      <c r="C3" s="480" t="s">
        <v>764</v>
      </c>
      <c r="D3" s="480"/>
      <c r="E3" s="480" t="s">
        <v>218</v>
      </c>
      <c r="F3" s="251">
        <v>1149</v>
      </c>
      <c r="G3" s="251"/>
      <c r="H3" s="251">
        <v>0</v>
      </c>
      <c r="I3" s="482"/>
      <c r="J3" s="482"/>
      <c r="K3" s="482"/>
      <c r="L3" s="482"/>
      <c r="M3" s="251"/>
      <c r="N3" s="251">
        <v>1149</v>
      </c>
    </row>
    <row r="4" spans="1:14" ht="16">
      <c r="A4" s="480" t="s">
        <v>219</v>
      </c>
      <c r="B4" s="481">
        <v>650</v>
      </c>
      <c r="C4" s="480" t="s">
        <v>765</v>
      </c>
      <c r="D4" s="480"/>
      <c r="E4" s="480" t="s">
        <v>217</v>
      </c>
      <c r="F4" s="251">
        <v>1029</v>
      </c>
      <c r="G4" s="251"/>
      <c r="H4" s="251">
        <v>0</v>
      </c>
      <c r="I4" s="482"/>
      <c r="J4" s="482"/>
      <c r="K4" s="482"/>
      <c r="L4" s="482"/>
      <c r="M4" s="251"/>
      <c r="N4" s="251">
        <v>999</v>
      </c>
    </row>
    <row r="5" spans="1:14" ht="16">
      <c r="A5" s="480" t="s">
        <v>221</v>
      </c>
      <c r="B5" s="481">
        <v>850</v>
      </c>
      <c r="C5" s="480" t="s">
        <v>766</v>
      </c>
      <c r="D5" s="480"/>
      <c r="E5" s="480" t="s">
        <v>218</v>
      </c>
      <c r="F5" s="251">
        <v>1199</v>
      </c>
      <c r="G5" s="251"/>
      <c r="H5" s="251">
        <v>0</v>
      </c>
      <c r="I5" s="482"/>
      <c r="J5" s="482"/>
      <c r="K5" s="482"/>
      <c r="L5" s="482"/>
      <c r="M5" s="251"/>
      <c r="N5" s="251">
        <v>1199</v>
      </c>
    </row>
    <row r="6" spans="1:14" ht="16">
      <c r="A6" s="480" t="s">
        <v>216</v>
      </c>
      <c r="B6" s="481">
        <v>850</v>
      </c>
      <c r="C6" s="480" t="s">
        <v>767</v>
      </c>
      <c r="D6" s="480"/>
      <c r="E6" s="480" t="s">
        <v>218</v>
      </c>
      <c r="F6" s="251">
        <v>1149</v>
      </c>
      <c r="G6" s="251"/>
      <c r="H6" s="251">
        <v>0</v>
      </c>
      <c r="I6" s="482"/>
      <c r="J6" s="482"/>
      <c r="K6" s="482"/>
      <c r="L6" s="482"/>
      <c r="M6" s="251"/>
      <c r="N6" s="251">
        <v>1149</v>
      </c>
    </row>
    <row r="7" spans="1:14" ht="16">
      <c r="A7" s="480" t="s">
        <v>768</v>
      </c>
      <c r="B7" s="481">
        <v>1150</v>
      </c>
      <c r="C7" s="480" t="s">
        <v>769</v>
      </c>
      <c r="D7" s="480"/>
      <c r="E7" s="480" t="s">
        <v>217</v>
      </c>
      <c r="F7" s="251">
        <v>1399</v>
      </c>
      <c r="G7" s="251"/>
      <c r="H7" s="251">
        <v>0</v>
      </c>
      <c r="I7" s="482"/>
      <c r="J7" s="482"/>
      <c r="K7" s="482"/>
      <c r="L7" s="482"/>
      <c r="M7" s="251"/>
      <c r="N7" s="251">
        <v>1499</v>
      </c>
    </row>
    <row r="8" spans="1:14" ht="16">
      <c r="A8" s="480" t="s">
        <v>768</v>
      </c>
      <c r="B8" s="481">
        <v>1150</v>
      </c>
      <c r="C8" s="480" t="s">
        <v>770</v>
      </c>
      <c r="D8" s="480" t="s">
        <v>771</v>
      </c>
      <c r="E8" s="480" t="s">
        <v>220</v>
      </c>
      <c r="F8" s="251">
        <v>1399</v>
      </c>
      <c r="G8" s="251">
        <v>0</v>
      </c>
      <c r="H8" s="251">
        <v>149.5</v>
      </c>
      <c r="I8" s="482">
        <v>43206</v>
      </c>
      <c r="J8" s="482">
        <v>46372</v>
      </c>
      <c r="K8" s="482">
        <v>43206</v>
      </c>
      <c r="L8" s="482"/>
      <c r="M8" s="251">
        <v>-1449.5</v>
      </c>
      <c r="N8" s="251">
        <v>1399</v>
      </c>
    </row>
    <row r="9" spans="1:14" ht="16">
      <c r="A9" s="480" t="s">
        <v>219</v>
      </c>
      <c r="B9" s="481">
        <v>650</v>
      </c>
      <c r="C9" s="480" t="s">
        <v>772</v>
      </c>
      <c r="D9" s="480" t="s">
        <v>773</v>
      </c>
      <c r="E9" s="480" t="s">
        <v>222</v>
      </c>
      <c r="F9" s="251">
        <v>1029</v>
      </c>
      <c r="G9" s="251">
        <v>620</v>
      </c>
      <c r="H9" s="251">
        <v>120.5</v>
      </c>
      <c r="I9" s="482">
        <v>41694</v>
      </c>
      <c r="J9" s="482">
        <v>45838</v>
      </c>
      <c r="K9" s="482">
        <v>41694</v>
      </c>
      <c r="L9" s="482"/>
      <c r="M9" s="251">
        <v>3868.1</v>
      </c>
      <c r="N9" s="251">
        <v>1029</v>
      </c>
    </row>
    <row r="10" spans="1:14" ht="16">
      <c r="A10" s="480" t="s">
        <v>219</v>
      </c>
      <c r="B10" s="481">
        <v>650</v>
      </c>
      <c r="C10" s="480" t="s">
        <v>774</v>
      </c>
      <c r="D10" s="480" t="s">
        <v>775</v>
      </c>
      <c r="E10" s="480" t="s">
        <v>220</v>
      </c>
      <c r="F10" s="251">
        <v>1029</v>
      </c>
      <c r="G10" s="251">
        <v>632</v>
      </c>
      <c r="H10" s="251">
        <v>45</v>
      </c>
      <c r="I10" s="482">
        <v>42307</v>
      </c>
      <c r="J10" s="482">
        <v>45470</v>
      </c>
      <c r="K10" s="482">
        <v>42307</v>
      </c>
      <c r="L10" s="482"/>
      <c r="M10" s="251">
        <v>-179</v>
      </c>
      <c r="N10" s="251">
        <v>1029</v>
      </c>
    </row>
    <row r="11" spans="1:14" ht="16">
      <c r="A11" s="480" t="s">
        <v>219</v>
      </c>
      <c r="B11" s="481">
        <v>650</v>
      </c>
      <c r="C11" s="480" t="s">
        <v>776</v>
      </c>
      <c r="D11" s="480" t="s">
        <v>777</v>
      </c>
      <c r="E11" s="480" t="s">
        <v>778</v>
      </c>
      <c r="F11" s="251">
        <v>1029</v>
      </c>
      <c r="G11" s="251">
        <v>905</v>
      </c>
      <c r="H11" s="251">
        <v>239.5</v>
      </c>
      <c r="I11" s="482">
        <v>43483</v>
      </c>
      <c r="J11" s="482">
        <v>45912</v>
      </c>
      <c r="K11" s="482">
        <v>43483</v>
      </c>
      <c r="L11" s="482">
        <v>46022</v>
      </c>
      <c r="M11" s="251">
        <v>0</v>
      </c>
      <c r="N11" s="251">
        <v>1029</v>
      </c>
    </row>
    <row r="12" spans="1:14" ht="16">
      <c r="A12" s="480" t="s">
        <v>219</v>
      </c>
      <c r="B12" s="481">
        <v>650</v>
      </c>
      <c r="C12" s="480" t="s">
        <v>779</v>
      </c>
      <c r="D12" s="480" t="s">
        <v>780</v>
      </c>
      <c r="E12" s="480" t="s">
        <v>220</v>
      </c>
      <c r="F12" s="251">
        <v>1029</v>
      </c>
      <c r="G12" s="251">
        <v>925</v>
      </c>
      <c r="H12" s="251">
        <v>96.5</v>
      </c>
      <c r="I12" s="482">
        <v>43203</v>
      </c>
      <c r="J12" s="482">
        <v>46356</v>
      </c>
      <c r="K12" s="482">
        <v>43203</v>
      </c>
      <c r="L12" s="482"/>
      <c r="M12" s="251">
        <v>0</v>
      </c>
      <c r="N12" s="251">
        <v>1029</v>
      </c>
    </row>
    <row r="13" spans="1:14" ht="16">
      <c r="A13" s="480" t="s">
        <v>219</v>
      </c>
      <c r="B13" s="481">
        <v>650</v>
      </c>
      <c r="C13" s="480" t="s">
        <v>781</v>
      </c>
      <c r="D13" s="480" t="s">
        <v>782</v>
      </c>
      <c r="E13" s="480" t="s">
        <v>220</v>
      </c>
      <c r="F13" s="251">
        <v>1029</v>
      </c>
      <c r="G13" s="251">
        <v>943</v>
      </c>
      <c r="H13" s="251">
        <v>113.5</v>
      </c>
      <c r="I13" s="482">
        <v>40764</v>
      </c>
      <c r="J13" s="482">
        <v>46147</v>
      </c>
      <c r="K13" s="482">
        <v>40764</v>
      </c>
      <c r="L13" s="482"/>
      <c r="M13" s="251">
        <v>1661.5</v>
      </c>
      <c r="N13" s="251">
        <v>1029</v>
      </c>
    </row>
    <row r="14" spans="1:14" ht="16">
      <c r="A14" s="480" t="s">
        <v>219</v>
      </c>
      <c r="B14" s="481">
        <v>650</v>
      </c>
      <c r="C14" s="480" t="s">
        <v>783</v>
      </c>
      <c r="D14" s="480" t="s">
        <v>784</v>
      </c>
      <c r="E14" s="480" t="s">
        <v>220</v>
      </c>
      <c r="F14" s="251">
        <v>1029</v>
      </c>
      <c r="G14" s="251">
        <v>949</v>
      </c>
      <c r="H14" s="251">
        <v>121.5</v>
      </c>
      <c r="I14" s="482">
        <v>45930</v>
      </c>
      <c r="J14" s="482">
        <v>46294</v>
      </c>
      <c r="K14" s="482">
        <v>45930</v>
      </c>
      <c r="L14" s="482"/>
      <c r="M14" s="251">
        <v>0</v>
      </c>
      <c r="N14" s="251">
        <v>1029</v>
      </c>
    </row>
    <row r="15" spans="1:14" ht="16">
      <c r="A15" s="480" t="s">
        <v>219</v>
      </c>
      <c r="B15" s="481">
        <v>650</v>
      </c>
      <c r="C15" s="480" t="s">
        <v>785</v>
      </c>
      <c r="D15" s="480" t="s">
        <v>786</v>
      </c>
      <c r="E15" s="480" t="s">
        <v>220</v>
      </c>
      <c r="F15" s="251">
        <v>1029</v>
      </c>
      <c r="G15" s="251">
        <v>949</v>
      </c>
      <c r="H15" s="251">
        <v>121.5</v>
      </c>
      <c r="I15" s="482">
        <v>45891</v>
      </c>
      <c r="J15" s="482">
        <v>46265</v>
      </c>
      <c r="K15" s="482">
        <v>45891</v>
      </c>
      <c r="L15" s="482"/>
      <c r="M15" s="251">
        <v>0</v>
      </c>
      <c r="N15" s="251">
        <v>1029</v>
      </c>
    </row>
    <row r="16" spans="1:14" ht="16">
      <c r="A16" s="480" t="s">
        <v>219</v>
      </c>
      <c r="B16" s="481">
        <v>650</v>
      </c>
      <c r="C16" s="480" t="s">
        <v>787</v>
      </c>
      <c r="D16" s="480" t="s">
        <v>788</v>
      </c>
      <c r="E16" s="480" t="s">
        <v>220</v>
      </c>
      <c r="F16" s="251">
        <v>1029</v>
      </c>
      <c r="G16" s="251">
        <v>949</v>
      </c>
      <c r="H16" s="251">
        <v>121.5</v>
      </c>
      <c r="I16" s="482">
        <v>45899</v>
      </c>
      <c r="J16" s="482">
        <v>46265</v>
      </c>
      <c r="K16" s="482">
        <v>45899</v>
      </c>
      <c r="L16" s="482"/>
      <c r="M16" s="251">
        <v>0</v>
      </c>
      <c r="N16" s="251">
        <v>1029</v>
      </c>
    </row>
    <row r="17" spans="1:14" ht="16">
      <c r="A17" s="480" t="s">
        <v>219</v>
      </c>
      <c r="B17" s="481">
        <v>650</v>
      </c>
      <c r="C17" s="480" t="s">
        <v>789</v>
      </c>
      <c r="D17" s="480" t="s">
        <v>790</v>
      </c>
      <c r="E17" s="480" t="s">
        <v>220</v>
      </c>
      <c r="F17" s="251">
        <v>1029</v>
      </c>
      <c r="G17" s="251">
        <v>949</v>
      </c>
      <c r="H17" s="251">
        <v>121.5</v>
      </c>
      <c r="I17" s="482">
        <v>45910</v>
      </c>
      <c r="J17" s="482">
        <v>46295</v>
      </c>
      <c r="K17" s="482">
        <v>45910</v>
      </c>
      <c r="L17" s="482"/>
      <c r="M17" s="251">
        <v>-1070.5</v>
      </c>
      <c r="N17" s="251">
        <v>1029</v>
      </c>
    </row>
    <row r="18" spans="1:14" ht="16">
      <c r="A18" s="480" t="s">
        <v>219</v>
      </c>
      <c r="B18" s="481">
        <v>650</v>
      </c>
      <c r="C18" s="480" t="s">
        <v>791</v>
      </c>
      <c r="D18" s="480" t="s">
        <v>792</v>
      </c>
      <c r="E18" s="480" t="s">
        <v>220</v>
      </c>
      <c r="F18" s="251">
        <v>1029</v>
      </c>
      <c r="G18" s="251">
        <v>949</v>
      </c>
      <c r="H18" s="251">
        <v>106</v>
      </c>
      <c r="I18" s="482">
        <v>45930</v>
      </c>
      <c r="J18" s="482">
        <v>46294</v>
      </c>
      <c r="K18" s="482">
        <v>45930</v>
      </c>
      <c r="L18" s="482"/>
      <c r="M18" s="251">
        <v>0</v>
      </c>
      <c r="N18" s="251">
        <v>1029</v>
      </c>
    </row>
    <row r="19" spans="1:14" ht="16">
      <c r="A19" s="480" t="s">
        <v>219</v>
      </c>
      <c r="B19" s="481">
        <v>650</v>
      </c>
      <c r="C19" s="480" t="s">
        <v>793</v>
      </c>
      <c r="D19" s="480" t="s">
        <v>794</v>
      </c>
      <c r="E19" s="480" t="s">
        <v>220</v>
      </c>
      <c r="F19" s="251">
        <v>1029</v>
      </c>
      <c r="G19" s="251">
        <v>949</v>
      </c>
      <c r="H19" s="251">
        <v>121.5</v>
      </c>
      <c r="I19" s="482">
        <v>45910</v>
      </c>
      <c r="J19" s="482">
        <v>46274</v>
      </c>
      <c r="K19" s="482">
        <v>45910</v>
      </c>
      <c r="L19" s="482"/>
      <c r="M19" s="251">
        <v>-1070.5</v>
      </c>
      <c r="N19" s="251">
        <v>1029</v>
      </c>
    </row>
    <row r="20" spans="1:14" ht="16">
      <c r="A20" s="480" t="s">
        <v>219</v>
      </c>
      <c r="B20" s="481">
        <v>650</v>
      </c>
      <c r="C20" s="480" t="s">
        <v>795</v>
      </c>
      <c r="D20" s="480" t="s">
        <v>796</v>
      </c>
      <c r="E20" s="480" t="s">
        <v>220</v>
      </c>
      <c r="F20" s="251">
        <v>1029</v>
      </c>
      <c r="G20" s="251">
        <v>949</v>
      </c>
      <c r="H20" s="251">
        <v>121.5</v>
      </c>
      <c r="I20" s="482">
        <v>45912</v>
      </c>
      <c r="J20" s="482">
        <v>46276</v>
      </c>
      <c r="K20" s="482">
        <v>45912</v>
      </c>
      <c r="L20" s="482"/>
      <c r="M20" s="251">
        <v>0</v>
      </c>
      <c r="N20" s="251">
        <v>1029</v>
      </c>
    </row>
    <row r="21" spans="1:14" ht="16">
      <c r="A21" s="480" t="s">
        <v>219</v>
      </c>
      <c r="B21" s="481">
        <v>650</v>
      </c>
      <c r="C21" s="480" t="s">
        <v>797</v>
      </c>
      <c r="D21" s="480" t="s">
        <v>798</v>
      </c>
      <c r="E21" s="480" t="s">
        <v>220</v>
      </c>
      <c r="F21" s="251">
        <v>1029</v>
      </c>
      <c r="G21" s="251">
        <v>950</v>
      </c>
      <c r="H21" s="251">
        <v>124.5</v>
      </c>
      <c r="I21" s="482">
        <v>44901</v>
      </c>
      <c r="J21" s="482">
        <v>46387</v>
      </c>
      <c r="K21" s="482">
        <v>44901</v>
      </c>
      <c r="L21" s="482"/>
      <c r="M21" s="251">
        <v>-549</v>
      </c>
      <c r="N21" s="251">
        <v>1029</v>
      </c>
    </row>
    <row r="22" spans="1:14" ht="16">
      <c r="A22" s="480" t="s">
        <v>219</v>
      </c>
      <c r="B22" s="481">
        <v>650</v>
      </c>
      <c r="C22" s="480" t="s">
        <v>799</v>
      </c>
      <c r="D22" s="480" t="s">
        <v>800</v>
      </c>
      <c r="E22" s="480" t="s">
        <v>220</v>
      </c>
      <c r="F22" s="251">
        <v>1029</v>
      </c>
      <c r="G22" s="251">
        <v>975</v>
      </c>
      <c r="H22" s="251">
        <v>76</v>
      </c>
      <c r="I22" s="482">
        <v>40185</v>
      </c>
      <c r="J22" s="482">
        <v>46067</v>
      </c>
      <c r="K22" s="482">
        <v>40185</v>
      </c>
      <c r="L22" s="482"/>
      <c r="M22" s="251">
        <v>-250</v>
      </c>
      <c r="N22" s="251">
        <v>1029</v>
      </c>
    </row>
    <row r="23" spans="1:14" ht="16">
      <c r="A23" s="480" t="s">
        <v>219</v>
      </c>
      <c r="B23" s="481">
        <v>650</v>
      </c>
      <c r="C23" s="480" t="s">
        <v>801</v>
      </c>
      <c r="D23" s="480" t="s">
        <v>802</v>
      </c>
      <c r="E23" s="480" t="s">
        <v>220</v>
      </c>
      <c r="F23" s="251">
        <v>1029</v>
      </c>
      <c r="G23" s="251">
        <v>975</v>
      </c>
      <c r="H23" s="251">
        <v>123.5</v>
      </c>
      <c r="I23" s="482">
        <v>43615</v>
      </c>
      <c r="J23" s="482">
        <v>46142</v>
      </c>
      <c r="K23" s="482">
        <v>43615</v>
      </c>
      <c r="L23" s="482"/>
      <c r="M23" s="251">
        <v>0</v>
      </c>
      <c r="N23" s="251">
        <v>1029</v>
      </c>
    </row>
    <row r="24" spans="1:14" ht="16">
      <c r="A24" s="480" t="s">
        <v>219</v>
      </c>
      <c r="B24" s="481">
        <v>650</v>
      </c>
      <c r="C24" s="480" t="s">
        <v>803</v>
      </c>
      <c r="D24" s="480" t="s">
        <v>804</v>
      </c>
      <c r="E24" s="480" t="s">
        <v>220</v>
      </c>
      <c r="F24" s="251">
        <v>1029</v>
      </c>
      <c r="G24" s="251">
        <v>980</v>
      </c>
      <c r="H24" s="251">
        <v>124.5</v>
      </c>
      <c r="I24" s="482">
        <v>44883</v>
      </c>
      <c r="J24" s="482">
        <v>46356</v>
      </c>
      <c r="K24" s="482">
        <v>44883</v>
      </c>
      <c r="L24" s="482"/>
      <c r="M24" s="251">
        <v>-1104.5</v>
      </c>
      <c r="N24" s="251">
        <v>1029</v>
      </c>
    </row>
    <row r="25" spans="1:14" ht="16">
      <c r="A25" s="480" t="s">
        <v>219</v>
      </c>
      <c r="B25" s="481">
        <v>650</v>
      </c>
      <c r="C25" s="480" t="s">
        <v>805</v>
      </c>
      <c r="D25" s="480" t="s">
        <v>806</v>
      </c>
      <c r="E25" s="480" t="s">
        <v>220</v>
      </c>
      <c r="F25" s="251">
        <v>1029</v>
      </c>
      <c r="G25" s="251">
        <v>999</v>
      </c>
      <c r="H25" s="251">
        <v>113.5</v>
      </c>
      <c r="I25" s="482">
        <v>45744</v>
      </c>
      <c r="J25" s="482">
        <v>46139</v>
      </c>
      <c r="K25" s="482">
        <v>45744</v>
      </c>
      <c r="L25" s="482"/>
      <c r="M25" s="251">
        <v>0</v>
      </c>
      <c r="N25" s="251">
        <v>1029</v>
      </c>
    </row>
    <row r="26" spans="1:14" ht="16">
      <c r="A26" s="480" t="s">
        <v>219</v>
      </c>
      <c r="B26" s="481">
        <v>650</v>
      </c>
      <c r="C26" s="480" t="s">
        <v>807</v>
      </c>
      <c r="D26" s="480" t="s">
        <v>808</v>
      </c>
      <c r="E26" s="480" t="s">
        <v>220</v>
      </c>
      <c r="F26" s="251">
        <v>1029</v>
      </c>
      <c r="G26" s="251">
        <v>999</v>
      </c>
      <c r="H26" s="251">
        <v>133.5</v>
      </c>
      <c r="I26" s="482">
        <v>45666</v>
      </c>
      <c r="J26" s="482">
        <v>46030</v>
      </c>
      <c r="K26" s="482">
        <v>45666</v>
      </c>
      <c r="L26" s="482"/>
      <c r="M26" s="251">
        <v>-1132.5</v>
      </c>
      <c r="N26" s="251">
        <v>1029</v>
      </c>
    </row>
    <row r="27" spans="1:14" ht="16">
      <c r="A27" s="480" t="s">
        <v>219</v>
      </c>
      <c r="B27" s="481">
        <v>650</v>
      </c>
      <c r="C27" s="480" t="s">
        <v>809</v>
      </c>
      <c r="D27" s="480" t="s">
        <v>810</v>
      </c>
      <c r="E27" s="480" t="s">
        <v>220</v>
      </c>
      <c r="F27" s="251">
        <v>1029</v>
      </c>
      <c r="G27" s="251">
        <v>999</v>
      </c>
      <c r="H27" s="251">
        <v>109</v>
      </c>
      <c r="I27" s="482">
        <v>43511</v>
      </c>
      <c r="J27" s="482">
        <v>46234</v>
      </c>
      <c r="K27" s="482">
        <v>43511</v>
      </c>
      <c r="L27" s="482"/>
      <c r="M27" s="251">
        <v>0</v>
      </c>
      <c r="N27" s="251">
        <v>1029</v>
      </c>
    </row>
    <row r="28" spans="1:14" ht="16">
      <c r="A28" s="480" t="s">
        <v>219</v>
      </c>
      <c r="B28" s="481">
        <v>650</v>
      </c>
      <c r="C28" s="480" t="s">
        <v>811</v>
      </c>
      <c r="D28" s="480" t="s">
        <v>812</v>
      </c>
      <c r="E28" s="480" t="s">
        <v>220</v>
      </c>
      <c r="F28" s="251">
        <v>1029</v>
      </c>
      <c r="G28" s="251">
        <v>999</v>
      </c>
      <c r="H28" s="251">
        <v>129.5</v>
      </c>
      <c r="I28" s="482">
        <v>45061</v>
      </c>
      <c r="J28" s="482">
        <v>46234</v>
      </c>
      <c r="K28" s="482">
        <v>45061</v>
      </c>
      <c r="L28" s="482"/>
      <c r="M28" s="251">
        <v>-1128.5</v>
      </c>
      <c r="N28" s="251">
        <v>1029</v>
      </c>
    </row>
    <row r="29" spans="1:14" ht="16">
      <c r="A29" s="480" t="s">
        <v>219</v>
      </c>
      <c r="B29" s="481">
        <v>650</v>
      </c>
      <c r="C29" s="480" t="s">
        <v>813</v>
      </c>
      <c r="D29" s="480" t="s">
        <v>814</v>
      </c>
      <c r="E29" s="480" t="s">
        <v>220</v>
      </c>
      <c r="F29" s="251">
        <v>1029</v>
      </c>
      <c r="G29" s="251">
        <v>999</v>
      </c>
      <c r="H29" s="251">
        <v>121.5</v>
      </c>
      <c r="I29" s="482">
        <v>45867</v>
      </c>
      <c r="J29" s="482">
        <v>46234</v>
      </c>
      <c r="K29" s="482">
        <v>45867</v>
      </c>
      <c r="L29" s="482"/>
      <c r="M29" s="251">
        <v>0</v>
      </c>
      <c r="N29" s="251">
        <v>1029</v>
      </c>
    </row>
    <row r="30" spans="1:14" ht="16">
      <c r="A30" s="480" t="s">
        <v>219</v>
      </c>
      <c r="B30" s="481">
        <v>650</v>
      </c>
      <c r="C30" s="480" t="s">
        <v>815</v>
      </c>
      <c r="D30" s="480" t="s">
        <v>816</v>
      </c>
      <c r="E30" s="480" t="s">
        <v>220</v>
      </c>
      <c r="F30" s="251">
        <v>1029</v>
      </c>
      <c r="G30" s="251">
        <v>999</v>
      </c>
      <c r="H30" s="251">
        <v>141.5</v>
      </c>
      <c r="I30" s="482">
        <v>45630</v>
      </c>
      <c r="J30" s="482">
        <v>46359</v>
      </c>
      <c r="K30" s="482">
        <v>45630</v>
      </c>
      <c r="L30" s="482"/>
      <c r="M30" s="251">
        <v>-740.5</v>
      </c>
      <c r="N30" s="251">
        <v>1029</v>
      </c>
    </row>
    <row r="31" spans="1:14" ht="16">
      <c r="A31" s="480" t="s">
        <v>223</v>
      </c>
      <c r="B31" s="481">
        <v>800</v>
      </c>
      <c r="C31" s="480" t="s">
        <v>817</v>
      </c>
      <c r="D31" s="480" t="s">
        <v>818</v>
      </c>
      <c r="E31" s="480" t="s">
        <v>220</v>
      </c>
      <c r="F31" s="251">
        <v>1049</v>
      </c>
      <c r="G31" s="251">
        <v>999</v>
      </c>
      <c r="H31" s="251">
        <v>106</v>
      </c>
      <c r="I31" s="482">
        <v>45899</v>
      </c>
      <c r="J31" s="482">
        <v>46263</v>
      </c>
      <c r="K31" s="482">
        <v>45899</v>
      </c>
      <c r="L31" s="482"/>
      <c r="M31" s="251">
        <v>-1105</v>
      </c>
      <c r="N31" s="251">
        <v>1049</v>
      </c>
    </row>
    <row r="32" spans="1:14" ht="16">
      <c r="A32" s="480" t="s">
        <v>219</v>
      </c>
      <c r="B32" s="481">
        <v>650</v>
      </c>
      <c r="C32" s="480" t="s">
        <v>819</v>
      </c>
      <c r="D32" s="480" t="s">
        <v>820</v>
      </c>
      <c r="E32" s="480" t="s">
        <v>821</v>
      </c>
      <c r="F32" s="251">
        <v>1029</v>
      </c>
      <c r="G32" s="251">
        <v>999</v>
      </c>
      <c r="H32" s="251">
        <v>113.5</v>
      </c>
      <c r="I32" s="482">
        <v>45772</v>
      </c>
      <c r="J32" s="482">
        <v>46142</v>
      </c>
      <c r="K32" s="482">
        <v>45772</v>
      </c>
      <c r="L32" s="482">
        <v>46024</v>
      </c>
      <c r="M32" s="251">
        <v>0</v>
      </c>
      <c r="N32" s="251">
        <v>1029</v>
      </c>
    </row>
    <row r="33" spans="1:14" ht="16">
      <c r="A33" s="480" t="s">
        <v>219</v>
      </c>
      <c r="B33" s="481">
        <v>650</v>
      </c>
      <c r="C33" s="480" t="s">
        <v>822</v>
      </c>
      <c r="D33" s="480" t="s">
        <v>823</v>
      </c>
      <c r="E33" s="480" t="s">
        <v>220</v>
      </c>
      <c r="F33" s="251">
        <v>1029</v>
      </c>
      <c r="G33" s="251">
        <v>999</v>
      </c>
      <c r="H33" s="251">
        <v>105.5</v>
      </c>
      <c r="I33" s="482">
        <v>45710</v>
      </c>
      <c r="J33" s="482">
        <v>46074</v>
      </c>
      <c r="K33" s="482">
        <v>45710</v>
      </c>
      <c r="L33" s="482"/>
      <c r="M33" s="251">
        <v>0</v>
      </c>
      <c r="N33" s="251">
        <v>1029</v>
      </c>
    </row>
    <row r="34" spans="1:14" ht="16">
      <c r="A34" s="480" t="s">
        <v>219</v>
      </c>
      <c r="B34" s="481">
        <v>650</v>
      </c>
      <c r="C34" s="480" t="s">
        <v>824</v>
      </c>
      <c r="D34" s="480" t="s">
        <v>825</v>
      </c>
      <c r="E34" s="480" t="s">
        <v>220</v>
      </c>
      <c r="F34" s="251">
        <v>1029</v>
      </c>
      <c r="G34" s="251">
        <v>999</v>
      </c>
      <c r="H34" s="251">
        <v>118</v>
      </c>
      <c r="I34" s="482">
        <v>44228</v>
      </c>
      <c r="J34" s="482">
        <v>46418</v>
      </c>
      <c r="K34" s="482">
        <v>44228</v>
      </c>
      <c r="L34" s="482"/>
      <c r="M34" s="251">
        <v>-1117</v>
      </c>
      <c r="N34" s="251">
        <v>1029</v>
      </c>
    </row>
    <row r="35" spans="1:14" ht="16">
      <c r="A35" s="480" t="s">
        <v>219</v>
      </c>
      <c r="B35" s="481">
        <v>650</v>
      </c>
      <c r="C35" s="480" t="s">
        <v>826</v>
      </c>
      <c r="D35" s="480" t="s">
        <v>827</v>
      </c>
      <c r="E35" s="480" t="s">
        <v>220</v>
      </c>
      <c r="F35" s="251">
        <v>1029</v>
      </c>
      <c r="G35" s="251">
        <v>999</v>
      </c>
      <c r="H35" s="251">
        <v>141.5</v>
      </c>
      <c r="I35" s="482">
        <v>45659</v>
      </c>
      <c r="J35" s="482">
        <v>46388</v>
      </c>
      <c r="K35" s="482">
        <v>45659</v>
      </c>
      <c r="L35" s="482"/>
      <c r="M35" s="251">
        <v>-1140.5</v>
      </c>
      <c r="N35" s="251">
        <v>1029</v>
      </c>
    </row>
    <row r="36" spans="1:14" ht="16">
      <c r="A36" s="480" t="s">
        <v>219</v>
      </c>
      <c r="B36" s="481">
        <v>650</v>
      </c>
      <c r="C36" s="480" t="s">
        <v>828</v>
      </c>
      <c r="D36" s="480" t="s">
        <v>829</v>
      </c>
      <c r="E36" s="480" t="s">
        <v>222</v>
      </c>
      <c r="F36" s="251">
        <v>1029</v>
      </c>
      <c r="G36" s="251">
        <v>999</v>
      </c>
      <c r="H36" s="251">
        <v>111.5</v>
      </c>
      <c r="I36" s="482">
        <v>45582</v>
      </c>
      <c r="J36" s="482">
        <v>46295</v>
      </c>
      <c r="K36" s="482">
        <v>45582</v>
      </c>
      <c r="L36" s="482"/>
      <c r="M36" s="251">
        <v>1721</v>
      </c>
      <c r="N36" s="251">
        <v>1029</v>
      </c>
    </row>
    <row r="37" spans="1:14" ht="16">
      <c r="A37" s="480" t="s">
        <v>219</v>
      </c>
      <c r="B37" s="481">
        <v>650</v>
      </c>
      <c r="C37" s="480" t="s">
        <v>830</v>
      </c>
      <c r="D37" s="480" t="s">
        <v>831</v>
      </c>
      <c r="E37" s="480" t="s">
        <v>220</v>
      </c>
      <c r="F37" s="251">
        <v>1029</v>
      </c>
      <c r="G37" s="251">
        <v>999</v>
      </c>
      <c r="H37" s="251">
        <v>96.5</v>
      </c>
      <c r="I37" s="482"/>
      <c r="J37" s="482">
        <v>46326</v>
      </c>
      <c r="K37" s="482">
        <v>41979</v>
      </c>
      <c r="L37" s="482"/>
      <c r="M37" s="251">
        <v>0</v>
      </c>
      <c r="N37" s="251">
        <v>1029</v>
      </c>
    </row>
    <row r="38" spans="1:14" ht="16">
      <c r="A38" s="480" t="s">
        <v>219</v>
      </c>
      <c r="B38" s="481">
        <v>650</v>
      </c>
      <c r="C38" s="480" t="s">
        <v>832</v>
      </c>
      <c r="D38" s="480" t="s">
        <v>833</v>
      </c>
      <c r="E38" s="480" t="s">
        <v>220</v>
      </c>
      <c r="F38" s="251">
        <v>1029</v>
      </c>
      <c r="G38" s="251">
        <v>999</v>
      </c>
      <c r="H38" s="251">
        <v>113.5</v>
      </c>
      <c r="I38" s="482">
        <v>45778</v>
      </c>
      <c r="J38" s="482">
        <v>46142</v>
      </c>
      <c r="K38" s="482">
        <v>45778</v>
      </c>
      <c r="L38" s="482"/>
      <c r="M38" s="251">
        <v>0</v>
      </c>
      <c r="N38" s="251">
        <v>1029</v>
      </c>
    </row>
    <row r="39" spans="1:14" ht="16">
      <c r="A39" s="480" t="s">
        <v>219</v>
      </c>
      <c r="B39" s="481">
        <v>650</v>
      </c>
      <c r="C39" s="480" t="s">
        <v>834</v>
      </c>
      <c r="D39" s="480" t="s">
        <v>835</v>
      </c>
      <c r="E39" s="480" t="s">
        <v>220</v>
      </c>
      <c r="F39" s="251">
        <v>1029</v>
      </c>
      <c r="G39" s="251">
        <v>999</v>
      </c>
      <c r="H39" s="251">
        <v>113.5</v>
      </c>
      <c r="I39" s="482">
        <v>45383</v>
      </c>
      <c r="J39" s="482">
        <v>46112</v>
      </c>
      <c r="K39" s="482">
        <v>45383</v>
      </c>
      <c r="L39" s="482"/>
      <c r="M39" s="251">
        <v>0</v>
      </c>
      <c r="N39" s="251">
        <v>1029</v>
      </c>
    </row>
    <row r="40" spans="1:14" ht="16">
      <c r="A40" s="480" t="s">
        <v>223</v>
      </c>
      <c r="B40" s="481">
        <v>800</v>
      </c>
      <c r="C40" s="480" t="s">
        <v>836</v>
      </c>
      <c r="D40" s="480" t="s">
        <v>837</v>
      </c>
      <c r="E40" s="480" t="s">
        <v>220</v>
      </c>
      <c r="F40" s="251">
        <v>1049</v>
      </c>
      <c r="G40" s="251">
        <v>999</v>
      </c>
      <c r="H40" s="251"/>
      <c r="I40" s="482">
        <v>45900</v>
      </c>
      <c r="J40" s="482">
        <v>46264</v>
      </c>
      <c r="K40" s="482">
        <v>45900</v>
      </c>
      <c r="L40" s="482"/>
      <c r="M40" s="251">
        <v>0</v>
      </c>
      <c r="N40" s="251">
        <v>1049</v>
      </c>
    </row>
    <row r="41" spans="1:14" ht="16">
      <c r="A41" s="480" t="s">
        <v>223</v>
      </c>
      <c r="B41" s="481">
        <v>800</v>
      </c>
      <c r="C41" s="480" t="s">
        <v>838</v>
      </c>
      <c r="D41" s="480" t="s">
        <v>839</v>
      </c>
      <c r="E41" s="480" t="s">
        <v>222</v>
      </c>
      <c r="F41" s="251">
        <v>1049</v>
      </c>
      <c r="G41" s="251">
        <v>999</v>
      </c>
      <c r="H41" s="251">
        <v>118.5</v>
      </c>
      <c r="I41" s="482">
        <v>45880</v>
      </c>
      <c r="J41" s="482">
        <v>46244</v>
      </c>
      <c r="K41" s="482">
        <v>45880</v>
      </c>
      <c r="L41" s="482"/>
      <c r="M41" s="251">
        <v>2465.9</v>
      </c>
      <c r="N41" s="251">
        <v>1049</v>
      </c>
    </row>
    <row r="42" spans="1:14" ht="16">
      <c r="A42" s="480" t="s">
        <v>223</v>
      </c>
      <c r="B42" s="481">
        <v>800</v>
      </c>
      <c r="C42" s="480" t="s">
        <v>840</v>
      </c>
      <c r="D42" s="480" t="s">
        <v>841</v>
      </c>
      <c r="E42" s="480" t="s">
        <v>220</v>
      </c>
      <c r="F42" s="251">
        <v>1049</v>
      </c>
      <c r="G42" s="251">
        <v>999</v>
      </c>
      <c r="H42" s="251">
        <v>122</v>
      </c>
      <c r="I42" s="482">
        <v>45891</v>
      </c>
      <c r="J42" s="482">
        <v>46265</v>
      </c>
      <c r="K42" s="482">
        <v>45891</v>
      </c>
      <c r="L42" s="482"/>
      <c r="M42" s="251">
        <v>-1121</v>
      </c>
      <c r="N42" s="251">
        <v>1049</v>
      </c>
    </row>
    <row r="43" spans="1:14" ht="16">
      <c r="A43" s="480" t="s">
        <v>223</v>
      </c>
      <c r="B43" s="481">
        <v>800</v>
      </c>
      <c r="C43" s="480" t="s">
        <v>842</v>
      </c>
      <c r="D43" s="480" t="s">
        <v>843</v>
      </c>
      <c r="E43" s="480" t="s">
        <v>220</v>
      </c>
      <c r="F43" s="251">
        <v>1049</v>
      </c>
      <c r="G43" s="251">
        <v>1000</v>
      </c>
      <c r="H43" s="251">
        <v>158.5</v>
      </c>
      <c r="I43" s="482">
        <v>45055</v>
      </c>
      <c r="J43" s="482">
        <v>46142</v>
      </c>
      <c r="K43" s="482">
        <v>45055</v>
      </c>
      <c r="L43" s="482"/>
      <c r="M43" s="251">
        <v>0</v>
      </c>
      <c r="N43" s="251">
        <v>1049</v>
      </c>
    </row>
    <row r="44" spans="1:14" ht="16">
      <c r="A44" s="480" t="s">
        <v>219</v>
      </c>
      <c r="B44" s="481">
        <v>650</v>
      </c>
      <c r="C44" s="480" t="s">
        <v>844</v>
      </c>
      <c r="D44" s="480" t="s">
        <v>845</v>
      </c>
      <c r="E44" s="480" t="s">
        <v>220</v>
      </c>
      <c r="F44" s="251">
        <v>1029</v>
      </c>
      <c r="G44" s="251">
        <v>1025</v>
      </c>
      <c r="H44" s="251">
        <v>111.5</v>
      </c>
      <c r="I44" s="482">
        <v>45618</v>
      </c>
      <c r="J44" s="482">
        <v>46349</v>
      </c>
      <c r="K44" s="482">
        <v>45618</v>
      </c>
      <c r="L44" s="482"/>
      <c r="M44" s="251">
        <v>-598</v>
      </c>
      <c r="N44" s="251">
        <v>1029</v>
      </c>
    </row>
    <row r="45" spans="1:14" ht="16">
      <c r="A45" s="480" t="s">
        <v>219</v>
      </c>
      <c r="B45" s="481">
        <v>650</v>
      </c>
      <c r="C45" s="480" t="s">
        <v>846</v>
      </c>
      <c r="D45" s="480" t="s">
        <v>847</v>
      </c>
      <c r="E45" s="480" t="s">
        <v>220</v>
      </c>
      <c r="F45" s="251">
        <v>1029</v>
      </c>
      <c r="G45" s="251">
        <v>1025</v>
      </c>
      <c r="H45" s="251">
        <v>111.5</v>
      </c>
      <c r="I45" s="482">
        <v>45601</v>
      </c>
      <c r="J45" s="482">
        <v>46326</v>
      </c>
      <c r="K45" s="482">
        <v>45601</v>
      </c>
      <c r="L45" s="482"/>
      <c r="M45" s="251">
        <v>-1136.5</v>
      </c>
      <c r="N45" s="251">
        <v>1029</v>
      </c>
    </row>
    <row r="46" spans="1:14" ht="16">
      <c r="A46" s="480" t="s">
        <v>219</v>
      </c>
      <c r="B46" s="481">
        <v>650</v>
      </c>
      <c r="C46" s="480" t="s">
        <v>848</v>
      </c>
      <c r="D46" s="480" t="s">
        <v>849</v>
      </c>
      <c r="E46" s="480" t="s">
        <v>220</v>
      </c>
      <c r="F46" s="251">
        <v>1029</v>
      </c>
      <c r="G46" s="251">
        <v>1025</v>
      </c>
      <c r="H46" s="251">
        <v>111.5</v>
      </c>
      <c r="I46" s="482">
        <v>45595</v>
      </c>
      <c r="J46" s="482">
        <v>46326</v>
      </c>
      <c r="K46" s="482">
        <v>45595</v>
      </c>
      <c r="L46" s="482"/>
      <c r="M46" s="251">
        <v>0</v>
      </c>
      <c r="N46" s="251">
        <v>1029</v>
      </c>
    </row>
    <row r="47" spans="1:14" ht="16">
      <c r="A47" s="480" t="s">
        <v>216</v>
      </c>
      <c r="B47" s="481">
        <v>850</v>
      </c>
      <c r="C47" s="480" t="s">
        <v>850</v>
      </c>
      <c r="D47" s="480" t="s">
        <v>851</v>
      </c>
      <c r="E47" s="480" t="s">
        <v>220</v>
      </c>
      <c r="F47" s="251">
        <v>1149</v>
      </c>
      <c r="G47" s="251">
        <v>1029</v>
      </c>
      <c r="H47" s="251">
        <v>121.5</v>
      </c>
      <c r="I47" s="482">
        <v>45982</v>
      </c>
      <c r="J47" s="482">
        <v>46339</v>
      </c>
      <c r="K47" s="482">
        <v>45975</v>
      </c>
      <c r="L47" s="482"/>
      <c r="M47" s="251">
        <v>40.5</v>
      </c>
      <c r="N47" s="251">
        <v>1029</v>
      </c>
    </row>
    <row r="48" spans="1:14" ht="16">
      <c r="A48" s="480" t="s">
        <v>223</v>
      </c>
      <c r="B48" s="481">
        <v>800</v>
      </c>
      <c r="C48" s="480" t="s">
        <v>852</v>
      </c>
      <c r="D48" s="480" t="s">
        <v>853</v>
      </c>
      <c r="E48" s="480" t="s">
        <v>220</v>
      </c>
      <c r="F48" s="251">
        <v>1049</v>
      </c>
      <c r="G48" s="251">
        <v>1029</v>
      </c>
      <c r="H48" s="251">
        <v>121.5</v>
      </c>
      <c r="I48" s="482">
        <v>46003</v>
      </c>
      <c r="J48" s="482">
        <v>46367</v>
      </c>
      <c r="K48" s="482">
        <v>46003</v>
      </c>
      <c r="L48" s="482"/>
      <c r="M48" s="251">
        <v>-1150.5</v>
      </c>
      <c r="N48" s="251">
        <v>1049</v>
      </c>
    </row>
    <row r="49" spans="1:14" ht="16">
      <c r="A49" s="480" t="s">
        <v>216</v>
      </c>
      <c r="B49" s="481">
        <v>850</v>
      </c>
      <c r="C49" s="480" t="s">
        <v>854</v>
      </c>
      <c r="D49" s="480" t="s">
        <v>855</v>
      </c>
      <c r="E49" s="480" t="s">
        <v>220</v>
      </c>
      <c r="F49" s="251">
        <v>1149</v>
      </c>
      <c r="G49" s="251">
        <v>1030</v>
      </c>
      <c r="H49" s="251">
        <v>106.5</v>
      </c>
      <c r="I49" s="482">
        <v>42620</v>
      </c>
      <c r="J49" s="482">
        <v>46326</v>
      </c>
      <c r="K49" s="482">
        <v>42620</v>
      </c>
      <c r="L49" s="482"/>
      <c r="M49" s="251">
        <v>-1136.5</v>
      </c>
      <c r="N49" s="251">
        <v>1149</v>
      </c>
    </row>
    <row r="50" spans="1:14" ht="16">
      <c r="A50" s="480" t="s">
        <v>219</v>
      </c>
      <c r="B50" s="481">
        <v>650</v>
      </c>
      <c r="C50" s="480" t="s">
        <v>856</v>
      </c>
      <c r="D50" s="480" t="s">
        <v>857</v>
      </c>
      <c r="E50" s="480" t="s">
        <v>821</v>
      </c>
      <c r="F50" s="251">
        <v>1029</v>
      </c>
      <c r="G50" s="251">
        <v>1040</v>
      </c>
      <c r="H50" s="251">
        <v>133.5</v>
      </c>
      <c r="I50" s="482">
        <v>44968</v>
      </c>
      <c r="J50" s="482"/>
      <c r="K50" s="482">
        <v>44968</v>
      </c>
      <c r="L50" s="482">
        <v>46035</v>
      </c>
      <c r="M50" s="251">
        <v>-1173.5</v>
      </c>
      <c r="N50" s="251">
        <v>1029</v>
      </c>
    </row>
    <row r="51" spans="1:14" ht="16">
      <c r="A51" s="480" t="s">
        <v>219</v>
      </c>
      <c r="B51" s="481">
        <v>650</v>
      </c>
      <c r="C51" s="480" t="s">
        <v>858</v>
      </c>
      <c r="D51" s="480" t="s">
        <v>859</v>
      </c>
      <c r="E51" s="480" t="s">
        <v>821</v>
      </c>
      <c r="F51" s="251">
        <v>1029</v>
      </c>
      <c r="G51" s="251">
        <v>1045</v>
      </c>
      <c r="H51" s="251">
        <v>153</v>
      </c>
      <c r="I51" s="482">
        <v>45313</v>
      </c>
      <c r="J51" s="482">
        <v>46053</v>
      </c>
      <c r="K51" s="482">
        <v>45313</v>
      </c>
      <c r="L51" s="482">
        <v>46053</v>
      </c>
      <c r="M51" s="251">
        <v>-1198</v>
      </c>
      <c r="N51" s="251">
        <v>1029</v>
      </c>
    </row>
    <row r="52" spans="1:14" ht="16">
      <c r="A52" s="480" t="s">
        <v>221</v>
      </c>
      <c r="B52" s="481">
        <v>850</v>
      </c>
      <c r="C52" s="480" t="s">
        <v>860</v>
      </c>
      <c r="D52" s="480" t="s">
        <v>861</v>
      </c>
      <c r="E52" s="480" t="s">
        <v>220</v>
      </c>
      <c r="F52" s="251">
        <v>1199</v>
      </c>
      <c r="G52" s="251">
        <v>1049</v>
      </c>
      <c r="H52" s="251">
        <v>121.5</v>
      </c>
      <c r="I52" s="482">
        <v>45992</v>
      </c>
      <c r="J52" s="482">
        <v>46356</v>
      </c>
      <c r="K52" s="482">
        <v>45992</v>
      </c>
      <c r="L52" s="482"/>
      <c r="M52" s="251">
        <v>-1170.5</v>
      </c>
      <c r="N52" s="251">
        <v>1199</v>
      </c>
    </row>
    <row r="53" spans="1:14" ht="16">
      <c r="A53" s="480" t="s">
        <v>216</v>
      </c>
      <c r="B53" s="481">
        <v>850</v>
      </c>
      <c r="C53" s="480" t="s">
        <v>862</v>
      </c>
      <c r="D53" s="480" t="s">
        <v>863</v>
      </c>
      <c r="E53" s="480" t="s">
        <v>220</v>
      </c>
      <c r="F53" s="251">
        <v>1149</v>
      </c>
      <c r="G53" s="251">
        <v>1049</v>
      </c>
      <c r="H53" s="251">
        <v>121.5</v>
      </c>
      <c r="I53" s="482">
        <v>45947</v>
      </c>
      <c r="J53" s="482">
        <v>46326</v>
      </c>
      <c r="K53" s="482">
        <v>45947</v>
      </c>
      <c r="L53" s="482"/>
      <c r="M53" s="251">
        <v>0</v>
      </c>
      <c r="N53" s="251">
        <v>1149</v>
      </c>
    </row>
    <row r="54" spans="1:14" ht="16">
      <c r="A54" s="480" t="s">
        <v>216</v>
      </c>
      <c r="B54" s="481">
        <v>850</v>
      </c>
      <c r="C54" s="480" t="s">
        <v>864</v>
      </c>
      <c r="D54" s="480" t="s">
        <v>865</v>
      </c>
      <c r="E54" s="480" t="s">
        <v>220</v>
      </c>
      <c r="F54" s="251">
        <v>1149</v>
      </c>
      <c r="G54" s="251">
        <v>1049</v>
      </c>
      <c r="H54" s="251">
        <v>121.5</v>
      </c>
      <c r="I54" s="482">
        <v>45902</v>
      </c>
      <c r="J54" s="482">
        <v>46266</v>
      </c>
      <c r="K54" s="482">
        <v>45902</v>
      </c>
      <c r="L54" s="482"/>
      <c r="M54" s="251">
        <v>0</v>
      </c>
      <c r="N54" s="251">
        <v>1149</v>
      </c>
    </row>
    <row r="55" spans="1:14" ht="16">
      <c r="A55" s="480" t="s">
        <v>223</v>
      </c>
      <c r="B55" s="481">
        <v>800</v>
      </c>
      <c r="C55" s="480" t="s">
        <v>866</v>
      </c>
      <c r="D55" s="480" t="s">
        <v>867</v>
      </c>
      <c r="E55" s="480" t="s">
        <v>220</v>
      </c>
      <c r="F55" s="251">
        <v>1049</v>
      </c>
      <c r="G55" s="251">
        <v>1049</v>
      </c>
      <c r="H55" s="251">
        <v>121.5</v>
      </c>
      <c r="I55" s="482">
        <v>45899</v>
      </c>
      <c r="J55" s="482">
        <v>46263</v>
      </c>
      <c r="K55" s="482">
        <v>45899</v>
      </c>
      <c r="L55" s="482"/>
      <c r="M55" s="251">
        <v>0</v>
      </c>
      <c r="N55" s="251">
        <v>1049</v>
      </c>
    </row>
    <row r="56" spans="1:14" ht="16">
      <c r="A56" s="480" t="s">
        <v>219</v>
      </c>
      <c r="B56" s="481">
        <v>650</v>
      </c>
      <c r="C56" s="480" t="s">
        <v>868</v>
      </c>
      <c r="D56" s="480" t="s">
        <v>869</v>
      </c>
      <c r="E56" s="480" t="s">
        <v>220</v>
      </c>
      <c r="F56" s="251">
        <v>1029</v>
      </c>
      <c r="G56" s="251">
        <v>1049</v>
      </c>
      <c r="H56" s="251">
        <v>133.5</v>
      </c>
      <c r="I56" s="482">
        <v>45065</v>
      </c>
      <c r="J56" s="482">
        <v>45748</v>
      </c>
      <c r="K56" s="482">
        <v>45065</v>
      </c>
      <c r="L56" s="482"/>
      <c r="M56" s="251">
        <v>100</v>
      </c>
      <c r="N56" s="251">
        <v>1029</v>
      </c>
    </row>
    <row r="57" spans="1:14" ht="16">
      <c r="A57" s="480" t="s">
        <v>216</v>
      </c>
      <c r="B57" s="481">
        <v>850</v>
      </c>
      <c r="C57" s="480" t="s">
        <v>870</v>
      </c>
      <c r="D57" s="480" t="s">
        <v>871</v>
      </c>
      <c r="E57" s="480" t="s">
        <v>220</v>
      </c>
      <c r="F57" s="251">
        <v>1149</v>
      </c>
      <c r="G57" s="251">
        <v>1049</v>
      </c>
      <c r="H57" s="251">
        <v>121.5</v>
      </c>
      <c r="I57" s="482">
        <v>45897</v>
      </c>
      <c r="J57" s="482">
        <v>46261</v>
      </c>
      <c r="K57" s="482">
        <v>45897</v>
      </c>
      <c r="L57" s="482"/>
      <c r="M57" s="251">
        <v>121.5</v>
      </c>
      <c r="N57" s="251">
        <v>1149</v>
      </c>
    </row>
    <row r="58" spans="1:14" ht="16">
      <c r="A58" s="480" t="s">
        <v>216</v>
      </c>
      <c r="B58" s="481">
        <v>850</v>
      </c>
      <c r="C58" s="480" t="s">
        <v>872</v>
      </c>
      <c r="D58" s="480" t="s">
        <v>873</v>
      </c>
      <c r="E58" s="480" t="s">
        <v>220</v>
      </c>
      <c r="F58" s="251">
        <v>1149</v>
      </c>
      <c r="G58" s="251">
        <v>1049</v>
      </c>
      <c r="H58" s="251">
        <v>121.5</v>
      </c>
      <c r="I58" s="482">
        <v>45897</v>
      </c>
      <c r="J58" s="482">
        <v>46265</v>
      </c>
      <c r="K58" s="482">
        <v>45897</v>
      </c>
      <c r="L58" s="482"/>
      <c r="M58" s="251">
        <v>-92</v>
      </c>
      <c r="N58" s="251">
        <v>1149</v>
      </c>
    </row>
    <row r="59" spans="1:14" ht="16">
      <c r="A59" s="480" t="s">
        <v>216</v>
      </c>
      <c r="B59" s="481">
        <v>850</v>
      </c>
      <c r="C59" s="480" t="s">
        <v>874</v>
      </c>
      <c r="D59" s="480" t="s">
        <v>875</v>
      </c>
      <c r="E59" s="480" t="s">
        <v>220</v>
      </c>
      <c r="F59" s="251">
        <v>1149</v>
      </c>
      <c r="G59" s="251">
        <v>1049</v>
      </c>
      <c r="H59" s="251">
        <v>106.5</v>
      </c>
      <c r="I59" s="482">
        <v>45931</v>
      </c>
      <c r="J59" s="482">
        <v>46295</v>
      </c>
      <c r="K59" s="482">
        <v>41508</v>
      </c>
      <c r="L59" s="482"/>
      <c r="M59" s="251">
        <v>0</v>
      </c>
      <c r="N59" s="251">
        <v>1149</v>
      </c>
    </row>
    <row r="60" spans="1:14" ht="16">
      <c r="A60" s="480" t="s">
        <v>216</v>
      </c>
      <c r="B60" s="481">
        <v>850</v>
      </c>
      <c r="C60" s="480" t="s">
        <v>876</v>
      </c>
      <c r="D60" s="480" t="s">
        <v>877</v>
      </c>
      <c r="E60" s="480" t="s">
        <v>220</v>
      </c>
      <c r="F60" s="251">
        <v>1149</v>
      </c>
      <c r="G60" s="251">
        <v>1049</v>
      </c>
      <c r="H60" s="251">
        <v>-378.5</v>
      </c>
      <c r="I60" s="482">
        <v>45931</v>
      </c>
      <c r="J60" s="482">
        <v>46295</v>
      </c>
      <c r="K60" s="482">
        <v>45931</v>
      </c>
      <c r="L60" s="482"/>
      <c r="M60" s="251">
        <v>-1170.5</v>
      </c>
      <c r="N60" s="251">
        <v>1149</v>
      </c>
    </row>
    <row r="61" spans="1:14" ht="16">
      <c r="A61" s="480" t="s">
        <v>216</v>
      </c>
      <c r="B61" s="481">
        <v>850</v>
      </c>
      <c r="C61" s="480" t="s">
        <v>878</v>
      </c>
      <c r="D61" s="480" t="s">
        <v>879</v>
      </c>
      <c r="E61" s="480" t="s">
        <v>220</v>
      </c>
      <c r="F61" s="251">
        <v>1149</v>
      </c>
      <c r="G61" s="251">
        <v>1049</v>
      </c>
      <c r="H61" s="251">
        <v>121.5</v>
      </c>
      <c r="I61" s="482">
        <v>45926</v>
      </c>
      <c r="J61" s="482">
        <v>46295</v>
      </c>
      <c r="K61" s="482">
        <v>45926</v>
      </c>
      <c r="L61" s="482"/>
      <c r="M61" s="251">
        <v>0</v>
      </c>
      <c r="N61" s="251">
        <v>1149</v>
      </c>
    </row>
    <row r="62" spans="1:14" ht="16">
      <c r="A62" s="480" t="s">
        <v>216</v>
      </c>
      <c r="B62" s="481">
        <v>850</v>
      </c>
      <c r="C62" s="480" t="s">
        <v>880</v>
      </c>
      <c r="D62" s="480" t="s">
        <v>881</v>
      </c>
      <c r="E62" s="480" t="s">
        <v>220</v>
      </c>
      <c r="F62" s="251">
        <v>1149</v>
      </c>
      <c r="G62" s="251">
        <v>1049</v>
      </c>
      <c r="H62" s="251">
        <v>121.5</v>
      </c>
      <c r="I62" s="482">
        <v>45920</v>
      </c>
      <c r="J62" s="482">
        <v>46295</v>
      </c>
      <c r="K62" s="482">
        <v>45920</v>
      </c>
      <c r="L62" s="482"/>
      <c r="M62" s="251">
        <v>-1170.5</v>
      </c>
      <c r="N62" s="251">
        <v>1149</v>
      </c>
    </row>
    <row r="63" spans="1:14" ht="16">
      <c r="A63" s="480" t="s">
        <v>223</v>
      </c>
      <c r="B63" s="481">
        <v>800</v>
      </c>
      <c r="C63" s="480" t="s">
        <v>882</v>
      </c>
      <c r="D63" s="480" t="s">
        <v>883</v>
      </c>
      <c r="E63" s="480" t="s">
        <v>220</v>
      </c>
      <c r="F63" s="251">
        <v>1049</v>
      </c>
      <c r="G63" s="251">
        <v>1050</v>
      </c>
      <c r="H63" s="251">
        <v>153.5</v>
      </c>
      <c r="I63" s="482">
        <v>45708</v>
      </c>
      <c r="J63" s="482">
        <v>46072</v>
      </c>
      <c r="K63" s="482">
        <v>45708</v>
      </c>
      <c r="L63" s="482"/>
      <c r="M63" s="251">
        <v>0</v>
      </c>
      <c r="N63" s="251">
        <v>1049</v>
      </c>
    </row>
    <row r="64" spans="1:14" ht="16">
      <c r="A64" s="480" t="s">
        <v>223</v>
      </c>
      <c r="B64" s="481">
        <v>800</v>
      </c>
      <c r="C64" s="480" t="s">
        <v>884</v>
      </c>
      <c r="D64" s="480" t="s">
        <v>885</v>
      </c>
      <c r="E64" s="480" t="s">
        <v>222</v>
      </c>
      <c r="F64" s="251">
        <v>1049</v>
      </c>
      <c r="G64" s="251">
        <v>1050</v>
      </c>
      <c r="H64" s="251">
        <v>123.5</v>
      </c>
      <c r="I64" s="482">
        <v>45778</v>
      </c>
      <c r="J64" s="482">
        <v>46142</v>
      </c>
      <c r="K64" s="482">
        <v>45778</v>
      </c>
      <c r="L64" s="482"/>
      <c r="M64" s="251">
        <v>1423.5</v>
      </c>
      <c r="N64" s="251">
        <v>1049</v>
      </c>
    </row>
    <row r="65" spans="1:14" ht="16">
      <c r="A65" s="480" t="s">
        <v>223</v>
      </c>
      <c r="B65" s="481">
        <v>800</v>
      </c>
      <c r="C65" s="480" t="s">
        <v>886</v>
      </c>
      <c r="D65" s="480" t="s">
        <v>887</v>
      </c>
      <c r="E65" s="480" t="s">
        <v>220</v>
      </c>
      <c r="F65" s="251">
        <v>1049</v>
      </c>
      <c r="G65" s="251">
        <v>1050</v>
      </c>
      <c r="H65" s="251">
        <v>123.5</v>
      </c>
      <c r="I65" s="482">
        <v>45839</v>
      </c>
      <c r="J65" s="482">
        <v>46203</v>
      </c>
      <c r="K65" s="482">
        <v>45839</v>
      </c>
      <c r="L65" s="482"/>
      <c r="M65" s="251">
        <v>0</v>
      </c>
      <c r="N65" s="251">
        <v>1049</v>
      </c>
    </row>
    <row r="66" spans="1:14" ht="16">
      <c r="A66" s="480" t="s">
        <v>223</v>
      </c>
      <c r="B66" s="481">
        <v>800</v>
      </c>
      <c r="C66" s="480" t="s">
        <v>888</v>
      </c>
      <c r="D66" s="480" t="s">
        <v>889</v>
      </c>
      <c r="E66" s="480" t="s">
        <v>222</v>
      </c>
      <c r="F66" s="251">
        <v>1049</v>
      </c>
      <c r="G66" s="251">
        <v>1050</v>
      </c>
      <c r="H66" s="251">
        <v>106.5</v>
      </c>
      <c r="I66" s="482">
        <v>42987</v>
      </c>
      <c r="J66" s="482">
        <v>46295</v>
      </c>
      <c r="K66" s="482">
        <v>42987</v>
      </c>
      <c r="L66" s="482"/>
      <c r="M66" s="251">
        <v>2813</v>
      </c>
      <c r="N66" s="251">
        <v>1049</v>
      </c>
    </row>
    <row r="67" spans="1:14" ht="16">
      <c r="A67" s="480" t="s">
        <v>223</v>
      </c>
      <c r="B67" s="481">
        <v>800</v>
      </c>
      <c r="C67" s="480" t="s">
        <v>890</v>
      </c>
      <c r="D67" s="480" t="s">
        <v>891</v>
      </c>
      <c r="E67" s="480" t="s">
        <v>220</v>
      </c>
      <c r="F67" s="251">
        <v>1049</v>
      </c>
      <c r="G67" s="251">
        <v>1050</v>
      </c>
      <c r="H67" s="251">
        <v>121.5</v>
      </c>
      <c r="I67" s="482">
        <v>45536</v>
      </c>
      <c r="J67" s="482">
        <v>46264</v>
      </c>
      <c r="K67" s="482">
        <v>45536</v>
      </c>
      <c r="L67" s="482"/>
      <c r="M67" s="251">
        <v>-1171.5</v>
      </c>
      <c r="N67" s="251">
        <v>1049</v>
      </c>
    </row>
    <row r="68" spans="1:14" ht="16">
      <c r="A68" s="480" t="s">
        <v>223</v>
      </c>
      <c r="B68" s="481">
        <v>800</v>
      </c>
      <c r="C68" s="480" t="s">
        <v>892</v>
      </c>
      <c r="D68" s="480" t="s">
        <v>893</v>
      </c>
      <c r="E68" s="480" t="s">
        <v>220</v>
      </c>
      <c r="F68" s="251">
        <v>1049</v>
      </c>
      <c r="G68" s="251">
        <v>1050</v>
      </c>
      <c r="H68" s="251">
        <v>-158.5</v>
      </c>
      <c r="I68" s="482">
        <v>45383</v>
      </c>
      <c r="J68" s="482">
        <v>46142</v>
      </c>
      <c r="K68" s="482">
        <v>45383</v>
      </c>
      <c r="L68" s="482"/>
      <c r="M68" s="251">
        <v>0</v>
      </c>
      <c r="N68" s="251">
        <v>1049</v>
      </c>
    </row>
    <row r="69" spans="1:14" ht="16">
      <c r="A69" s="480" t="s">
        <v>223</v>
      </c>
      <c r="B69" s="481">
        <v>800</v>
      </c>
      <c r="C69" s="480" t="s">
        <v>894</v>
      </c>
      <c r="D69" s="480" t="s">
        <v>895</v>
      </c>
      <c r="E69" s="480" t="s">
        <v>220</v>
      </c>
      <c r="F69" s="251">
        <v>1049</v>
      </c>
      <c r="G69" s="251">
        <v>1050</v>
      </c>
      <c r="H69" s="251">
        <v>114</v>
      </c>
      <c r="I69" s="482">
        <v>44550</v>
      </c>
      <c r="J69" s="482">
        <v>46387</v>
      </c>
      <c r="K69" s="482">
        <v>44550</v>
      </c>
      <c r="L69" s="482"/>
      <c r="M69" s="251">
        <v>-1164</v>
      </c>
      <c r="N69" s="251">
        <v>1049</v>
      </c>
    </row>
    <row r="70" spans="1:14" ht="16">
      <c r="A70" s="480" t="s">
        <v>223</v>
      </c>
      <c r="B70" s="481">
        <v>800</v>
      </c>
      <c r="C70" s="480" t="s">
        <v>896</v>
      </c>
      <c r="D70" s="480" t="s">
        <v>897</v>
      </c>
      <c r="E70" s="480" t="s">
        <v>220</v>
      </c>
      <c r="F70" s="251">
        <v>1049</v>
      </c>
      <c r="G70" s="251">
        <v>1074</v>
      </c>
      <c r="H70" s="251">
        <v>121.5</v>
      </c>
      <c r="I70" s="482">
        <v>45391</v>
      </c>
      <c r="J70" s="482">
        <v>46112</v>
      </c>
      <c r="K70" s="482">
        <v>45391</v>
      </c>
      <c r="L70" s="482"/>
      <c r="M70" s="251">
        <v>0</v>
      </c>
      <c r="N70" s="251">
        <v>1049</v>
      </c>
    </row>
    <row r="71" spans="1:14" ht="16">
      <c r="A71" s="480" t="s">
        <v>223</v>
      </c>
      <c r="B71" s="481">
        <v>800</v>
      </c>
      <c r="C71" s="480" t="s">
        <v>898</v>
      </c>
      <c r="D71" s="480" t="s">
        <v>899</v>
      </c>
      <c r="E71" s="480" t="s">
        <v>220</v>
      </c>
      <c r="F71" s="251">
        <v>1049</v>
      </c>
      <c r="G71" s="251">
        <v>1075</v>
      </c>
      <c r="H71" s="251">
        <v>149.5</v>
      </c>
      <c r="I71" s="482">
        <v>45124</v>
      </c>
      <c r="J71" s="482">
        <v>46326</v>
      </c>
      <c r="K71" s="482">
        <v>45124</v>
      </c>
      <c r="L71" s="482"/>
      <c r="M71" s="251">
        <v>-1224.5</v>
      </c>
      <c r="N71" s="251">
        <v>1049</v>
      </c>
    </row>
    <row r="72" spans="1:14" ht="16">
      <c r="A72" s="480" t="s">
        <v>216</v>
      </c>
      <c r="B72" s="481">
        <v>850</v>
      </c>
      <c r="C72" s="480" t="s">
        <v>900</v>
      </c>
      <c r="D72" s="480" t="s">
        <v>901</v>
      </c>
      <c r="E72" s="480" t="s">
        <v>220</v>
      </c>
      <c r="F72" s="251">
        <v>1149</v>
      </c>
      <c r="G72" s="251">
        <v>1075</v>
      </c>
      <c r="H72" s="251">
        <v>134.5</v>
      </c>
      <c r="I72" s="482">
        <v>44510</v>
      </c>
      <c r="J72" s="482">
        <v>46356</v>
      </c>
      <c r="K72" s="482">
        <v>44510</v>
      </c>
      <c r="L72" s="482"/>
      <c r="M72" s="251">
        <v>0</v>
      </c>
      <c r="N72" s="251">
        <v>1149</v>
      </c>
    </row>
    <row r="73" spans="1:14" ht="16">
      <c r="A73" s="480" t="s">
        <v>223</v>
      </c>
      <c r="B73" s="481">
        <v>800</v>
      </c>
      <c r="C73" s="480" t="s">
        <v>902</v>
      </c>
      <c r="D73" s="480" t="s">
        <v>903</v>
      </c>
      <c r="E73" s="480" t="s">
        <v>220</v>
      </c>
      <c r="F73" s="251">
        <v>1049</v>
      </c>
      <c r="G73" s="251">
        <v>1075</v>
      </c>
      <c r="H73" s="251">
        <v>158.5</v>
      </c>
      <c r="I73" s="482">
        <v>45064</v>
      </c>
      <c r="J73" s="482">
        <v>46203</v>
      </c>
      <c r="K73" s="482">
        <v>45064</v>
      </c>
      <c r="L73" s="482"/>
      <c r="M73" s="251">
        <v>-1233.5</v>
      </c>
      <c r="N73" s="251">
        <v>1049</v>
      </c>
    </row>
    <row r="74" spans="1:14" ht="16">
      <c r="A74" s="480" t="s">
        <v>221</v>
      </c>
      <c r="B74" s="481">
        <v>850</v>
      </c>
      <c r="C74" s="480" t="s">
        <v>904</v>
      </c>
      <c r="D74" s="480" t="s">
        <v>905</v>
      </c>
      <c r="E74" s="480" t="s">
        <v>220</v>
      </c>
      <c r="F74" s="251">
        <v>1199</v>
      </c>
      <c r="G74" s="251">
        <v>1079</v>
      </c>
      <c r="H74" s="251">
        <v>121.5</v>
      </c>
      <c r="I74" s="482">
        <v>46001</v>
      </c>
      <c r="J74" s="482">
        <v>46365</v>
      </c>
      <c r="K74" s="482">
        <v>46001</v>
      </c>
      <c r="L74" s="482"/>
      <c r="M74" s="251">
        <v>-1200.5</v>
      </c>
      <c r="N74" s="251">
        <v>1049</v>
      </c>
    </row>
    <row r="75" spans="1:14" ht="16">
      <c r="A75" s="480" t="s">
        <v>221</v>
      </c>
      <c r="B75" s="481">
        <v>850</v>
      </c>
      <c r="C75" s="480" t="s">
        <v>906</v>
      </c>
      <c r="D75" s="480" t="s">
        <v>907</v>
      </c>
      <c r="E75" s="480" t="s">
        <v>220</v>
      </c>
      <c r="F75" s="251">
        <v>1199</v>
      </c>
      <c r="G75" s="251">
        <v>1079</v>
      </c>
      <c r="H75" s="251">
        <v>106</v>
      </c>
      <c r="I75" s="482">
        <v>45995</v>
      </c>
      <c r="J75" s="482">
        <v>46359</v>
      </c>
      <c r="K75" s="482">
        <v>45995</v>
      </c>
      <c r="L75" s="482"/>
      <c r="M75" s="251">
        <v>-122.9</v>
      </c>
      <c r="N75" s="251">
        <v>1049</v>
      </c>
    </row>
    <row r="76" spans="1:14" ht="16">
      <c r="A76" s="480" t="s">
        <v>216</v>
      </c>
      <c r="B76" s="481">
        <v>850</v>
      </c>
      <c r="C76" s="480" t="s">
        <v>908</v>
      </c>
      <c r="D76" s="480" t="s">
        <v>909</v>
      </c>
      <c r="E76" s="480" t="s">
        <v>220</v>
      </c>
      <c r="F76" s="251">
        <v>1149</v>
      </c>
      <c r="G76" s="251">
        <v>1085</v>
      </c>
      <c r="H76" s="251">
        <v>91</v>
      </c>
      <c r="I76" s="482">
        <v>42765</v>
      </c>
      <c r="J76" s="482">
        <v>46387</v>
      </c>
      <c r="K76" s="482">
        <v>42765</v>
      </c>
      <c r="L76" s="482"/>
      <c r="M76" s="251">
        <v>0</v>
      </c>
      <c r="N76" s="251">
        <v>1149</v>
      </c>
    </row>
    <row r="77" spans="1:14" ht="16">
      <c r="A77" s="480" t="s">
        <v>216</v>
      </c>
      <c r="B77" s="481">
        <v>850</v>
      </c>
      <c r="C77" s="480" t="s">
        <v>910</v>
      </c>
      <c r="D77" s="480" t="s">
        <v>911</v>
      </c>
      <c r="E77" s="480" t="s">
        <v>220</v>
      </c>
      <c r="F77" s="251">
        <v>1149</v>
      </c>
      <c r="G77" s="251">
        <v>1090</v>
      </c>
      <c r="H77" s="251">
        <v>106.5</v>
      </c>
      <c r="I77" s="482">
        <v>43859</v>
      </c>
      <c r="J77" s="482">
        <v>46326</v>
      </c>
      <c r="K77" s="482">
        <v>43859</v>
      </c>
      <c r="L77" s="482"/>
      <c r="M77" s="251">
        <v>-1196.5</v>
      </c>
      <c r="N77" s="251">
        <v>1149</v>
      </c>
    </row>
    <row r="78" spans="1:14" ht="16">
      <c r="A78" s="480" t="s">
        <v>221</v>
      </c>
      <c r="B78" s="481">
        <v>850</v>
      </c>
      <c r="C78" s="480" t="s">
        <v>912</v>
      </c>
      <c r="D78" s="480" t="s">
        <v>913</v>
      </c>
      <c r="E78" s="480" t="s">
        <v>220</v>
      </c>
      <c r="F78" s="251">
        <v>1199</v>
      </c>
      <c r="G78" s="251">
        <v>1099</v>
      </c>
      <c r="H78" s="251">
        <v>121.5</v>
      </c>
      <c r="I78" s="482">
        <v>45899</v>
      </c>
      <c r="J78" s="482">
        <v>46265</v>
      </c>
      <c r="K78" s="482">
        <v>45899</v>
      </c>
      <c r="L78" s="482"/>
      <c r="M78" s="251">
        <v>0</v>
      </c>
      <c r="N78" s="251">
        <v>1199</v>
      </c>
    </row>
    <row r="79" spans="1:14" ht="16">
      <c r="A79" s="480" t="s">
        <v>216</v>
      </c>
      <c r="B79" s="481">
        <v>850</v>
      </c>
      <c r="C79" s="480" t="s">
        <v>914</v>
      </c>
      <c r="D79" s="480" t="s">
        <v>915</v>
      </c>
      <c r="E79" s="480" t="s">
        <v>220</v>
      </c>
      <c r="F79" s="251">
        <v>1149</v>
      </c>
      <c r="G79" s="251">
        <v>1099</v>
      </c>
      <c r="H79" s="251">
        <v>121.5</v>
      </c>
      <c r="I79" s="482">
        <v>45943</v>
      </c>
      <c r="J79" s="482">
        <v>46326</v>
      </c>
      <c r="K79" s="482">
        <v>45943</v>
      </c>
      <c r="L79" s="482"/>
      <c r="M79" s="251">
        <v>0</v>
      </c>
      <c r="N79" s="251">
        <v>1149</v>
      </c>
    </row>
    <row r="80" spans="1:14" ht="16">
      <c r="A80" s="480" t="s">
        <v>221</v>
      </c>
      <c r="B80" s="481">
        <v>850</v>
      </c>
      <c r="C80" s="480" t="s">
        <v>916</v>
      </c>
      <c r="D80" s="480" t="s">
        <v>917</v>
      </c>
      <c r="E80" s="480" t="s">
        <v>220</v>
      </c>
      <c r="F80" s="251">
        <v>1199</v>
      </c>
      <c r="G80" s="251">
        <v>1099</v>
      </c>
      <c r="H80" s="251">
        <v>121.5</v>
      </c>
      <c r="I80" s="482">
        <v>45898</v>
      </c>
      <c r="J80" s="482">
        <v>46262</v>
      </c>
      <c r="K80" s="482">
        <v>45898</v>
      </c>
      <c r="L80" s="482"/>
      <c r="M80" s="251">
        <v>0</v>
      </c>
      <c r="N80" s="251">
        <v>1199</v>
      </c>
    </row>
    <row r="81" spans="1:14" ht="16">
      <c r="A81" s="480" t="s">
        <v>216</v>
      </c>
      <c r="B81" s="481">
        <v>850</v>
      </c>
      <c r="C81" s="480" t="s">
        <v>918</v>
      </c>
      <c r="D81" s="480" t="s">
        <v>919</v>
      </c>
      <c r="E81" s="480" t="s">
        <v>220</v>
      </c>
      <c r="F81" s="251">
        <v>1149</v>
      </c>
      <c r="G81" s="251">
        <v>1099</v>
      </c>
      <c r="H81" s="251">
        <v>121.5</v>
      </c>
      <c r="I81" s="482">
        <v>45938</v>
      </c>
      <c r="J81" s="482">
        <v>46326</v>
      </c>
      <c r="K81" s="482">
        <v>45938</v>
      </c>
      <c r="L81" s="482"/>
      <c r="M81" s="251">
        <v>-1220.5</v>
      </c>
      <c r="N81" s="251">
        <v>1149</v>
      </c>
    </row>
    <row r="82" spans="1:14" ht="16">
      <c r="A82" s="480" t="s">
        <v>221</v>
      </c>
      <c r="B82" s="481">
        <v>850</v>
      </c>
      <c r="C82" s="480" t="s">
        <v>920</v>
      </c>
      <c r="D82" s="480" t="s">
        <v>921</v>
      </c>
      <c r="E82" s="480" t="s">
        <v>220</v>
      </c>
      <c r="F82" s="251">
        <v>1199</v>
      </c>
      <c r="G82" s="251">
        <v>1099</v>
      </c>
      <c r="H82" s="251">
        <v>121.5</v>
      </c>
      <c r="I82" s="482">
        <v>45898</v>
      </c>
      <c r="J82" s="482">
        <v>46263</v>
      </c>
      <c r="K82" s="482">
        <v>45898</v>
      </c>
      <c r="L82" s="482"/>
      <c r="M82" s="251">
        <v>0</v>
      </c>
      <c r="N82" s="251">
        <v>1199</v>
      </c>
    </row>
    <row r="83" spans="1:14" ht="16">
      <c r="A83" s="480" t="s">
        <v>221</v>
      </c>
      <c r="B83" s="481">
        <v>850</v>
      </c>
      <c r="C83" s="480" t="s">
        <v>922</v>
      </c>
      <c r="D83" s="480" t="s">
        <v>923</v>
      </c>
      <c r="E83" s="480" t="s">
        <v>220</v>
      </c>
      <c r="F83" s="251">
        <v>1199</v>
      </c>
      <c r="G83" s="251">
        <v>1099</v>
      </c>
      <c r="H83" s="251">
        <v>121.5</v>
      </c>
      <c r="I83" s="482">
        <v>45889</v>
      </c>
      <c r="J83" s="482">
        <v>46255</v>
      </c>
      <c r="K83" s="482">
        <v>45889</v>
      </c>
      <c r="L83" s="482"/>
      <c r="M83" s="251">
        <v>-1220</v>
      </c>
      <c r="N83" s="251">
        <v>1199</v>
      </c>
    </row>
    <row r="84" spans="1:14" ht="16">
      <c r="A84" s="480" t="s">
        <v>221</v>
      </c>
      <c r="B84" s="481">
        <v>850</v>
      </c>
      <c r="C84" s="480" t="s">
        <v>924</v>
      </c>
      <c r="D84" s="480" t="s">
        <v>925</v>
      </c>
      <c r="E84" s="480" t="s">
        <v>220</v>
      </c>
      <c r="F84" s="251">
        <v>1199</v>
      </c>
      <c r="G84" s="251">
        <v>1099</v>
      </c>
      <c r="H84" s="251">
        <v>121.5</v>
      </c>
      <c r="I84" s="482">
        <v>45920</v>
      </c>
      <c r="J84" s="482">
        <v>46295</v>
      </c>
      <c r="K84" s="482">
        <v>45920</v>
      </c>
      <c r="L84" s="482"/>
      <c r="M84" s="251">
        <v>0</v>
      </c>
      <c r="N84" s="251">
        <v>1199</v>
      </c>
    </row>
    <row r="85" spans="1:14" ht="16">
      <c r="A85" s="480" t="s">
        <v>223</v>
      </c>
      <c r="B85" s="481">
        <v>800</v>
      </c>
      <c r="C85" s="480" t="s">
        <v>926</v>
      </c>
      <c r="D85" s="480" t="s">
        <v>927</v>
      </c>
      <c r="E85" s="480" t="s">
        <v>220</v>
      </c>
      <c r="F85" s="251">
        <v>1049</v>
      </c>
      <c r="G85" s="251">
        <v>1099</v>
      </c>
      <c r="H85" s="251">
        <v>124</v>
      </c>
      <c r="I85" s="482">
        <v>45516</v>
      </c>
      <c r="J85" s="482">
        <v>46245</v>
      </c>
      <c r="K85" s="482">
        <v>45516</v>
      </c>
      <c r="L85" s="482"/>
      <c r="M85" s="251">
        <v>0</v>
      </c>
      <c r="N85" s="251">
        <v>1049</v>
      </c>
    </row>
    <row r="86" spans="1:14" ht="16">
      <c r="A86" s="480" t="s">
        <v>221</v>
      </c>
      <c r="B86" s="481">
        <v>850</v>
      </c>
      <c r="C86" s="480" t="s">
        <v>928</v>
      </c>
      <c r="D86" s="480" t="s">
        <v>929</v>
      </c>
      <c r="E86" s="480" t="s">
        <v>220</v>
      </c>
      <c r="F86" s="251">
        <v>1199</v>
      </c>
      <c r="G86" s="251">
        <v>1099</v>
      </c>
      <c r="H86" s="251">
        <v>121.5</v>
      </c>
      <c r="I86" s="482">
        <v>45891</v>
      </c>
      <c r="J86" s="482">
        <v>46265</v>
      </c>
      <c r="K86" s="482">
        <v>45891</v>
      </c>
      <c r="L86" s="482"/>
      <c r="M86" s="251">
        <v>-1220.5</v>
      </c>
      <c r="N86" s="251">
        <v>1199</v>
      </c>
    </row>
    <row r="87" spans="1:14" ht="16">
      <c r="A87" s="480" t="s">
        <v>221</v>
      </c>
      <c r="B87" s="481">
        <v>850</v>
      </c>
      <c r="C87" s="480" t="s">
        <v>930</v>
      </c>
      <c r="D87" s="480" t="s">
        <v>931</v>
      </c>
      <c r="E87" s="480" t="s">
        <v>220</v>
      </c>
      <c r="F87" s="251">
        <v>1199</v>
      </c>
      <c r="G87" s="251">
        <v>1099</v>
      </c>
      <c r="H87" s="251">
        <v>121.5</v>
      </c>
      <c r="I87" s="482">
        <v>45897</v>
      </c>
      <c r="J87" s="482">
        <v>46261</v>
      </c>
      <c r="K87" s="482">
        <v>45897</v>
      </c>
      <c r="L87" s="482"/>
      <c r="M87" s="251">
        <v>0</v>
      </c>
      <c r="N87" s="251">
        <v>1199</v>
      </c>
    </row>
    <row r="88" spans="1:14" ht="16">
      <c r="A88" s="480" t="s">
        <v>221</v>
      </c>
      <c r="B88" s="481">
        <v>850</v>
      </c>
      <c r="C88" s="480" t="s">
        <v>932</v>
      </c>
      <c r="D88" s="480" t="s">
        <v>933</v>
      </c>
      <c r="E88" s="480" t="s">
        <v>778</v>
      </c>
      <c r="F88" s="251">
        <v>1199</v>
      </c>
      <c r="G88" s="251">
        <v>1099</v>
      </c>
      <c r="H88" s="251">
        <v>121.5</v>
      </c>
      <c r="I88" s="482">
        <v>45899</v>
      </c>
      <c r="J88" s="482">
        <v>46265</v>
      </c>
      <c r="K88" s="482">
        <v>45899</v>
      </c>
      <c r="L88" s="482">
        <v>46044</v>
      </c>
      <c r="M88" s="251">
        <v>3110.14</v>
      </c>
      <c r="N88" s="251">
        <v>1199</v>
      </c>
    </row>
    <row r="89" spans="1:14" ht="16">
      <c r="A89" s="480" t="s">
        <v>221</v>
      </c>
      <c r="B89" s="481">
        <v>850</v>
      </c>
      <c r="C89" s="480" t="s">
        <v>934</v>
      </c>
      <c r="D89" s="480" t="s">
        <v>935</v>
      </c>
      <c r="E89" s="480" t="s">
        <v>220</v>
      </c>
      <c r="F89" s="251">
        <v>1199</v>
      </c>
      <c r="G89" s="251">
        <v>1099</v>
      </c>
      <c r="H89" s="251">
        <v>121.5</v>
      </c>
      <c r="I89" s="482">
        <v>45898</v>
      </c>
      <c r="J89" s="482">
        <v>46262</v>
      </c>
      <c r="K89" s="482">
        <v>45898</v>
      </c>
      <c r="L89" s="482"/>
      <c r="M89" s="251">
        <v>-1220.5</v>
      </c>
      <c r="N89" s="251">
        <v>1199</v>
      </c>
    </row>
    <row r="90" spans="1:14" ht="16">
      <c r="A90" s="480" t="s">
        <v>221</v>
      </c>
      <c r="B90" s="481">
        <v>850</v>
      </c>
      <c r="C90" s="480" t="s">
        <v>936</v>
      </c>
      <c r="D90" s="480" t="s">
        <v>937</v>
      </c>
      <c r="E90" s="480" t="s">
        <v>220</v>
      </c>
      <c r="F90" s="251">
        <v>1199</v>
      </c>
      <c r="G90" s="251">
        <v>1099</v>
      </c>
      <c r="H90" s="251">
        <v>121.5</v>
      </c>
      <c r="I90" s="482">
        <v>45910</v>
      </c>
      <c r="J90" s="482">
        <v>46295</v>
      </c>
      <c r="K90" s="482">
        <v>45919</v>
      </c>
      <c r="L90" s="482"/>
      <c r="M90" s="251">
        <v>0</v>
      </c>
      <c r="N90" s="251">
        <v>1199</v>
      </c>
    </row>
    <row r="91" spans="1:14" ht="16">
      <c r="A91" s="480" t="s">
        <v>216</v>
      </c>
      <c r="B91" s="481">
        <v>850</v>
      </c>
      <c r="C91" s="480" t="s">
        <v>938</v>
      </c>
      <c r="D91" s="480" t="s">
        <v>939</v>
      </c>
      <c r="E91" s="480" t="s">
        <v>220</v>
      </c>
      <c r="F91" s="251">
        <v>1149</v>
      </c>
      <c r="G91" s="251">
        <v>1100</v>
      </c>
      <c r="H91" s="251">
        <v>130.5</v>
      </c>
      <c r="I91" s="482">
        <v>45748</v>
      </c>
      <c r="J91" s="482">
        <v>46102</v>
      </c>
      <c r="K91" s="482">
        <v>45383</v>
      </c>
      <c r="L91" s="482"/>
      <c r="M91" s="251">
        <v>-1230.5</v>
      </c>
      <c r="N91" s="251">
        <v>1149</v>
      </c>
    </row>
    <row r="92" spans="1:14" ht="16">
      <c r="A92" s="480" t="s">
        <v>216</v>
      </c>
      <c r="B92" s="481">
        <v>850</v>
      </c>
      <c r="C92" s="480" t="s">
        <v>940</v>
      </c>
      <c r="D92" s="480" t="s">
        <v>941</v>
      </c>
      <c r="E92" s="480" t="s">
        <v>220</v>
      </c>
      <c r="F92" s="251">
        <v>1149</v>
      </c>
      <c r="G92" s="251">
        <v>1100</v>
      </c>
      <c r="H92" s="251">
        <v>119</v>
      </c>
      <c r="I92" s="482">
        <v>45272</v>
      </c>
      <c r="J92" s="482">
        <v>46022</v>
      </c>
      <c r="K92" s="482">
        <v>45272</v>
      </c>
      <c r="L92" s="482"/>
      <c r="M92" s="251">
        <v>0</v>
      </c>
      <c r="N92" s="251">
        <v>1149</v>
      </c>
    </row>
    <row r="93" spans="1:14" ht="16">
      <c r="A93" s="480" t="s">
        <v>219</v>
      </c>
      <c r="B93" s="481">
        <v>650</v>
      </c>
      <c r="C93" s="480" t="s">
        <v>942</v>
      </c>
      <c r="D93" s="480" t="s">
        <v>943</v>
      </c>
      <c r="E93" s="480" t="s">
        <v>220</v>
      </c>
      <c r="F93" s="251">
        <v>1029</v>
      </c>
      <c r="G93" s="251">
        <v>1101</v>
      </c>
      <c r="H93" s="251">
        <v>91</v>
      </c>
      <c r="I93" s="482">
        <v>43686</v>
      </c>
      <c r="J93" s="482">
        <v>46265</v>
      </c>
      <c r="K93" s="482">
        <v>43686</v>
      </c>
      <c r="L93" s="482"/>
      <c r="M93" s="251">
        <v>0</v>
      </c>
      <c r="N93" s="251">
        <v>1029</v>
      </c>
    </row>
    <row r="94" spans="1:14" ht="16">
      <c r="A94" s="480" t="s">
        <v>219</v>
      </c>
      <c r="B94" s="481">
        <v>650</v>
      </c>
      <c r="C94" s="480" t="s">
        <v>944</v>
      </c>
      <c r="D94" s="480" t="s">
        <v>945</v>
      </c>
      <c r="E94" s="480" t="s">
        <v>220</v>
      </c>
      <c r="F94" s="251">
        <v>1029</v>
      </c>
      <c r="G94" s="251">
        <v>1108</v>
      </c>
      <c r="H94" s="251">
        <v>-1</v>
      </c>
      <c r="I94" s="482">
        <v>45809</v>
      </c>
      <c r="J94" s="482">
        <v>46173</v>
      </c>
      <c r="K94" s="482">
        <v>45809</v>
      </c>
      <c r="L94" s="482"/>
      <c r="M94" s="251">
        <v>0</v>
      </c>
      <c r="N94" s="251">
        <v>1029</v>
      </c>
    </row>
    <row r="95" spans="1:14" ht="16">
      <c r="A95" s="480" t="s">
        <v>216</v>
      </c>
      <c r="B95" s="481">
        <v>850</v>
      </c>
      <c r="C95" s="480" t="s">
        <v>946</v>
      </c>
      <c r="D95" s="480" t="s">
        <v>947</v>
      </c>
      <c r="E95" s="480" t="s">
        <v>220</v>
      </c>
      <c r="F95" s="251">
        <v>1149</v>
      </c>
      <c r="G95" s="251">
        <v>1128</v>
      </c>
      <c r="H95" s="251">
        <v>98.5</v>
      </c>
      <c r="I95" s="482">
        <v>40634</v>
      </c>
      <c r="J95" s="482">
        <v>46409</v>
      </c>
      <c r="K95" s="482">
        <v>40634</v>
      </c>
      <c r="L95" s="482"/>
      <c r="M95" s="251">
        <v>0</v>
      </c>
      <c r="N95" s="251">
        <v>1149</v>
      </c>
    </row>
    <row r="96" spans="1:14" ht="16">
      <c r="A96" s="480" t="s">
        <v>216</v>
      </c>
      <c r="B96" s="481">
        <v>850</v>
      </c>
      <c r="C96" s="480" t="s">
        <v>948</v>
      </c>
      <c r="D96" s="480" t="s">
        <v>949</v>
      </c>
      <c r="E96" s="480" t="s">
        <v>220</v>
      </c>
      <c r="F96" s="251">
        <v>1149</v>
      </c>
      <c r="G96" s="251">
        <v>1130</v>
      </c>
      <c r="H96" s="251">
        <v>139.5</v>
      </c>
      <c r="I96" s="482">
        <v>45931</v>
      </c>
      <c r="J96" s="482">
        <v>46295</v>
      </c>
      <c r="K96" s="482">
        <v>45110</v>
      </c>
      <c r="L96" s="482"/>
      <c r="M96" s="251">
        <v>0</v>
      </c>
      <c r="N96" s="251">
        <v>1149</v>
      </c>
    </row>
    <row r="97" spans="1:14" ht="16">
      <c r="A97" s="480" t="s">
        <v>221</v>
      </c>
      <c r="B97" s="481">
        <v>850</v>
      </c>
      <c r="C97" s="480" t="s">
        <v>950</v>
      </c>
      <c r="D97" s="480" t="s">
        <v>951</v>
      </c>
      <c r="E97" s="480" t="s">
        <v>222</v>
      </c>
      <c r="F97" s="251">
        <v>1199</v>
      </c>
      <c r="G97" s="251">
        <v>1149</v>
      </c>
      <c r="H97" s="251">
        <v>121.5</v>
      </c>
      <c r="I97" s="482">
        <v>45930</v>
      </c>
      <c r="J97" s="482">
        <v>46295</v>
      </c>
      <c r="K97" s="482">
        <v>45930</v>
      </c>
      <c r="L97" s="482"/>
      <c r="M97" s="251">
        <v>1270.5</v>
      </c>
      <c r="N97" s="251">
        <v>1199</v>
      </c>
    </row>
    <row r="98" spans="1:14" ht="16">
      <c r="A98" s="480" t="s">
        <v>221</v>
      </c>
      <c r="B98" s="481">
        <v>850</v>
      </c>
      <c r="C98" s="480" t="s">
        <v>952</v>
      </c>
      <c r="D98" s="480" t="s">
        <v>953</v>
      </c>
      <c r="E98" s="480" t="s">
        <v>220</v>
      </c>
      <c r="F98" s="251">
        <v>1199</v>
      </c>
      <c r="G98" s="251">
        <v>1149</v>
      </c>
      <c r="H98" s="251">
        <v>121.5</v>
      </c>
      <c r="I98" s="482">
        <v>45941</v>
      </c>
      <c r="J98" s="482">
        <v>46305</v>
      </c>
      <c r="K98" s="482">
        <v>45941</v>
      </c>
      <c r="L98" s="482"/>
      <c r="M98" s="251">
        <v>-10.050000000000001</v>
      </c>
      <c r="N98" s="251">
        <v>1199</v>
      </c>
    </row>
    <row r="99" spans="1:14" ht="16">
      <c r="A99" s="480" t="s">
        <v>216</v>
      </c>
      <c r="B99" s="481">
        <v>850</v>
      </c>
      <c r="C99" s="480" t="s">
        <v>954</v>
      </c>
      <c r="D99" s="480" t="s">
        <v>955</v>
      </c>
      <c r="E99" s="480" t="s">
        <v>220</v>
      </c>
      <c r="F99" s="251">
        <v>1149</v>
      </c>
      <c r="G99" s="251">
        <v>1150</v>
      </c>
      <c r="H99" s="251">
        <v>134.5</v>
      </c>
      <c r="I99" s="482">
        <v>45164</v>
      </c>
      <c r="J99" s="482">
        <v>46259</v>
      </c>
      <c r="K99" s="482">
        <v>45164</v>
      </c>
      <c r="L99" s="482"/>
      <c r="M99" s="251">
        <v>-1284.5</v>
      </c>
      <c r="N99" s="251">
        <v>1149</v>
      </c>
    </row>
    <row r="100" spans="1:14" ht="16">
      <c r="A100" s="480" t="s">
        <v>216</v>
      </c>
      <c r="B100" s="481">
        <v>850</v>
      </c>
      <c r="C100" s="480" t="s">
        <v>956</v>
      </c>
      <c r="D100" s="480" t="s">
        <v>957</v>
      </c>
      <c r="E100" s="480" t="s">
        <v>220</v>
      </c>
      <c r="F100" s="251">
        <v>1149</v>
      </c>
      <c r="G100" s="251">
        <v>1150</v>
      </c>
      <c r="H100" s="251">
        <v>179.5</v>
      </c>
      <c r="I100" s="482">
        <v>45113</v>
      </c>
      <c r="J100" s="482">
        <v>45869</v>
      </c>
      <c r="K100" s="482">
        <v>45113</v>
      </c>
      <c r="L100" s="482"/>
      <c r="M100" s="251">
        <v>-1329.5</v>
      </c>
      <c r="N100" s="251">
        <v>1149</v>
      </c>
    </row>
    <row r="101" spans="1:14" ht="16">
      <c r="A101" s="480" t="s">
        <v>216</v>
      </c>
      <c r="B101" s="481">
        <v>850</v>
      </c>
      <c r="C101" s="480" t="s">
        <v>958</v>
      </c>
      <c r="D101" s="480" t="s">
        <v>959</v>
      </c>
      <c r="E101" s="480" t="s">
        <v>220</v>
      </c>
      <c r="F101" s="251">
        <v>1149</v>
      </c>
      <c r="G101" s="251">
        <v>1150</v>
      </c>
      <c r="H101" s="251">
        <v>134.5</v>
      </c>
      <c r="I101" s="482">
        <v>45243</v>
      </c>
      <c r="J101" s="482">
        <v>46356</v>
      </c>
      <c r="K101" s="482">
        <v>45243</v>
      </c>
      <c r="L101" s="482"/>
      <c r="M101" s="251">
        <v>0</v>
      </c>
      <c r="N101" s="251">
        <v>1149</v>
      </c>
    </row>
    <row r="102" spans="1:14" ht="16">
      <c r="A102" s="480" t="s">
        <v>223</v>
      </c>
      <c r="B102" s="481">
        <v>800</v>
      </c>
      <c r="C102" s="480" t="s">
        <v>960</v>
      </c>
      <c r="D102" s="480" t="s">
        <v>961</v>
      </c>
      <c r="E102" s="480" t="s">
        <v>220</v>
      </c>
      <c r="F102" s="251">
        <v>1049</v>
      </c>
      <c r="G102" s="251">
        <v>1150</v>
      </c>
      <c r="H102" s="251">
        <v>149.5</v>
      </c>
      <c r="I102" s="482">
        <v>45288</v>
      </c>
      <c r="J102" s="482">
        <v>46383</v>
      </c>
      <c r="K102" s="482">
        <v>45288</v>
      </c>
      <c r="L102" s="482"/>
      <c r="M102" s="251">
        <v>-50.5</v>
      </c>
      <c r="N102" s="251">
        <v>1049</v>
      </c>
    </row>
    <row r="103" spans="1:14" ht="16">
      <c r="A103" s="480" t="s">
        <v>216</v>
      </c>
      <c r="B103" s="481">
        <v>850</v>
      </c>
      <c r="C103" s="480" t="s">
        <v>962</v>
      </c>
      <c r="D103" s="480" t="s">
        <v>963</v>
      </c>
      <c r="E103" s="480" t="s">
        <v>821</v>
      </c>
      <c r="F103" s="251">
        <v>1149</v>
      </c>
      <c r="G103" s="251">
        <v>1157</v>
      </c>
      <c r="H103" s="251">
        <v>142.5</v>
      </c>
      <c r="I103" s="482">
        <v>44938</v>
      </c>
      <c r="J103" s="482">
        <v>46033</v>
      </c>
      <c r="K103" s="482">
        <v>44938</v>
      </c>
      <c r="L103" s="482">
        <v>46033</v>
      </c>
      <c r="M103" s="251">
        <v>0</v>
      </c>
      <c r="N103" s="251">
        <v>1149</v>
      </c>
    </row>
    <row r="104" spans="1:14" ht="16">
      <c r="A104" s="480" t="s">
        <v>216</v>
      </c>
      <c r="B104" s="481">
        <v>850</v>
      </c>
      <c r="C104" s="480" t="s">
        <v>964</v>
      </c>
      <c r="D104" s="480" t="s">
        <v>965</v>
      </c>
      <c r="E104" s="480" t="s">
        <v>222</v>
      </c>
      <c r="F104" s="251">
        <v>1149</v>
      </c>
      <c r="G104" s="251">
        <v>1175</v>
      </c>
      <c r="H104" s="251">
        <v>134.5</v>
      </c>
      <c r="I104" s="482">
        <v>45084</v>
      </c>
      <c r="J104" s="482">
        <v>46234</v>
      </c>
      <c r="K104" s="482">
        <v>45084</v>
      </c>
      <c r="L104" s="482"/>
      <c r="M104" s="251">
        <v>4678.5</v>
      </c>
      <c r="N104" s="251">
        <v>1149</v>
      </c>
    </row>
    <row r="105" spans="1:14" ht="16">
      <c r="A105" s="480" t="s">
        <v>216</v>
      </c>
      <c r="B105" s="481">
        <v>850</v>
      </c>
      <c r="C105" s="480" t="s">
        <v>966</v>
      </c>
      <c r="D105" s="480" t="s">
        <v>967</v>
      </c>
      <c r="E105" s="480" t="s">
        <v>220</v>
      </c>
      <c r="F105" s="251">
        <v>1149</v>
      </c>
      <c r="G105" s="251">
        <v>1199</v>
      </c>
      <c r="H105" s="251">
        <v>151.5</v>
      </c>
      <c r="I105" s="482">
        <v>45017</v>
      </c>
      <c r="J105" s="482">
        <v>45747</v>
      </c>
      <c r="K105" s="482">
        <v>45017</v>
      </c>
      <c r="L105" s="482"/>
      <c r="M105" s="251">
        <v>0</v>
      </c>
      <c r="N105" s="251">
        <v>1149</v>
      </c>
    </row>
    <row r="106" spans="1:14" ht="16">
      <c r="A106" s="480" t="s">
        <v>223</v>
      </c>
      <c r="B106" s="481">
        <v>800</v>
      </c>
      <c r="C106" s="480" t="s">
        <v>968</v>
      </c>
      <c r="D106" s="480" t="s">
        <v>969</v>
      </c>
      <c r="E106" s="480" t="s">
        <v>220</v>
      </c>
      <c r="F106" s="251">
        <v>1049</v>
      </c>
      <c r="G106" s="251">
        <v>1199</v>
      </c>
      <c r="H106" s="251">
        <v>131.5</v>
      </c>
      <c r="I106" s="482">
        <v>45562</v>
      </c>
      <c r="J106" s="482">
        <v>46295</v>
      </c>
      <c r="K106" s="482">
        <v>45562</v>
      </c>
      <c r="L106" s="482"/>
      <c r="M106" s="251">
        <v>0</v>
      </c>
      <c r="N106" s="251">
        <v>1049</v>
      </c>
    </row>
    <row r="107" spans="1:14" ht="16">
      <c r="A107" s="480" t="s">
        <v>216</v>
      </c>
      <c r="B107" s="481">
        <v>850</v>
      </c>
      <c r="C107" s="480" t="s">
        <v>970</v>
      </c>
      <c r="D107" s="480" t="s">
        <v>971</v>
      </c>
      <c r="E107" s="480" t="s">
        <v>220</v>
      </c>
      <c r="F107" s="251">
        <v>1149</v>
      </c>
      <c r="G107" s="251">
        <v>1199</v>
      </c>
      <c r="H107" s="251">
        <v>142.5</v>
      </c>
      <c r="I107" s="482">
        <v>42749</v>
      </c>
      <c r="J107" s="482">
        <v>46297</v>
      </c>
      <c r="K107" s="482">
        <v>42749</v>
      </c>
      <c r="L107" s="482"/>
      <c r="M107" s="251">
        <v>0</v>
      </c>
      <c r="N107" s="251">
        <v>1149</v>
      </c>
    </row>
    <row r="108" spans="1:14" ht="16">
      <c r="A108" s="480" t="s">
        <v>768</v>
      </c>
      <c r="B108" s="481">
        <v>1150</v>
      </c>
      <c r="C108" s="480" t="s">
        <v>972</v>
      </c>
      <c r="D108" s="480" t="s">
        <v>973</v>
      </c>
      <c r="E108" s="480" t="s">
        <v>220</v>
      </c>
      <c r="F108" s="251">
        <v>1399</v>
      </c>
      <c r="G108" s="251">
        <v>1199</v>
      </c>
      <c r="H108" s="251">
        <v>121.5</v>
      </c>
      <c r="I108" s="482">
        <v>45971</v>
      </c>
      <c r="J108" s="482">
        <v>46335</v>
      </c>
      <c r="K108" s="482">
        <v>45971</v>
      </c>
      <c r="L108" s="482"/>
      <c r="M108" s="251">
        <v>0</v>
      </c>
      <c r="N108" s="251">
        <v>1199</v>
      </c>
    </row>
    <row r="109" spans="1:14" ht="16">
      <c r="A109" s="480" t="s">
        <v>216</v>
      </c>
      <c r="B109" s="481">
        <v>850</v>
      </c>
      <c r="C109" s="480" t="s">
        <v>974</v>
      </c>
      <c r="D109" s="480" t="s">
        <v>975</v>
      </c>
      <c r="E109" s="480" t="s">
        <v>220</v>
      </c>
      <c r="F109" s="251">
        <v>1149</v>
      </c>
      <c r="G109" s="251">
        <v>1199</v>
      </c>
      <c r="H109" s="251">
        <v>158.5</v>
      </c>
      <c r="I109" s="482">
        <v>44778</v>
      </c>
      <c r="J109" s="482">
        <v>46053</v>
      </c>
      <c r="K109" s="482">
        <v>44778</v>
      </c>
      <c r="L109" s="482"/>
      <c r="M109" s="251">
        <v>0</v>
      </c>
      <c r="N109" s="251">
        <v>1149</v>
      </c>
    </row>
    <row r="110" spans="1:14" ht="16">
      <c r="A110" s="480" t="s">
        <v>216</v>
      </c>
      <c r="B110" s="481">
        <v>850</v>
      </c>
      <c r="C110" s="480" t="s">
        <v>976</v>
      </c>
      <c r="D110" s="480" t="s">
        <v>977</v>
      </c>
      <c r="E110" s="480" t="s">
        <v>220</v>
      </c>
      <c r="F110" s="251">
        <v>1149</v>
      </c>
      <c r="G110" s="251">
        <v>1199</v>
      </c>
      <c r="H110" s="251">
        <v>121.5</v>
      </c>
      <c r="I110" s="482">
        <v>45536</v>
      </c>
      <c r="J110" s="482">
        <v>46263</v>
      </c>
      <c r="K110" s="482">
        <v>45534</v>
      </c>
      <c r="L110" s="482"/>
      <c r="M110" s="251">
        <v>0</v>
      </c>
      <c r="N110" s="251">
        <v>1149</v>
      </c>
    </row>
    <row r="111" spans="1:14" ht="16">
      <c r="A111" s="480" t="s">
        <v>221</v>
      </c>
      <c r="B111" s="481">
        <v>850</v>
      </c>
      <c r="C111" s="480" t="s">
        <v>978</v>
      </c>
      <c r="D111" s="480" t="s">
        <v>979</v>
      </c>
      <c r="E111" s="480" t="s">
        <v>220</v>
      </c>
      <c r="F111" s="251">
        <v>1199</v>
      </c>
      <c r="G111" s="251">
        <v>1200</v>
      </c>
      <c r="H111" s="251">
        <v>121.5</v>
      </c>
      <c r="I111" s="482">
        <v>45579</v>
      </c>
      <c r="J111" s="482">
        <v>46387</v>
      </c>
      <c r="K111" s="482">
        <v>45579</v>
      </c>
      <c r="L111" s="482"/>
      <c r="M111" s="251">
        <v>0</v>
      </c>
      <c r="N111" s="251">
        <v>1199</v>
      </c>
    </row>
    <row r="112" spans="1:14" ht="16">
      <c r="A112" s="480" t="s">
        <v>216</v>
      </c>
      <c r="B112" s="481">
        <v>850</v>
      </c>
      <c r="C112" s="480" t="s">
        <v>980</v>
      </c>
      <c r="D112" s="480" t="s">
        <v>981</v>
      </c>
      <c r="E112" s="480" t="s">
        <v>220</v>
      </c>
      <c r="F112" s="251">
        <v>1149</v>
      </c>
      <c r="G112" s="251">
        <v>1200</v>
      </c>
      <c r="H112" s="251">
        <v>121.5</v>
      </c>
      <c r="I112" s="482">
        <v>45630</v>
      </c>
      <c r="J112" s="482">
        <v>46359</v>
      </c>
      <c r="K112" s="482">
        <v>45630</v>
      </c>
      <c r="L112" s="482"/>
      <c r="M112" s="251">
        <v>-1321.5</v>
      </c>
      <c r="N112" s="251">
        <v>1149</v>
      </c>
    </row>
    <row r="113" spans="1:14" ht="16">
      <c r="A113" s="480" t="s">
        <v>221</v>
      </c>
      <c r="B113" s="481">
        <v>850</v>
      </c>
      <c r="C113" s="480" t="s">
        <v>982</v>
      </c>
      <c r="D113" s="480" t="s">
        <v>983</v>
      </c>
      <c r="E113" s="480" t="s">
        <v>220</v>
      </c>
      <c r="F113" s="251">
        <v>1199</v>
      </c>
      <c r="G113" s="251">
        <v>1200</v>
      </c>
      <c r="H113" s="251">
        <v>121.5</v>
      </c>
      <c r="I113" s="482">
        <v>45638</v>
      </c>
      <c r="J113" s="482">
        <v>46002</v>
      </c>
      <c r="K113" s="482">
        <v>45638</v>
      </c>
      <c r="L113" s="482"/>
      <c r="M113" s="251">
        <v>1321.5</v>
      </c>
      <c r="N113" s="251">
        <v>1099</v>
      </c>
    </row>
    <row r="114" spans="1:14" ht="16">
      <c r="A114" s="480" t="s">
        <v>221</v>
      </c>
      <c r="B114" s="481">
        <v>850</v>
      </c>
      <c r="C114" s="480" t="s">
        <v>984</v>
      </c>
      <c r="D114" s="480" t="s">
        <v>985</v>
      </c>
      <c r="E114" s="480" t="s">
        <v>220</v>
      </c>
      <c r="F114" s="251">
        <v>1199</v>
      </c>
      <c r="G114" s="251">
        <v>1200</v>
      </c>
      <c r="H114" s="251">
        <v>108.5</v>
      </c>
      <c r="I114" s="482">
        <v>45681</v>
      </c>
      <c r="J114" s="482">
        <v>46045</v>
      </c>
      <c r="K114" s="482">
        <v>45681</v>
      </c>
      <c r="L114" s="482"/>
      <c r="M114" s="251">
        <v>0</v>
      </c>
      <c r="N114" s="251">
        <v>1199</v>
      </c>
    </row>
    <row r="115" spans="1:14" ht="16">
      <c r="A115" s="480" t="s">
        <v>221</v>
      </c>
      <c r="B115" s="481">
        <v>850</v>
      </c>
      <c r="C115" s="480" t="s">
        <v>986</v>
      </c>
      <c r="D115" s="480" t="s">
        <v>987</v>
      </c>
      <c r="E115" s="480" t="s">
        <v>220</v>
      </c>
      <c r="F115" s="251">
        <v>1199</v>
      </c>
      <c r="G115" s="251">
        <v>1200</v>
      </c>
      <c r="H115" s="251">
        <v>138.5</v>
      </c>
      <c r="I115" s="482">
        <v>45677</v>
      </c>
      <c r="J115" s="482">
        <v>46406</v>
      </c>
      <c r="K115" s="482">
        <v>45673</v>
      </c>
      <c r="L115" s="482"/>
      <c r="M115" s="251">
        <v>0</v>
      </c>
      <c r="N115" s="251">
        <v>1199</v>
      </c>
    </row>
    <row r="116" spans="1:14" ht="16">
      <c r="A116" s="480" t="s">
        <v>221</v>
      </c>
      <c r="B116" s="481">
        <v>850</v>
      </c>
      <c r="C116" s="480" t="s">
        <v>988</v>
      </c>
      <c r="D116" s="480" t="s">
        <v>989</v>
      </c>
      <c r="E116" s="480" t="s">
        <v>220</v>
      </c>
      <c r="F116" s="251">
        <v>1199</v>
      </c>
      <c r="G116" s="251">
        <v>1200</v>
      </c>
      <c r="H116" s="251">
        <v>121.5</v>
      </c>
      <c r="I116" s="482">
        <v>45663</v>
      </c>
      <c r="J116" s="482">
        <v>46392</v>
      </c>
      <c r="K116" s="482">
        <v>45663</v>
      </c>
      <c r="L116" s="482"/>
      <c r="M116" s="251">
        <v>636</v>
      </c>
      <c r="N116" s="251">
        <v>1199</v>
      </c>
    </row>
    <row r="117" spans="1:14" ht="16">
      <c r="A117" s="480" t="s">
        <v>216</v>
      </c>
      <c r="B117" s="481">
        <v>850</v>
      </c>
      <c r="C117" s="480" t="s">
        <v>990</v>
      </c>
      <c r="D117" s="480" t="s">
        <v>991</v>
      </c>
      <c r="E117" s="480" t="s">
        <v>220</v>
      </c>
      <c r="F117" s="251">
        <v>1149</v>
      </c>
      <c r="G117" s="251">
        <v>1200</v>
      </c>
      <c r="H117" s="251">
        <v>106</v>
      </c>
      <c r="I117" s="482">
        <v>45643</v>
      </c>
      <c r="J117" s="482">
        <v>46372</v>
      </c>
      <c r="K117" s="482">
        <v>45643</v>
      </c>
      <c r="L117" s="482"/>
      <c r="M117" s="251">
        <v>-6.5</v>
      </c>
      <c r="N117" s="251">
        <v>1149</v>
      </c>
    </row>
    <row r="118" spans="1:14" ht="16">
      <c r="A118" s="480" t="s">
        <v>221</v>
      </c>
      <c r="B118" s="481">
        <v>850</v>
      </c>
      <c r="C118" s="480" t="s">
        <v>992</v>
      </c>
      <c r="D118" s="480" t="s">
        <v>993</v>
      </c>
      <c r="E118" s="480" t="s">
        <v>220</v>
      </c>
      <c r="F118" s="251">
        <v>1199</v>
      </c>
      <c r="G118" s="251">
        <v>1225</v>
      </c>
      <c r="H118" s="251">
        <v>121.5</v>
      </c>
      <c r="I118" s="482">
        <v>45584</v>
      </c>
      <c r="J118" s="482">
        <v>46325</v>
      </c>
      <c r="K118" s="482">
        <v>45584</v>
      </c>
      <c r="L118" s="482"/>
      <c r="M118" s="251">
        <v>0</v>
      </c>
      <c r="N118" s="251">
        <v>1199</v>
      </c>
    </row>
    <row r="119" spans="1:14" ht="16">
      <c r="A119" s="480" t="s">
        <v>221</v>
      </c>
      <c r="B119" s="481">
        <v>850</v>
      </c>
      <c r="C119" s="480" t="s">
        <v>994</v>
      </c>
      <c r="D119" s="480" t="s">
        <v>995</v>
      </c>
      <c r="E119" s="480" t="s">
        <v>220</v>
      </c>
      <c r="F119" s="251">
        <v>1199</v>
      </c>
      <c r="G119" s="251">
        <v>1225</v>
      </c>
      <c r="H119" s="251">
        <v>106</v>
      </c>
      <c r="I119" s="482">
        <v>45956</v>
      </c>
      <c r="J119" s="482">
        <v>46320</v>
      </c>
      <c r="K119" s="482">
        <v>45591</v>
      </c>
      <c r="L119" s="482"/>
      <c r="M119" s="251">
        <v>0</v>
      </c>
      <c r="N119" s="251">
        <v>1199</v>
      </c>
    </row>
    <row r="120" spans="1:14" ht="16">
      <c r="A120" s="480" t="s">
        <v>768</v>
      </c>
      <c r="B120" s="481">
        <v>1150</v>
      </c>
      <c r="C120" s="480" t="s">
        <v>996</v>
      </c>
      <c r="D120" s="480" t="s">
        <v>997</v>
      </c>
      <c r="E120" s="480" t="s">
        <v>220</v>
      </c>
      <c r="F120" s="251">
        <v>1399</v>
      </c>
      <c r="G120" s="251">
        <v>1290</v>
      </c>
      <c r="H120" s="251">
        <v>118.5</v>
      </c>
      <c r="I120" s="482">
        <v>44136</v>
      </c>
      <c r="J120" s="482">
        <v>46418</v>
      </c>
      <c r="K120" s="482">
        <v>44136</v>
      </c>
      <c r="L120" s="482"/>
      <c r="M120" s="251">
        <v>0</v>
      </c>
      <c r="N120" s="251">
        <v>1399</v>
      </c>
    </row>
    <row r="121" spans="1:14" ht="16">
      <c r="A121" s="480" t="s">
        <v>221</v>
      </c>
      <c r="B121" s="481">
        <v>850</v>
      </c>
      <c r="C121" s="480" t="s">
        <v>998</v>
      </c>
      <c r="D121" s="480" t="s">
        <v>999</v>
      </c>
      <c r="E121" s="480" t="s">
        <v>220</v>
      </c>
      <c r="F121" s="251">
        <v>1199</v>
      </c>
      <c r="G121" s="251">
        <v>1300</v>
      </c>
      <c r="H121" s="251">
        <v>123.5</v>
      </c>
      <c r="I121" s="482">
        <v>45749</v>
      </c>
      <c r="J121" s="482">
        <v>46113</v>
      </c>
      <c r="K121" s="482">
        <v>45749</v>
      </c>
      <c r="L121" s="482"/>
      <c r="M121" s="251">
        <v>-1423.5</v>
      </c>
      <c r="N121" s="251">
        <v>1199</v>
      </c>
    </row>
    <row r="122" spans="1:14" ht="16">
      <c r="A122" s="480" t="s">
        <v>221</v>
      </c>
      <c r="B122" s="481">
        <v>850</v>
      </c>
      <c r="C122" s="480" t="s">
        <v>1000</v>
      </c>
      <c r="D122" s="480" t="s">
        <v>1001</v>
      </c>
      <c r="E122" s="480" t="s">
        <v>220</v>
      </c>
      <c r="F122" s="251">
        <v>1199</v>
      </c>
      <c r="G122" s="251">
        <v>1300</v>
      </c>
      <c r="H122" s="251">
        <v>121.5</v>
      </c>
      <c r="I122" s="482">
        <v>45505</v>
      </c>
      <c r="J122" s="482">
        <v>46295</v>
      </c>
      <c r="K122" s="482">
        <v>45505</v>
      </c>
      <c r="L122" s="482"/>
      <c r="M122" s="251">
        <v>0</v>
      </c>
      <c r="N122" s="251">
        <v>1199</v>
      </c>
    </row>
    <row r="123" spans="1:14" ht="16">
      <c r="A123" s="480" t="s">
        <v>221</v>
      </c>
      <c r="B123" s="481">
        <v>850</v>
      </c>
      <c r="C123" s="480" t="s">
        <v>1002</v>
      </c>
      <c r="D123" s="480" t="s">
        <v>1003</v>
      </c>
      <c r="E123" s="480" t="s">
        <v>220</v>
      </c>
      <c r="F123" s="251">
        <v>1199</v>
      </c>
      <c r="G123" s="251">
        <v>1300</v>
      </c>
      <c r="H123" s="251">
        <v>123.5</v>
      </c>
      <c r="I123" s="482">
        <v>45721</v>
      </c>
      <c r="J123" s="482">
        <v>46116</v>
      </c>
      <c r="K123" s="482">
        <v>45721</v>
      </c>
      <c r="L123" s="482"/>
      <c r="M123" s="251">
        <v>0</v>
      </c>
      <c r="N123" s="251">
        <v>1199</v>
      </c>
    </row>
    <row r="124" spans="1:14" ht="16">
      <c r="A124" s="480" t="s">
        <v>221</v>
      </c>
      <c r="B124" s="481">
        <v>850</v>
      </c>
      <c r="C124" s="480" t="s">
        <v>1004</v>
      </c>
      <c r="D124" s="480" t="s">
        <v>1005</v>
      </c>
      <c r="E124" s="480" t="s">
        <v>821</v>
      </c>
      <c r="F124" s="251">
        <v>1199</v>
      </c>
      <c r="G124" s="251">
        <v>1300</v>
      </c>
      <c r="H124" s="251">
        <v>113.5</v>
      </c>
      <c r="I124" s="482">
        <v>45717</v>
      </c>
      <c r="J124" s="482">
        <v>46081</v>
      </c>
      <c r="K124" s="482">
        <v>45717</v>
      </c>
      <c r="L124" s="482">
        <v>46041</v>
      </c>
      <c r="M124" s="251">
        <v>0</v>
      </c>
      <c r="N124" s="251">
        <v>1199</v>
      </c>
    </row>
    <row r="125" spans="1:14" ht="16">
      <c r="A125" s="480" t="s">
        <v>221</v>
      </c>
      <c r="B125" s="481">
        <v>850</v>
      </c>
      <c r="C125" s="480" t="s">
        <v>1006</v>
      </c>
      <c r="D125" s="480" t="s">
        <v>1007</v>
      </c>
      <c r="E125" s="480" t="s">
        <v>220</v>
      </c>
      <c r="F125" s="251">
        <v>1199</v>
      </c>
      <c r="G125" s="251">
        <v>1300</v>
      </c>
      <c r="H125" s="251">
        <v>168.5</v>
      </c>
      <c r="I125" s="482">
        <v>45772</v>
      </c>
      <c r="J125" s="482">
        <v>46142</v>
      </c>
      <c r="K125" s="482">
        <v>45772</v>
      </c>
      <c r="L125" s="482"/>
      <c r="M125" s="251">
        <v>-1468.5</v>
      </c>
      <c r="N125" s="251">
        <v>1199</v>
      </c>
    </row>
    <row r="126" spans="1:14" ht="16">
      <c r="A126" s="480" t="s">
        <v>221</v>
      </c>
      <c r="B126" s="481">
        <v>850</v>
      </c>
      <c r="C126" s="480" t="s">
        <v>1008</v>
      </c>
      <c r="D126" s="480" t="s">
        <v>1009</v>
      </c>
      <c r="E126" s="480" t="s">
        <v>222</v>
      </c>
      <c r="F126" s="251">
        <v>1199</v>
      </c>
      <c r="G126" s="251">
        <v>1300</v>
      </c>
      <c r="H126" s="251">
        <v>123.5</v>
      </c>
      <c r="I126" s="482">
        <v>45717</v>
      </c>
      <c r="J126" s="482">
        <v>46142</v>
      </c>
      <c r="K126" s="482">
        <v>45717</v>
      </c>
      <c r="L126" s="482"/>
      <c r="M126" s="251">
        <v>0</v>
      </c>
      <c r="N126" s="251">
        <v>1199</v>
      </c>
    </row>
    <row r="127" spans="1:14" ht="16">
      <c r="A127" s="480" t="s">
        <v>768</v>
      </c>
      <c r="B127" s="481">
        <v>1150</v>
      </c>
      <c r="C127" s="480" t="s">
        <v>1010</v>
      </c>
      <c r="D127" s="480" t="s">
        <v>1011</v>
      </c>
      <c r="E127" s="480" t="s">
        <v>220</v>
      </c>
      <c r="F127" s="251">
        <v>1399</v>
      </c>
      <c r="G127" s="251">
        <v>1399</v>
      </c>
      <c r="H127" s="251">
        <v>121.5</v>
      </c>
      <c r="I127" s="482">
        <v>45930</v>
      </c>
      <c r="J127" s="482">
        <v>46295</v>
      </c>
      <c r="K127" s="482">
        <v>45930</v>
      </c>
      <c r="L127" s="482"/>
      <c r="M127" s="251">
        <v>0</v>
      </c>
      <c r="N127" s="251">
        <v>1399</v>
      </c>
    </row>
    <row r="128" spans="1:14" ht="16">
      <c r="A128" s="480" t="s">
        <v>768</v>
      </c>
      <c r="B128" s="481">
        <v>1150</v>
      </c>
      <c r="C128" s="480" t="s">
        <v>1012</v>
      </c>
      <c r="D128" s="480" t="s">
        <v>1013</v>
      </c>
      <c r="E128" s="480" t="s">
        <v>220</v>
      </c>
      <c r="F128" s="251">
        <v>1399</v>
      </c>
      <c r="G128" s="251">
        <v>1425</v>
      </c>
      <c r="H128" s="251">
        <v>121.5</v>
      </c>
      <c r="I128" s="482">
        <v>45551</v>
      </c>
      <c r="J128" s="482">
        <v>46332</v>
      </c>
      <c r="K128" s="482">
        <v>45551</v>
      </c>
      <c r="L128" s="482"/>
      <c r="M128" s="251">
        <v>107</v>
      </c>
      <c r="N128" s="251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Worst Case</vt:lpstr>
      <vt:lpstr>Calculator</vt:lpstr>
      <vt:lpstr>Budget Summary 2026</vt:lpstr>
      <vt:lpstr>Budget 2026</vt:lpstr>
      <vt:lpstr>2026 Budget Analysis</vt:lpstr>
      <vt:lpstr>Agency vs HUD</vt:lpstr>
      <vt:lpstr>Proforma FOR BUDGET 2026</vt:lpstr>
      <vt:lpstr>Financials</vt:lpstr>
      <vt:lpstr>Worksheet - DO NOT DELETE</vt:lpstr>
      <vt:lpstr>2026 Rent Strategy</vt:lpstr>
      <vt:lpstr>Rent Comps</vt:lpstr>
      <vt:lpstr>T12 - Nov</vt:lpstr>
      <vt:lpstr>T-12 Summarized - Nov</vt:lpstr>
      <vt:lpstr>Sheet2</vt:lpstr>
      <vt:lpstr>Rent Roll - Dec25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Claudio Sanchez - New</cp:lastModifiedBy>
  <dcterms:created xsi:type="dcterms:W3CDTF">2025-07-15T16:38:40Z</dcterms:created>
  <dcterms:modified xsi:type="dcterms:W3CDTF">2026-02-11T22:53:45Z</dcterms:modified>
</cp:coreProperties>
</file>