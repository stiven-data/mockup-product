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N:\Team-DSF\1. 2025 Deals\Oasis at San Marco\Underwriting\"/>
    </mc:Choice>
  </mc:AlternateContent>
  <xr:revisionPtr revIDLastSave="0" documentId="13_ncr:1_{B864596D-3548-43CB-87C4-D3E927491FFA}" xr6:coauthVersionLast="47" xr6:coauthVersionMax="47" xr10:uidLastSave="{00000000-0000-0000-0000-000000000000}"/>
  <bookViews>
    <workbookView xWindow="28710" yWindow="0" windowWidth="25980" windowHeight="20970" xr2:uid="{B3081227-44A4-4340-8095-470A1B88C248}"/>
  </bookViews>
  <sheets>
    <sheet name="COMPARISON" sheetId="23" r:id="rId1"/>
    <sheet name="PROFORMA" sheetId="9" r:id="rId2"/>
    <sheet name="Sources &amp; Uses" sheetId="10" r:id="rId3"/>
    <sheet name="CapEx" sheetId="11" state="hidden" r:id="rId4"/>
    <sheet name="Unit Mix" sheetId="14" state="hidden" r:id="rId5"/>
    <sheet name="Sales Comps" sheetId="12" state="hidden" r:id="rId6"/>
    <sheet name="Rent Comps" sheetId="13" state="hidden" r:id="rId7"/>
    <sheet name="TTM Nov-25" sheetId="21" r:id="rId8"/>
    <sheet name="TTM Oct-25" sheetId="19" r:id="rId9"/>
    <sheet name="IS 2024" sheetId="2" state="hidden" r:id="rId10"/>
    <sheet name="IS 2023" sheetId="3" state="hidden" r:id="rId11"/>
    <sheet name="IS 2022" sheetId="4" state="hidden" r:id="rId12"/>
    <sheet name="RR 12-16-25" sheetId="24" r:id="rId13"/>
    <sheet name="RR 11-4-25" sheetId="20" r:id="rId14"/>
  </sheets>
  <definedNames>
    <definedName name="_xlnm.Print_Area" localSheetId="3">CapEx!$B$2:$L$37</definedName>
    <definedName name="_xlnm.Print_Area" localSheetId="0">COMPARISON!$B$2:$N$62</definedName>
    <definedName name="_xlnm.Print_Area" localSheetId="1">PROFORMA!$B$2:$W$55</definedName>
    <definedName name="_xlnm.Print_Area" localSheetId="2">'Sources &amp; Uses'!$B$2:$I$60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9" l="1"/>
  <c r="S8" i="9"/>
  <c r="S13" i="9" l="1"/>
  <c r="S14" i="9"/>
  <c r="G12" i="23"/>
  <c r="J12" i="23" s="1"/>
  <c r="S11" i="9"/>
  <c r="J151" i="24"/>
  <c r="I151" i="24"/>
  <c r="K151" i="24" s="1"/>
  <c r="G151" i="24"/>
  <c r="J150" i="24"/>
  <c r="J152" i="24" s="1"/>
  <c r="I150" i="24"/>
  <c r="I152" i="24" s="1"/>
  <c r="G150" i="24"/>
  <c r="G152" i="24" s="1"/>
  <c r="G52" i="23"/>
  <c r="D45" i="23"/>
  <c r="J46" i="23"/>
  <c r="J77" i="23"/>
  <c r="G32" i="23"/>
  <c r="J32" i="23" s="1"/>
  <c r="G30" i="23"/>
  <c r="J30" i="23" s="1"/>
  <c r="G29" i="23"/>
  <c r="J29" i="23" s="1"/>
  <c r="G28" i="23"/>
  <c r="J28" i="23" s="1"/>
  <c r="G27" i="23"/>
  <c r="J27" i="23" s="1"/>
  <c r="G26" i="23"/>
  <c r="J26" i="23" s="1"/>
  <c r="G25" i="23"/>
  <c r="J25" i="23" s="1"/>
  <c r="G24" i="23"/>
  <c r="J24" i="23" s="1"/>
  <c r="G23" i="23"/>
  <c r="J23" i="23" s="1"/>
  <c r="G22" i="23"/>
  <c r="J22" i="23" s="1"/>
  <c r="G18" i="23"/>
  <c r="J18" i="23" s="1"/>
  <c r="G17" i="23"/>
  <c r="J17" i="23" s="1"/>
  <c r="G15" i="23"/>
  <c r="J15" i="23" s="1"/>
  <c r="G14" i="23"/>
  <c r="G11" i="23"/>
  <c r="J11" i="23" s="1"/>
  <c r="G8" i="23"/>
  <c r="J8" i="23" s="1"/>
  <c r="G77" i="23"/>
  <c r="H46" i="23" s="1"/>
  <c r="G53" i="23"/>
  <c r="D77" i="23"/>
  <c r="AO64" i="23"/>
  <c r="AK64" i="23"/>
  <c r="AG64" i="23"/>
  <c r="AC64" i="23"/>
  <c r="Y64" i="23"/>
  <c r="R43" i="23" s="1"/>
  <c r="AN59" i="23"/>
  <c r="AJ59" i="23"/>
  <c r="AF59" i="23"/>
  <c r="AB59" i="23"/>
  <c r="X59" i="23"/>
  <c r="Q42" i="23" s="1"/>
  <c r="AI57" i="23"/>
  <c r="AK57" i="23" s="1"/>
  <c r="AE57" i="23"/>
  <c r="AG57" i="23" s="1"/>
  <c r="AA57" i="23"/>
  <c r="AC57" i="23" s="1"/>
  <c r="AM56" i="23"/>
  <c r="AO56" i="23" s="1"/>
  <c r="AI56" i="23"/>
  <c r="AK56" i="23" s="1"/>
  <c r="AE56" i="23"/>
  <c r="AG56" i="23" s="1"/>
  <c r="AA56" i="23"/>
  <c r="AC56" i="23" s="1"/>
  <c r="AM55" i="23"/>
  <c r="AO55" i="23" s="1"/>
  <c r="AI55" i="23"/>
  <c r="AK55" i="23" s="1"/>
  <c r="AE55" i="23"/>
  <c r="AG55" i="23" s="1"/>
  <c r="AA55" i="23"/>
  <c r="AC55" i="23" s="1"/>
  <c r="AM54" i="23"/>
  <c r="AO54" i="23" s="1"/>
  <c r="AI54" i="23"/>
  <c r="AK54" i="23" s="1"/>
  <c r="AE54" i="23"/>
  <c r="AG54" i="23" s="1"/>
  <c r="AA54" i="23"/>
  <c r="AC54" i="23" s="1"/>
  <c r="AM53" i="23"/>
  <c r="AO53" i="23" s="1"/>
  <c r="AI53" i="23"/>
  <c r="AK53" i="23" s="1"/>
  <c r="AE53" i="23"/>
  <c r="AG53" i="23" s="1"/>
  <c r="AA53" i="23"/>
  <c r="AC53" i="23" s="1"/>
  <c r="AM52" i="23"/>
  <c r="AO52" i="23" s="1"/>
  <c r="AI52" i="23"/>
  <c r="AK52" i="23" s="1"/>
  <c r="AE52" i="23"/>
  <c r="AG52" i="23" s="1"/>
  <c r="AA52" i="23"/>
  <c r="AC52" i="23" s="1"/>
  <c r="AM51" i="23"/>
  <c r="AO51" i="23" s="1"/>
  <c r="AI51" i="23"/>
  <c r="AK51" i="23" s="1"/>
  <c r="AE51" i="23"/>
  <c r="AG51" i="23" s="1"/>
  <c r="AA51" i="23"/>
  <c r="AC51" i="23" s="1"/>
  <c r="D53" i="23"/>
  <c r="AI45" i="23"/>
  <c r="AE45" i="23"/>
  <c r="AA45" i="23"/>
  <c r="W41" i="23" s="1"/>
  <c r="W55" i="23" s="1"/>
  <c r="Y55" i="23" s="1"/>
  <c r="AI44" i="23"/>
  <c r="AE44" i="23"/>
  <c r="AA44" i="23"/>
  <c r="R41" i="23"/>
  <c r="K46" i="23" l="1"/>
  <c r="J14" i="23"/>
  <c r="K14" i="23" s="1"/>
  <c r="H151" i="24"/>
  <c r="H152" i="24"/>
  <c r="H150" i="24"/>
  <c r="K150" i="24"/>
  <c r="K152" i="24" s="1"/>
  <c r="K18" i="23"/>
  <c r="K28" i="23"/>
  <c r="K22" i="23"/>
  <c r="K32" i="23"/>
  <c r="K26" i="23"/>
  <c r="K30" i="23"/>
  <c r="E30" i="23"/>
  <c r="K23" i="23"/>
  <c r="E22" i="23"/>
  <c r="K15" i="23"/>
  <c r="H22" i="23"/>
  <c r="K11" i="23"/>
  <c r="K29" i="23"/>
  <c r="H23" i="23"/>
  <c r="K17" i="23"/>
  <c r="K24" i="23"/>
  <c r="K12" i="23"/>
  <c r="K25" i="23"/>
  <c r="K27" i="23"/>
  <c r="H14" i="23"/>
  <c r="H24" i="23"/>
  <c r="H32" i="23"/>
  <c r="H15" i="23"/>
  <c r="H25" i="23"/>
  <c r="E12" i="23"/>
  <c r="H11" i="23"/>
  <c r="H26" i="23"/>
  <c r="H27" i="23"/>
  <c r="H29" i="23"/>
  <c r="H28" i="23"/>
  <c r="H17" i="23"/>
  <c r="H30" i="23"/>
  <c r="E46" i="23"/>
  <c r="H18" i="23"/>
  <c r="H12" i="23"/>
  <c r="E13" i="23"/>
  <c r="E23" i="23"/>
  <c r="E31" i="23"/>
  <c r="E14" i="23"/>
  <c r="E24" i="23"/>
  <c r="E32" i="23"/>
  <c r="E15" i="23"/>
  <c r="E25" i="23"/>
  <c r="E33" i="23"/>
  <c r="E19" i="23"/>
  <c r="E16" i="23"/>
  <c r="E26" i="23"/>
  <c r="E36" i="23"/>
  <c r="E29" i="23"/>
  <c r="E27" i="23"/>
  <c r="E28" i="23"/>
  <c r="E11" i="23"/>
  <c r="E18" i="23"/>
  <c r="E17" i="23"/>
  <c r="W40" i="23"/>
  <c r="W52" i="23" s="1"/>
  <c r="Y52" i="23" s="1"/>
  <c r="AO59" i="23"/>
  <c r="AO67" i="23" s="1"/>
  <c r="AO69" i="23" s="1"/>
  <c r="AO71" i="23" s="1"/>
  <c r="R42" i="23"/>
  <c r="R44" i="23" s="1"/>
  <c r="R45" i="23" s="1"/>
  <c r="AK59" i="23"/>
  <c r="AK67" i="23" s="1"/>
  <c r="AC59" i="23"/>
  <c r="AC67" i="23" s="1"/>
  <c r="AG59" i="23"/>
  <c r="AG67" i="23" s="1"/>
  <c r="W56" i="23"/>
  <c r="Y56" i="23" s="1"/>
  <c r="W57" i="23"/>
  <c r="Y57" i="23" s="1"/>
  <c r="W54" i="23"/>
  <c r="Y54" i="23" s="1"/>
  <c r="W45" i="23"/>
  <c r="W51" i="23" l="1"/>
  <c r="Y51" i="23" s="1"/>
  <c r="W53" i="23"/>
  <c r="Y53" i="23" s="1"/>
  <c r="W44" i="23"/>
  <c r="R46" i="23"/>
  <c r="Y59" i="23"/>
  <c r="Y67" i="23" s="1"/>
  <c r="Y69" i="23" s="1"/>
  <c r="Y71" i="23" s="1"/>
  <c r="AC69" i="23"/>
  <c r="AC71" i="23" s="1"/>
  <c r="AG69" i="23"/>
  <c r="AG71" i="23" s="1"/>
  <c r="AK69" i="23"/>
  <c r="AK71" i="23" s="1"/>
  <c r="AK73" i="23" s="1"/>
  <c r="Y73" i="23" l="1"/>
  <c r="AC73" i="23"/>
  <c r="AG73" i="23"/>
  <c r="D61" i="23" l="1"/>
  <c r="D55" i="23"/>
  <c r="D59" i="23"/>
  <c r="D58" i="23"/>
  <c r="E45" i="23"/>
  <c r="D47" i="23" l="1"/>
  <c r="Q31" i="9" l="1"/>
  <c r="P31" i="9"/>
  <c r="O31" i="9"/>
  <c r="N31" i="9"/>
  <c r="M31" i="9"/>
  <c r="Q30" i="9"/>
  <c r="P30" i="9"/>
  <c r="O30" i="9"/>
  <c r="N30" i="9"/>
  <c r="M30" i="9"/>
  <c r="Q29" i="9"/>
  <c r="P29" i="9"/>
  <c r="O29" i="9"/>
  <c r="N29" i="9"/>
  <c r="M29" i="9"/>
  <c r="Q28" i="9"/>
  <c r="P28" i="9"/>
  <c r="O28" i="9"/>
  <c r="N28" i="9"/>
  <c r="M28" i="9"/>
  <c r="Q27" i="9"/>
  <c r="P27" i="9"/>
  <c r="O27" i="9"/>
  <c r="N27" i="9"/>
  <c r="M27" i="9"/>
  <c r="Q26" i="9"/>
  <c r="P26" i="9"/>
  <c r="O26" i="9"/>
  <c r="N26" i="9"/>
  <c r="M26" i="9"/>
  <c r="Q25" i="9"/>
  <c r="P25" i="9"/>
  <c r="O25" i="9"/>
  <c r="N25" i="9"/>
  <c r="M25" i="9"/>
  <c r="Q24" i="9"/>
  <c r="P24" i="9"/>
  <c r="O24" i="9"/>
  <c r="N24" i="9"/>
  <c r="M24" i="9"/>
  <c r="Q23" i="9"/>
  <c r="P23" i="9"/>
  <c r="O23" i="9"/>
  <c r="N23" i="9"/>
  <c r="M23" i="9"/>
  <c r="Q22" i="9"/>
  <c r="P22" i="9"/>
  <c r="O22" i="9"/>
  <c r="N22" i="9"/>
  <c r="M22" i="9"/>
  <c r="Q18" i="9"/>
  <c r="P18" i="9"/>
  <c r="O18" i="9"/>
  <c r="N18" i="9"/>
  <c r="M18" i="9"/>
  <c r="Q17" i="9"/>
  <c r="P17" i="9"/>
  <c r="O17" i="9"/>
  <c r="N17" i="9"/>
  <c r="M17" i="9"/>
  <c r="Q15" i="9"/>
  <c r="P15" i="9"/>
  <c r="O15" i="9"/>
  <c r="N15" i="9"/>
  <c r="M15" i="9"/>
  <c r="S15" i="9" s="1"/>
  <c r="Q14" i="9"/>
  <c r="P14" i="9"/>
  <c r="O14" i="9"/>
  <c r="N14" i="9"/>
  <c r="M14" i="9"/>
  <c r="Q13" i="9"/>
  <c r="P13" i="9"/>
  <c r="O13" i="9"/>
  <c r="N13" i="9"/>
  <c r="M13" i="9"/>
  <c r="Q12" i="9"/>
  <c r="P12" i="9"/>
  <c r="O12" i="9"/>
  <c r="N12" i="9"/>
  <c r="M12" i="9"/>
  <c r="Q11" i="9"/>
  <c r="P11" i="9"/>
  <c r="O11" i="9"/>
  <c r="N11" i="9"/>
  <c r="M11" i="9"/>
  <c r="Q25" i="21"/>
  <c r="R25" i="21"/>
  <c r="S25" i="21"/>
  <c r="T25" i="21"/>
  <c r="U25" i="21"/>
  <c r="U208" i="21"/>
  <c r="T208" i="21"/>
  <c r="S208" i="21"/>
  <c r="R208" i="21"/>
  <c r="Q208" i="21"/>
  <c r="U207" i="21"/>
  <c r="T207" i="21"/>
  <c r="S207" i="21"/>
  <c r="R207" i="21"/>
  <c r="Q207" i="21"/>
  <c r="U206" i="21"/>
  <c r="T206" i="21"/>
  <c r="S206" i="21"/>
  <c r="R206" i="21"/>
  <c r="Q206" i="21"/>
  <c r="U205" i="21"/>
  <c r="T205" i="21"/>
  <c r="S205" i="21"/>
  <c r="R205" i="21"/>
  <c r="Q205" i="21"/>
  <c r="U204" i="21"/>
  <c r="T204" i="21"/>
  <c r="S204" i="21"/>
  <c r="R204" i="21"/>
  <c r="Q204" i="21"/>
  <c r="U203" i="21"/>
  <c r="T203" i="21"/>
  <c r="S203" i="21"/>
  <c r="R203" i="21"/>
  <c r="Q203" i="21"/>
  <c r="U202" i="21"/>
  <c r="T202" i="21"/>
  <c r="S202" i="21"/>
  <c r="R202" i="21"/>
  <c r="Q202" i="21"/>
  <c r="U201" i="21"/>
  <c r="T201" i="21"/>
  <c r="S201" i="21"/>
  <c r="R201" i="21"/>
  <c r="Q201" i="21"/>
  <c r="U200" i="21"/>
  <c r="T200" i="21"/>
  <c r="S200" i="21"/>
  <c r="R200" i="21"/>
  <c r="Q200" i="21"/>
  <c r="U199" i="21"/>
  <c r="T199" i="21"/>
  <c r="S199" i="21"/>
  <c r="R199" i="21"/>
  <c r="Q199" i="21"/>
  <c r="U198" i="21"/>
  <c r="T198" i="21"/>
  <c r="S198" i="21"/>
  <c r="R198" i="21"/>
  <c r="Q198" i="21"/>
  <c r="U197" i="21"/>
  <c r="T197" i="21"/>
  <c r="S197" i="21"/>
  <c r="R197" i="21"/>
  <c r="Q197" i="21"/>
  <c r="U196" i="21"/>
  <c r="T196" i="21"/>
  <c r="S196" i="21"/>
  <c r="R196" i="21"/>
  <c r="Q196" i="21"/>
  <c r="U195" i="21"/>
  <c r="T195" i="21"/>
  <c r="S195" i="21"/>
  <c r="R195" i="21"/>
  <c r="Q195" i="21"/>
  <c r="U194" i="21"/>
  <c r="T194" i="21"/>
  <c r="S194" i="21"/>
  <c r="R194" i="21"/>
  <c r="Q194" i="21"/>
  <c r="U193" i="21"/>
  <c r="T193" i="21"/>
  <c r="S193" i="21"/>
  <c r="R193" i="21"/>
  <c r="Q193" i="21"/>
  <c r="U192" i="21"/>
  <c r="T192" i="21"/>
  <c r="S192" i="21"/>
  <c r="R192" i="21"/>
  <c r="Q192" i="21"/>
  <c r="U191" i="21"/>
  <c r="T191" i="21"/>
  <c r="S191" i="21"/>
  <c r="R191" i="21"/>
  <c r="Q191" i="21"/>
  <c r="U190" i="21"/>
  <c r="T190" i="21"/>
  <c r="S190" i="21"/>
  <c r="R190" i="21"/>
  <c r="Q190" i="21"/>
  <c r="U189" i="21"/>
  <c r="T189" i="21"/>
  <c r="S189" i="21"/>
  <c r="R189" i="21"/>
  <c r="Q189" i="21"/>
  <c r="U188" i="21"/>
  <c r="T188" i="21"/>
  <c r="S188" i="21"/>
  <c r="R188" i="21"/>
  <c r="Q188" i="21"/>
  <c r="U187" i="21"/>
  <c r="T187" i="21"/>
  <c r="S187" i="21"/>
  <c r="R187" i="21"/>
  <c r="Q187" i="21"/>
  <c r="U186" i="21"/>
  <c r="T186" i="21"/>
  <c r="S186" i="21"/>
  <c r="R186" i="21"/>
  <c r="Q186" i="21"/>
  <c r="U185" i="21"/>
  <c r="T185" i="21"/>
  <c r="S185" i="21"/>
  <c r="R185" i="21"/>
  <c r="Q185" i="21"/>
  <c r="U184" i="21"/>
  <c r="T184" i="21"/>
  <c r="S184" i="21"/>
  <c r="R184" i="21"/>
  <c r="Q184" i="21"/>
  <c r="U183" i="21"/>
  <c r="T183" i="21"/>
  <c r="S183" i="21"/>
  <c r="R183" i="21"/>
  <c r="Q183" i="21"/>
  <c r="U182" i="21"/>
  <c r="T182" i="21"/>
  <c r="S182" i="21"/>
  <c r="R182" i="21"/>
  <c r="Q182" i="21"/>
  <c r="U181" i="21"/>
  <c r="T181" i="21"/>
  <c r="S181" i="21"/>
  <c r="R181" i="21"/>
  <c r="Q181" i="21"/>
  <c r="U180" i="21"/>
  <c r="T180" i="21"/>
  <c r="S180" i="21"/>
  <c r="R180" i="21"/>
  <c r="Q180" i="21"/>
  <c r="U179" i="21"/>
  <c r="T179" i="21"/>
  <c r="S179" i="21"/>
  <c r="R179" i="21"/>
  <c r="Q179" i="21"/>
  <c r="U178" i="21"/>
  <c r="T178" i="21"/>
  <c r="S178" i="21"/>
  <c r="R178" i="21"/>
  <c r="Q178" i="21"/>
  <c r="U177" i="21"/>
  <c r="T177" i="21"/>
  <c r="S177" i="21"/>
  <c r="R177" i="21"/>
  <c r="Q177" i="21"/>
  <c r="U176" i="21"/>
  <c r="T176" i="21"/>
  <c r="S176" i="21"/>
  <c r="R176" i="21"/>
  <c r="Q176" i="21"/>
  <c r="U175" i="21"/>
  <c r="T175" i="21"/>
  <c r="S175" i="21"/>
  <c r="R175" i="21"/>
  <c r="Q175" i="21"/>
  <c r="U174" i="21"/>
  <c r="T174" i="21"/>
  <c r="S174" i="21"/>
  <c r="R174" i="21"/>
  <c r="Q174" i="21"/>
  <c r="U173" i="21"/>
  <c r="T173" i="21"/>
  <c r="S173" i="21"/>
  <c r="R173" i="21"/>
  <c r="Q173" i="21"/>
  <c r="U172" i="21"/>
  <c r="T172" i="21"/>
  <c r="S172" i="21"/>
  <c r="R172" i="21"/>
  <c r="Q172" i="21"/>
  <c r="U171" i="21"/>
  <c r="T171" i="21"/>
  <c r="S171" i="21"/>
  <c r="R171" i="21"/>
  <c r="Q171" i="21"/>
  <c r="U170" i="21"/>
  <c r="T170" i="21"/>
  <c r="S170" i="21"/>
  <c r="R170" i="21"/>
  <c r="Q170" i="21"/>
  <c r="U169" i="21"/>
  <c r="T169" i="21"/>
  <c r="S169" i="21"/>
  <c r="R169" i="21"/>
  <c r="Q169" i="21"/>
  <c r="U168" i="21"/>
  <c r="T168" i="21"/>
  <c r="S168" i="21"/>
  <c r="R168" i="21"/>
  <c r="Q168" i="21"/>
  <c r="U167" i="21"/>
  <c r="T167" i="21"/>
  <c r="S167" i="21"/>
  <c r="R167" i="21"/>
  <c r="Q167" i="21"/>
  <c r="U166" i="21"/>
  <c r="T166" i="21"/>
  <c r="S166" i="21"/>
  <c r="R166" i="21"/>
  <c r="Q166" i="21"/>
  <c r="U165" i="21"/>
  <c r="T165" i="21"/>
  <c r="S165" i="21"/>
  <c r="R165" i="21"/>
  <c r="Q165" i="21"/>
  <c r="U164" i="21"/>
  <c r="T164" i="21"/>
  <c r="S164" i="21"/>
  <c r="R164" i="21"/>
  <c r="Q164" i="21"/>
  <c r="U163" i="21"/>
  <c r="T163" i="21"/>
  <c r="S163" i="21"/>
  <c r="R163" i="21"/>
  <c r="Q163" i="21"/>
  <c r="U162" i="21"/>
  <c r="T162" i="21"/>
  <c r="S162" i="21"/>
  <c r="R162" i="21"/>
  <c r="Q162" i="21"/>
  <c r="U161" i="21"/>
  <c r="T161" i="21"/>
  <c r="S161" i="21"/>
  <c r="R161" i="21"/>
  <c r="Q161" i="21"/>
  <c r="U160" i="21"/>
  <c r="T160" i="21"/>
  <c r="S160" i="21"/>
  <c r="R160" i="21"/>
  <c r="Q160" i="21"/>
  <c r="U159" i="21"/>
  <c r="T159" i="21"/>
  <c r="S159" i="21"/>
  <c r="R159" i="21"/>
  <c r="Q159" i="21"/>
  <c r="U158" i="21"/>
  <c r="T158" i="21"/>
  <c r="S158" i="21"/>
  <c r="R158" i="21"/>
  <c r="Q158" i="21"/>
  <c r="U157" i="21"/>
  <c r="T157" i="21"/>
  <c r="S157" i="21"/>
  <c r="R157" i="21"/>
  <c r="Q157" i="21"/>
  <c r="U156" i="21"/>
  <c r="T156" i="21"/>
  <c r="S156" i="21"/>
  <c r="R156" i="21"/>
  <c r="Q156" i="21"/>
  <c r="U155" i="21"/>
  <c r="T155" i="21"/>
  <c r="S155" i="21"/>
  <c r="R155" i="21"/>
  <c r="Q155" i="21"/>
  <c r="U154" i="21"/>
  <c r="T154" i="21"/>
  <c r="S154" i="21"/>
  <c r="R154" i="21"/>
  <c r="Q154" i="21"/>
  <c r="U153" i="21"/>
  <c r="T153" i="21"/>
  <c r="S153" i="21"/>
  <c r="R153" i="21"/>
  <c r="Q153" i="21"/>
  <c r="U152" i="21"/>
  <c r="T152" i="21"/>
  <c r="S152" i="21"/>
  <c r="R152" i="21"/>
  <c r="Q152" i="21"/>
  <c r="U151" i="21"/>
  <c r="T151" i="21"/>
  <c r="S151" i="21"/>
  <c r="R151" i="21"/>
  <c r="Q151" i="21"/>
  <c r="U150" i="21"/>
  <c r="T150" i="21"/>
  <c r="S150" i="21"/>
  <c r="R150" i="21"/>
  <c r="Q150" i="21"/>
  <c r="U149" i="21"/>
  <c r="T149" i="21"/>
  <c r="S149" i="21"/>
  <c r="R149" i="21"/>
  <c r="Q149" i="21"/>
  <c r="U148" i="21"/>
  <c r="T148" i="21"/>
  <c r="S148" i="21"/>
  <c r="R148" i="21"/>
  <c r="Q148" i="21"/>
  <c r="U147" i="21"/>
  <c r="T147" i="21"/>
  <c r="S147" i="21"/>
  <c r="R147" i="21"/>
  <c r="Q147" i="21"/>
  <c r="U146" i="21"/>
  <c r="T146" i="21"/>
  <c r="S146" i="21"/>
  <c r="R146" i="21"/>
  <c r="Q146" i="21"/>
  <c r="U145" i="21"/>
  <c r="T145" i="21"/>
  <c r="S145" i="21"/>
  <c r="R145" i="21"/>
  <c r="Q145" i="21"/>
  <c r="U144" i="21"/>
  <c r="T144" i="21"/>
  <c r="S144" i="21"/>
  <c r="R144" i="21"/>
  <c r="Q144" i="21"/>
  <c r="U143" i="21"/>
  <c r="T143" i="21"/>
  <c r="S143" i="21"/>
  <c r="R143" i="21"/>
  <c r="Q143" i="21"/>
  <c r="U142" i="21"/>
  <c r="T142" i="21"/>
  <c r="S142" i="21"/>
  <c r="R142" i="21"/>
  <c r="Q142" i="21"/>
  <c r="U141" i="21"/>
  <c r="T141" i="21"/>
  <c r="S141" i="21"/>
  <c r="R141" i="21"/>
  <c r="Q141" i="21"/>
  <c r="U140" i="21"/>
  <c r="T140" i="21"/>
  <c r="S140" i="21"/>
  <c r="R140" i="21"/>
  <c r="Q140" i="21"/>
  <c r="U139" i="21"/>
  <c r="T139" i="21"/>
  <c r="S139" i="21"/>
  <c r="R139" i="21"/>
  <c r="Q139" i="21"/>
  <c r="U138" i="21"/>
  <c r="T138" i="21"/>
  <c r="S138" i="21"/>
  <c r="R138" i="21"/>
  <c r="Q138" i="21"/>
  <c r="U137" i="21"/>
  <c r="T137" i="21"/>
  <c r="S137" i="21"/>
  <c r="R137" i="21"/>
  <c r="Q137" i="21"/>
  <c r="U136" i="21"/>
  <c r="T136" i="21"/>
  <c r="S136" i="21"/>
  <c r="R136" i="21"/>
  <c r="Q136" i="21"/>
  <c r="U135" i="21"/>
  <c r="T135" i="21"/>
  <c r="S135" i="21"/>
  <c r="R135" i="21"/>
  <c r="Q135" i="21"/>
  <c r="U134" i="21"/>
  <c r="T134" i="21"/>
  <c r="S134" i="21"/>
  <c r="R134" i="21"/>
  <c r="Q134" i="21"/>
  <c r="U133" i="21"/>
  <c r="T133" i="21"/>
  <c r="S133" i="21"/>
  <c r="R133" i="21"/>
  <c r="Q133" i="21"/>
  <c r="U132" i="21"/>
  <c r="T132" i="21"/>
  <c r="S132" i="21"/>
  <c r="R132" i="21"/>
  <c r="Q132" i="21"/>
  <c r="U131" i="21"/>
  <c r="T131" i="21"/>
  <c r="S131" i="21"/>
  <c r="R131" i="21"/>
  <c r="Q131" i="21"/>
  <c r="U130" i="21"/>
  <c r="T130" i="21"/>
  <c r="S130" i="21"/>
  <c r="R130" i="21"/>
  <c r="Q130" i="21"/>
  <c r="U129" i="21"/>
  <c r="T129" i="21"/>
  <c r="S129" i="21"/>
  <c r="R129" i="21"/>
  <c r="Q129" i="21"/>
  <c r="U128" i="21"/>
  <c r="T128" i="21"/>
  <c r="S128" i="21"/>
  <c r="R128" i="21"/>
  <c r="Q128" i="21"/>
  <c r="U127" i="21"/>
  <c r="T127" i="21"/>
  <c r="S127" i="21"/>
  <c r="R127" i="21"/>
  <c r="Q127" i="21"/>
  <c r="U126" i="21"/>
  <c r="T126" i="21"/>
  <c r="S126" i="21"/>
  <c r="R126" i="21"/>
  <c r="Q126" i="21"/>
  <c r="U125" i="21"/>
  <c r="T125" i="21"/>
  <c r="S125" i="21"/>
  <c r="R125" i="21"/>
  <c r="Q125" i="21"/>
  <c r="U124" i="21"/>
  <c r="T124" i="21"/>
  <c r="S124" i="21"/>
  <c r="R124" i="21"/>
  <c r="Q124" i="21"/>
  <c r="U123" i="21"/>
  <c r="T123" i="21"/>
  <c r="S123" i="21"/>
  <c r="R123" i="21"/>
  <c r="Q123" i="21"/>
  <c r="U122" i="21"/>
  <c r="T122" i="21"/>
  <c r="S122" i="21"/>
  <c r="R122" i="21"/>
  <c r="Q122" i="21"/>
  <c r="U121" i="21"/>
  <c r="T121" i="21"/>
  <c r="S121" i="21"/>
  <c r="R121" i="21"/>
  <c r="Q121" i="21"/>
  <c r="U120" i="21"/>
  <c r="T120" i="21"/>
  <c r="S120" i="21"/>
  <c r="R120" i="21"/>
  <c r="Q120" i="21"/>
  <c r="U119" i="21"/>
  <c r="T119" i="21"/>
  <c r="S119" i="21"/>
  <c r="R119" i="21"/>
  <c r="Q119" i="21"/>
  <c r="U118" i="21"/>
  <c r="T118" i="21"/>
  <c r="S118" i="21"/>
  <c r="R118" i="21"/>
  <c r="Q118" i="21"/>
  <c r="U117" i="21"/>
  <c r="T117" i="21"/>
  <c r="S117" i="21"/>
  <c r="R117" i="21"/>
  <c r="Q117" i="21"/>
  <c r="U116" i="21"/>
  <c r="T116" i="21"/>
  <c r="S116" i="21"/>
  <c r="R116" i="21"/>
  <c r="Q116" i="21"/>
  <c r="U115" i="21"/>
  <c r="T115" i="21"/>
  <c r="S115" i="21"/>
  <c r="R115" i="21"/>
  <c r="Q115" i="21"/>
  <c r="U114" i="21"/>
  <c r="T114" i="21"/>
  <c r="S114" i="21"/>
  <c r="R114" i="21"/>
  <c r="Q114" i="21"/>
  <c r="U113" i="21"/>
  <c r="T113" i="21"/>
  <c r="S113" i="21"/>
  <c r="R113" i="21"/>
  <c r="Q113" i="21"/>
  <c r="U112" i="21"/>
  <c r="T112" i="21"/>
  <c r="S112" i="21"/>
  <c r="R112" i="21"/>
  <c r="Q112" i="21"/>
  <c r="U111" i="21"/>
  <c r="T111" i="21"/>
  <c r="S111" i="21"/>
  <c r="R111" i="21"/>
  <c r="Q111" i="21"/>
  <c r="U110" i="21"/>
  <c r="T110" i="21"/>
  <c r="S110" i="21"/>
  <c r="R110" i="21"/>
  <c r="Q110" i="21"/>
  <c r="U109" i="21"/>
  <c r="T109" i="21"/>
  <c r="S109" i="21"/>
  <c r="R109" i="21"/>
  <c r="Q109" i="21"/>
  <c r="U108" i="21"/>
  <c r="T108" i="21"/>
  <c r="S108" i="21"/>
  <c r="R108" i="21"/>
  <c r="Q108" i="21"/>
  <c r="U107" i="21"/>
  <c r="T107" i="21"/>
  <c r="S107" i="21"/>
  <c r="R107" i="21"/>
  <c r="Q107" i="21"/>
  <c r="U106" i="21"/>
  <c r="T106" i="21"/>
  <c r="S106" i="21"/>
  <c r="R106" i="21"/>
  <c r="Q106" i="21"/>
  <c r="U105" i="21"/>
  <c r="T105" i="21"/>
  <c r="S105" i="21"/>
  <c r="R105" i="21"/>
  <c r="Q105" i="21"/>
  <c r="U104" i="21"/>
  <c r="T104" i="21"/>
  <c r="S104" i="21"/>
  <c r="R104" i="21"/>
  <c r="Q104" i="21"/>
  <c r="U103" i="21"/>
  <c r="T103" i="21"/>
  <c r="S103" i="21"/>
  <c r="R103" i="21"/>
  <c r="Q103" i="21"/>
  <c r="U102" i="21"/>
  <c r="T102" i="21"/>
  <c r="S102" i="21"/>
  <c r="R102" i="21"/>
  <c r="Q102" i="21"/>
  <c r="U101" i="21"/>
  <c r="T101" i="21"/>
  <c r="S101" i="21"/>
  <c r="R101" i="21"/>
  <c r="Q101" i="21"/>
  <c r="U100" i="21"/>
  <c r="T100" i="21"/>
  <c r="S100" i="21"/>
  <c r="R100" i="21"/>
  <c r="Q100" i="21"/>
  <c r="U99" i="21"/>
  <c r="T99" i="21"/>
  <c r="S99" i="21"/>
  <c r="R99" i="21"/>
  <c r="Q99" i="21"/>
  <c r="U98" i="21"/>
  <c r="T98" i="21"/>
  <c r="S98" i="21"/>
  <c r="R98" i="21"/>
  <c r="Q98" i="21"/>
  <c r="U97" i="21"/>
  <c r="T97" i="21"/>
  <c r="S97" i="21"/>
  <c r="R97" i="21"/>
  <c r="Q97" i="21"/>
  <c r="U96" i="21"/>
  <c r="T96" i="21"/>
  <c r="S96" i="21"/>
  <c r="R96" i="21"/>
  <c r="Q96" i="21"/>
  <c r="U95" i="21"/>
  <c r="T95" i="21"/>
  <c r="S95" i="21"/>
  <c r="R95" i="21"/>
  <c r="Q95" i="21"/>
  <c r="U94" i="21"/>
  <c r="T94" i="21"/>
  <c r="S94" i="21"/>
  <c r="R94" i="21"/>
  <c r="Q94" i="21"/>
  <c r="U93" i="21"/>
  <c r="T93" i="21"/>
  <c r="S93" i="21"/>
  <c r="R93" i="21"/>
  <c r="Q93" i="21"/>
  <c r="U92" i="21"/>
  <c r="T92" i="21"/>
  <c r="S92" i="21"/>
  <c r="R92" i="21"/>
  <c r="Q92" i="21"/>
  <c r="U91" i="21"/>
  <c r="T91" i="21"/>
  <c r="S91" i="21"/>
  <c r="R91" i="21"/>
  <c r="Q91" i="21"/>
  <c r="U90" i="21"/>
  <c r="T90" i="21"/>
  <c r="S90" i="21"/>
  <c r="R90" i="21"/>
  <c r="Q90" i="21"/>
  <c r="U89" i="21"/>
  <c r="T89" i="21"/>
  <c r="S89" i="21"/>
  <c r="R89" i="21"/>
  <c r="Q89" i="21"/>
  <c r="U88" i="21"/>
  <c r="T88" i="21"/>
  <c r="S88" i="21"/>
  <c r="R88" i="21"/>
  <c r="Q88" i="21"/>
  <c r="U87" i="21"/>
  <c r="T87" i="21"/>
  <c r="S87" i="21"/>
  <c r="R87" i="21"/>
  <c r="Q87" i="21"/>
  <c r="U86" i="21"/>
  <c r="T86" i="21"/>
  <c r="S86" i="21"/>
  <c r="R86" i="21"/>
  <c r="Q86" i="21"/>
  <c r="U85" i="21"/>
  <c r="T85" i="21"/>
  <c r="S85" i="21"/>
  <c r="R85" i="21"/>
  <c r="Q85" i="21"/>
  <c r="U84" i="21"/>
  <c r="T84" i="21"/>
  <c r="S84" i="21"/>
  <c r="R84" i="21"/>
  <c r="Q84" i="21"/>
  <c r="U83" i="21"/>
  <c r="T83" i="21"/>
  <c r="S83" i="21"/>
  <c r="R83" i="21"/>
  <c r="Q83" i="21"/>
  <c r="U82" i="21"/>
  <c r="T82" i="21"/>
  <c r="S82" i="21"/>
  <c r="R82" i="21"/>
  <c r="Q82" i="21"/>
  <c r="U81" i="21"/>
  <c r="T81" i="21"/>
  <c r="S81" i="21"/>
  <c r="R81" i="21"/>
  <c r="Q81" i="21"/>
  <c r="U80" i="21"/>
  <c r="T80" i="21"/>
  <c r="S80" i="21"/>
  <c r="R80" i="21"/>
  <c r="Q80" i="21"/>
  <c r="U79" i="21"/>
  <c r="T79" i="21"/>
  <c r="S79" i="21"/>
  <c r="R79" i="21"/>
  <c r="Q79" i="21"/>
  <c r="U78" i="21"/>
  <c r="T78" i="21"/>
  <c r="S78" i="21"/>
  <c r="R78" i="21"/>
  <c r="Q78" i="21"/>
  <c r="U77" i="21"/>
  <c r="T77" i="21"/>
  <c r="S77" i="21"/>
  <c r="R77" i="21"/>
  <c r="Q77" i="21"/>
  <c r="U76" i="21"/>
  <c r="T76" i="21"/>
  <c r="S76" i="21"/>
  <c r="R76" i="21"/>
  <c r="Q76" i="21"/>
  <c r="U75" i="21"/>
  <c r="T75" i="21"/>
  <c r="S75" i="21"/>
  <c r="R75" i="21"/>
  <c r="Q75" i="21"/>
  <c r="U74" i="21"/>
  <c r="T74" i="21"/>
  <c r="S74" i="21"/>
  <c r="R74" i="21"/>
  <c r="Q74" i="21"/>
  <c r="U73" i="21"/>
  <c r="T73" i="21"/>
  <c r="S73" i="21"/>
  <c r="R73" i="21"/>
  <c r="Q73" i="21"/>
  <c r="U72" i="21"/>
  <c r="T72" i="21"/>
  <c r="S72" i="21"/>
  <c r="R72" i="21"/>
  <c r="Q72" i="21"/>
  <c r="U71" i="21"/>
  <c r="T71" i="21"/>
  <c r="S71" i="21"/>
  <c r="R71" i="21"/>
  <c r="Q71" i="21"/>
  <c r="U70" i="21"/>
  <c r="T70" i="21"/>
  <c r="S70" i="21"/>
  <c r="R70" i="21"/>
  <c r="Q70" i="21"/>
  <c r="U69" i="21"/>
  <c r="T69" i="21"/>
  <c r="S69" i="21"/>
  <c r="R69" i="21"/>
  <c r="Q69" i="21"/>
  <c r="U68" i="21"/>
  <c r="T68" i="21"/>
  <c r="S68" i="21"/>
  <c r="R68" i="21"/>
  <c r="Q68" i="21"/>
  <c r="U67" i="21"/>
  <c r="T67" i="21"/>
  <c r="S67" i="21"/>
  <c r="R67" i="21"/>
  <c r="Q67" i="21"/>
  <c r="U66" i="21"/>
  <c r="T66" i="21"/>
  <c r="S66" i="21"/>
  <c r="R66" i="21"/>
  <c r="Q66" i="21"/>
  <c r="U65" i="21"/>
  <c r="T65" i="21"/>
  <c r="S65" i="21"/>
  <c r="R65" i="21"/>
  <c r="Q65" i="21"/>
  <c r="U64" i="21"/>
  <c r="T64" i="21"/>
  <c r="S64" i="21"/>
  <c r="R64" i="21"/>
  <c r="Q64" i="21"/>
  <c r="U63" i="21"/>
  <c r="T63" i="21"/>
  <c r="S63" i="21"/>
  <c r="R63" i="21"/>
  <c r="Q63" i="21"/>
  <c r="U62" i="21"/>
  <c r="T62" i="21"/>
  <c r="S62" i="21"/>
  <c r="R62" i="21"/>
  <c r="Q62" i="21"/>
  <c r="U61" i="21"/>
  <c r="T61" i="21"/>
  <c r="S61" i="21"/>
  <c r="R61" i="21"/>
  <c r="Q61" i="21"/>
  <c r="U60" i="21"/>
  <c r="T60" i="21"/>
  <c r="S60" i="21"/>
  <c r="R60" i="21"/>
  <c r="Q60" i="21"/>
  <c r="U59" i="21"/>
  <c r="T59" i="21"/>
  <c r="S59" i="21"/>
  <c r="R59" i="21"/>
  <c r="Q59" i="21"/>
  <c r="U58" i="21"/>
  <c r="T58" i="21"/>
  <c r="S58" i="21"/>
  <c r="R58" i="21"/>
  <c r="Q58" i="21"/>
  <c r="U57" i="21"/>
  <c r="T57" i="21"/>
  <c r="S57" i="21"/>
  <c r="R57" i="21"/>
  <c r="Q57" i="21"/>
  <c r="U56" i="21"/>
  <c r="T56" i="21"/>
  <c r="S56" i="21"/>
  <c r="R56" i="21"/>
  <c r="Q56" i="21"/>
  <c r="U55" i="21"/>
  <c r="T55" i="21"/>
  <c r="S55" i="21"/>
  <c r="R55" i="21"/>
  <c r="Q55" i="21"/>
  <c r="U54" i="21"/>
  <c r="T54" i="21"/>
  <c r="S54" i="21"/>
  <c r="R54" i="21"/>
  <c r="Q54" i="21"/>
  <c r="U53" i="21"/>
  <c r="T53" i="21"/>
  <c r="S53" i="21"/>
  <c r="R53" i="21"/>
  <c r="Q53" i="21"/>
  <c r="U52" i="21"/>
  <c r="T52" i="21"/>
  <c r="S52" i="21"/>
  <c r="R52" i="21"/>
  <c r="Q52" i="21"/>
  <c r="U51" i="21"/>
  <c r="T51" i="21"/>
  <c r="S51" i="21"/>
  <c r="R51" i="21"/>
  <c r="Q51" i="21"/>
  <c r="U50" i="21"/>
  <c r="T50" i="21"/>
  <c r="S50" i="21"/>
  <c r="R50" i="21"/>
  <c r="Q50" i="21"/>
  <c r="U49" i="21"/>
  <c r="T49" i="21"/>
  <c r="S49" i="21"/>
  <c r="R49" i="21"/>
  <c r="Q49" i="21"/>
  <c r="U48" i="21"/>
  <c r="T48" i="21"/>
  <c r="S48" i="21"/>
  <c r="R48" i="21"/>
  <c r="Q48" i="21"/>
  <c r="U47" i="21"/>
  <c r="T47" i="21"/>
  <c r="S47" i="21"/>
  <c r="R47" i="21"/>
  <c r="Q47" i="21"/>
  <c r="U46" i="21"/>
  <c r="T46" i="21"/>
  <c r="S46" i="21"/>
  <c r="R46" i="21"/>
  <c r="Q46" i="21"/>
  <c r="U45" i="21"/>
  <c r="T45" i="21"/>
  <c r="S45" i="21"/>
  <c r="R45" i="21"/>
  <c r="Q45" i="21"/>
  <c r="U44" i="21"/>
  <c r="T44" i="21"/>
  <c r="S44" i="21"/>
  <c r="R44" i="21"/>
  <c r="Q44" i="21"/>
  <c r="U43" i="21"/>
  <c r="T43" i="21"/>
  <c r="S43" i="21"/>
  <c r="R43" i="21"/>
  <c r="Q43" i="21"/>
  <c r="U42" i="21"/>
  <c r="T42" i="21"/>
  <c r="S42" i="21"/>
  <c r="R42" i="21"/>
  <c r="Q42" i="21"/>
  <c r="U41" i="21"/>
  <c r="T41" i="21"/>
  <c r="S41" i="21"/>
  <c r="R41" i="21"/>
  <c r="Q41" i="21"/>
  <c r="U40" i="21"/>
  <c r="T40" i="21"/>
  <c r="S40" i="21"/>
  <c r="R40" i="21"/>
  <c r="Q40" i="21"/>
  <c r="U39" i="21"/>
  <c r="T39" i="21"/>
  <c r="S39" i="21"/>
  <c r="R39" i="21"/>
  <c r="Q39" i="21"/>
  <c r="U38" i="21"/>
  <c r="T38" i="21"/>
  <c r="S38" i="21"/>
  <c r="R38" i="21"/>
  <c r="Q38" i="21"/>
  <c r="U37" i="21"/>
  <c r="T37" i="21"/>
  <c r="S37" i="21"/>
  <c r="R37" i="21"/>
  <c r="Q37" i="21"/>
  <c r="U36" i="21"/>
  <c r="T36" i="21"/>
  <c r="S36" i="21"/>
  <c r="R36" i="21"/>
  <c r="Q36" i="21"/>
  <c r="U35" i="21"/>
  <c r="T35" i="21"/>
  <c r="S35" i="21"/>
  <c r="R35" i="21"/>
  <c r="Q35" i="21"/>
  <c r="U34" i="21"/>
  <c r="T34" i="21"/>
  <c r="S34" i="21"/>
  <c r="R34" i="21"/>
  <c r="Q34" i="21"/>
  <c r="U33" i="21"/>
  <c r="T33" i="21"/>
  <c r="S33" i="21"/>
  <c r="R33" i="21"/>
  <c r="Q33" i="21"/>
  <c r="U32" i="21"/>
  <c r="T32" i="21"/>
  <c r="S32" i="21"/>
  <c r="R32" i="21"/>
  <c r="Q32" i="21"/>
  <c r="U31" i="21"/>
  <c r="T31" i="21"/>
  <c r="S31" i="21"/>
  <c r="R31" i="21"/>
  <c r="Q31" i="21"/>
  <c r="U30" i="21"/>
  <c r="T30" i="21"/>
  <c r="S30" i="21"/>
  <c r="R30" i="21"/>
  <c r="Q30" i="21"/>
  <c r="U29" i="21"/>
  <c r="T29" i="21"/>
  <c r="S29" i="21"/>
  <c r="R29" i="21"/>
  <c r="Q29" i="21"/>
  <c r="U28" i="21"/>
  <c r="T28" i="21"/>
  <c r="S28" i="21"/>
  <c r="R28" i="21"/>
  <c r="Q28" i="21"/>
  <c r="U27" i="21"/>
  <c r="T27" i="21"/>
  <c r="S27" i="21"/>
  <c r="R27" i="21"/>
  <c r="Q27" i="21"/>
  <c r="U26" i="21"/>
  <c r="T26" i="21"/>
  <c r="S26" i="21"/>
  <c r="R26" i="21"/>
  <c r="Q26" i="21"/>
  <c r="U24" i="21"/>
  <c r="T24" i="21"/>
  <c r="S24" i="21"/>
  <c r="R24" i="21"/>
  <c r="Q24" i="21"/>
  <c r="U23" i="21"/>
  <c r="T23" i="21"/>
  <c r="S23" i="21"/>
  <c r="R23" i="21"/>
  <c r="Q23" i="21"/>
  <c r="U22" i="21"/>
  <c r="T22" i="21"/>
  <c r="S22" i="21"/>
  <c r="R22" i="21"/>
  <c r="Q22" i="21"/>
  <c r="U21" i="21"/>
  <c r="T21" i="21"/>
  <c r="S21" i="21"/>
  <c r="R21" i="21"/>
  <c r="Q21" i="21"/>
  <c r="U20" i="21"/>
  <c r="T20" i="21"/>
  <c r="S20" i="21"/>
  <c r="R20" i="21"/>
  <c r="Q20" i="21"/>
  <c r="U19" i="21"/>
  <c r="T19" i="21"/>
  <c r="S19" i="21"/>
  <c r="R19" i="21"/>
  <c r="Q19" i="21"/>
  <c r="U18" i="21"/>
  <c r="T18" i="21"/>
  <c r="S18" i="21"/>
  <c r="R18" i="21"/>
  <c r="Q18" i="21"/>
  <c r="U17" i="21"/>
  <c r="T17" i="21"/>
  <c r="S17" i="21"/>
  <c r="R17" i="21"/>
  <c r="Q17" i="21"/>
  <c r="AV52" i="9"/>
  <c r="AR52" i="9"/>
  <c r="AN52" i="9"/>
  <c r="AJ52" i="9"/>
  <c r="AF52" i="9"/>
  <c r="K24" i="10"/>
  <c r="K22" i="10"/>
  <c r="S75" i="9"/>
  <c r="H152" i="20"/>
  <c r="H151" i="20"/>
  <c r="H150" i="20"/>
  <c r="J151" i="20"/>
  <c r="J152" i="20" s="1"/>
  <c r="I151" i="20"/>
  <c r="K151" i="20" s="1"/>
  <c r="J150" i="20"/>
  <c r="K150" i="20" s="1"/>
  <c r="I150" i="20"/>
  <c r="G151" i="20"/>
  <c r="G150" i="20"/>
  <c r="G152" i="20" s="1"/>
  <c r="U208" i="19"/>
  <c r="T208" i="19"/>
  <c r="S208" i="19"/>
  <c r="R208" i="19"/>
  <c r="Q208" i="19"/>
  <c r="U207" i="19"/>
  <c r="T207" i="19"/>
  <c r="S207" i="19"/>
  <c r="R207" i="19"/>
  <c r="Q207" i="19"/>
  <c r="U206" i="19"/>
  <c r="T206" i="19"/>
  <c r="S206" i="19"/>
  <c r="R206" i="19"/>
  <c r="Q206" i="19"/>
  <c r="U205" i="19"/>
  <c r="T205" i="19"/>
  <c r="S205" i="19"/>
  <c r="R205" i="19"/>
  <c r="Q205" i="19"/>
  <c r="U204" i="19"/>
  <c r="T204" i="19"/>
  <c r="S204" i="19"/>
  <c r="R204" i="19"/>
  <c r="Q204" i="19"/>
  <c r="U203" i="19"/>
  <c r="T203" i="19"/>
  <c r="S203" i="19"/>
  <c r="R203" i="19"/>
  <c r="Q203" i="19"/>
  <c r="U202" i="19"/>
  <c r="T202" i="19"/>
  <c r="S202" i="19"/>
  <c r="R202" i="19"/>
  <c r="Q202" i="19"/>
  <c r="U201" i="19"/>
  <c r="T201" i="19"/>
  <c r="S201" i="19"/>
  <c r="R201" i="19"/>
  <c r="Q201" i="19"/>
  <c r="U200" i="19"/>
  <c r="T200" i="19"/>
  <c r="S200" i="19"/>
  <c r="R200" i="19"/>
  <c r="Q200" i="19"/>
  <c r="U199" i="19"/>
  <c r="T199" i="19"/>
  <c r="S199" i="19"/>
  <c r="R199" i="19"/>
  <c r="Q199" i="19"/>
  <c r="U198" i="19"/>
  <c r="T198" i="19"/>
  <c r="S198" i="19"/>
  <c r="R198" i="19"/>
  <c r="Q198" i="19"/>
  <c r="U197" i="19"/>
  <c r="T197" i="19"/>
  <c r="S197" i="19"/>
  <c r="R197" i="19"/>
  <c r="Q197" i="19"/>
  <c r="U196" i="19"/>
  <c r="T196" i="19"/>
  <c r="S196" i="19"/>
  <c r="R196" i="19"/>
  <c r="Q196" i="19"/>
  <c r="U195" i="19"/>
  <c r="T195" i="19"/>
  <c r="S195" i="19"/>
  <c r="R195" i="19"/>
  <c r="Q195" i="19"/>
  <c r="U194" i="19"/>
  <c r="T194" i="19"/>
  <c r="S194" i="19"/>
  <c r="R194" i="19"/>
  <c r="Q194" i="19"/>
  <c r="U193" i="19"/>
  <c r="T193" i="19"/>
  <c r="S193" i="19"/>
  <c r="R193" i="19"/>
  <c r="Q193" i="19"/>
  <c r="U192" i="19"/>
  <c r="T192" i="19"/>
  <c r="S192" i="19"/>
  <c r="R192" i="19"/>
  <c r="Q192" i="19"/>
  <c r="U191" i="19"/>
  <c r="T191" i="19"/>
  <c r="S191" i="19"/>
  <c r="R191" i="19"/>
  <c r="Q191" i="19"/>
  <c r="U190" i="19"/>
  <c r="T190" i="19"/>
  <c r="S190" i="19"/>
  <c r="R190" i="19"/>
  <c r="Q190" i="19"/>
  <c r="U189" i="19"/>
  <c r="T189" i="19"/>
  <c r="S189" i="19"/>
  <c r="R189" i="19"/>
  <c r="Q189" i="19"/>
  <c r="U188" i="19"/>
  <c r="T188" i="19"/>
  <c r="S188" i="19"/>
  <c r="R188" i="19"/>
  <c r="Q188" i="19"/>
  <c r="U187" i="19"/>
  <c r="T187" i="19"/>
  <c r="S187" i="19"/>
  <c r="R187" i="19"/>
  <c r="Q187" i="19"/>
  <c r="U186" i="19"/>
  <c r="T186" i="19"/>
  <c r="S186" i="19"/>
  <c r="R186" i="19"/>
  <c r="Q186" i="19"/>
  <c r="U185" i="19"/>
  <c r="T185" i="19"/>
  <c r="S185" i="19"/>
  <c r="R185" i="19"/>
  <c r="Q185" i="19"/>
  <c r="U184" i="19"/>
  <c r="T184" i="19"/>
  <c r="S184" i="19"/>
  <c r="R184" i="19"/>
  <c r="Q184" i="19"/>
  <c r="U183" i="19"/>
  <c r="T183" i="19"/>
  <c r="S183" i="19"/>
  <c r="R183" i="19"/>
  <c r="Q183" i="19"/>
  <c r="U182" i="19"/>
  <c r="T182" i="19"/>
  <c r="S182" i="19"/>
  <c r="R182" i="19"/>
  <c r="Q182" i="19"/>
  <c r="U181" i="19"/>
  <c r="T181" i="19"/>
  <c r="S181" i="19"/>
  <c r="R181" i="19"/>
  <c r="Q181" i="19"/>
  <c r="U180" i="19"/>
  <c r="T180" i="19"/>
  <c r="S180" i="19"/>
  <c r="R180" i="19"/>
  <c r="Q180" i="19"/>
  <c r="U179" i="19"/>
  <c r="T179" i="19"/>
  <c r="S179" i="19"/>
  <c r="R179" i="19"/>
  <c r="Q179" i="19"/>
  <c r="U178" i="19"/>
  <c r="T178" i="19"/>
  <c r="S178" i="19"/>
  <c r="R178" i="19"/>
  <c r="Q178" i="19"/>
  <c r="U177" i="19"/>
  <c r="T177" i="19"/>
  <c r="S177" i="19"/>
  <c r="R177" i="19"/>
  <c r="Q177" i="19"/>
  <c r="U176" i="19"/>
  <c r="T176" i="19"/>
  <c r="S176" i="19"/>
  <c r="R176" i="19"/>
  <c r="Q176" i="19"/>
  <c r="U175" i="19"/>
  <c r="T175" i="19"/>
  <c r="S175" i="19"/>
  <c r="R175" i="19"/>
  <c r="Q175" i="19"/>
  <c r="U174" i="19"/>
  <c r="T174" i="19"/>
  <c r="S174" i="19"/>
  <c r="R174" i="19"/>
  <c r="Q174" i="19"/>
  <c r="U173" i="19"/>
  <c r="T173" i="19"/>
  <c r="S173" i="19"/>
  <c r="R173" i="19"/>
  <c r="Q173" i="19"/>
  <c r="U172" i="19"/>
  <c r="T172" i="19"/>
  <c r="S172" i="19"/>
  <c r="R172" i="19"/>
  <c r="Q172" i="19"/>
  <c r="U171" i="19"/>
  <c r="T171" i="19"/>
  <c r="S171" i="19"/>
  <c r="R171" i="19"/>
  <c r="Q171" i="19"/>
  <c r="U170" i="19"/>
  <c r="T170" i="19"/>
  <c r="S170" i="19"/>
  <c r="R170" i="19"/>
  <c r="Q170" i="19"/>
  <c r="U169" i="19"/>
  <c r="T169" i="19"/>
  <c r="S169" i="19"/>
  <c r="R169" i="19"/>
  <c r="Q169" i="19"/>
  <c r="U168" i="19"/>
  <c r="T168" i="19"/>
  <c r="S168" i="19"/>
  <c r="R168" i="19"/>
  <c r="Q168" i="19"/>
  <c r="U167" i="19"/>
  <c r="T167" i="19"/>
  <c r="S167" i="19"/>
  <c r="R167" i="19"/>
  <c r="Q167" i="19"/>
  <c r="U166" i="19"/>
  <c r="T166" i="19"/>
  <c r="S166" i="19"/>
  <c r="R166" i="19"/>
  <c r="Q166" i="19"/>
  <c r="U165" i="19"/>
  <c r="T165" i="19"/>
  <c r="S165" i="19"/>
  <c r="R165" i="19"/>
  <c r="Q165" i="19"/>
  <c r="U164" i="19"/>
  <c r="T164" i="19"/>
  <c r="S164" i="19"/>
  <c r="R164" i="19"/>
  <c r="Q164" i="19"/>
  <c r="U163" i="19"/>
  <c r="T163" i="19"/>
  <c r="S163" i="19"/>
  <c r="R163" i="19"/>
  <c r="Q163" i="19"/>
  <c r="U162" i="19"/>
  <c r="T162" i="19"/>
  <c r="S162" i="19"/>
  <c r="R162" i="19"/>
  <c r="Q162" i="19"/>
  <c r="U161" i="19"/>
  <c r="T161" i="19"/>
  <c r="S161" i="19"/>
  <c r="R161" i="19"/>
  <c r="Q161" i="19"/>
  <c r="U160" i="19"/>
  <c r="T160" i="19"/>
  <c r="S160" i="19"/>
  <c r="R160" i="19"/>
  <c r="Q160" i="19"/>
  <c r="U159" i="19"/>
  <c r="T159" i="19"/>
  <c r="S159" i="19"/>
  <c r="R159" i="19"/>
  <c r="Q159" i="19"/>
  <c r="U158" i="19"/>
  <c r="T158" i="19"/>
  <c r="S158" i="19"/>
  <c r="R158" i="19"/>
  <c r="Q158" i="19"/>
  <c r="U157" i="19"/>
  <c r="T157" i="19"/>
  <c r="S157" i="19"/>
  <c r="R157" i="19"/>
  <c r="Q157" i="19"/>
  <c r="U156" i="19"/>
  <c r="T156" i="19"/>
  <c r="S156" i="19"/>
  <c r="R156" i="19"/>
  <c r="Q156" i="19"/>
  <c r="U155" i="19"/>
  <c r="T155" i="19"/>
  <c r="S155" i="19"/>
  <c r="R155" i="19"/>
  <c r="Q155" i="19"/>
  <c r="U154" i="19"/>
  <c r="T154" i="19"/>
  <c r="S154" i="19"/>
  <c r="R154" i="19"/>
  <c r="Q154" i="19"/>
  <c r="U153" i="19"/>
  <c r="T153" i="19"/>
  <c r="S153" i="19"/>
  <c r="R153" i="19"/>
  <c r="Q153" i="19"/>
  <c r="U152" i="19"/>
  <c r="T152" i="19"/>
  <c r="S152" i="19"/>
  <c r="R152" i="19"/>
  <c r="Q152" i="19"/>
  <c r="U151" i="19"/>
  <c r="T151" i="19"/>
  <c r="S151" i="19"/>
  <c r="R151" i="19"/>
  <c r="Q151" i="19"/>
  <c r="U150" i="19"/>
  <c r="T150" i="19"/>
  <c r="S150" i="19"/>
  <c r="R150" i="19"/>
  <c r="Q150" i="19"/>
  <c r="U149" i="19"/>
  <c r="T149" i="19"/>
  <c r="S149" i="19"/>
  <c r="R149" i="19"/>
  <c r="Q149" i="19"/>
  <c r="U148" i="19"/>
  <c r="T148" i="19"/>
  <c r="S148" i="19"/>
  <c r="R148" i="19"/>
  <c r="Q148" i="19"/>
  <c r="U147" i="19"/>
  <c r="T147" i="19"/>
  <c r="S147" i="19"/>
  <c r="R147" i="19"/>
  <c r="Q147" i="19"/>
  <c r="U146" i="19"/>
  <c r="T146" i="19"/>
  <c r="S146" i="19"/>
  <c r="R146" i="19"/>
  <c r="Q146" i="19"/>
  <c r="U145" i="19"/>
  <c r="T145" i="19"/>
  <c r="S145" i="19"/>
  <c r="R145" i="19"/>
  <c r="Q145" i="19"/>
  <c r="U144" i="19"/>
  <c r="T144" i="19"/>
  <c r="S144" i="19"/>
  <c r="R144" i="19"/>
  <c r="Q144" i="19"/>
  <c r="U143" i="19"/>
  <c r="T143" i="19"/>
  <c r="S143" i="19"/>
  <c r="R143" i="19"/>
  <c r="Q143" i="19"/>
  <c r="U142" i="19"/>
  <c r="T142" i="19"/>
  <c r="S142" i="19"/>
  <c r="R142" i="19"/>
  <c r="Q142" i="19"/>
  <c r="U141" i="19"/>
  <c r="T141" i="19"/>
  <c r="S141" i="19"/>
  <c r="R141" i="19"/>
  <c r="Q141" i="19"/>
  <c r="U140" i="19"/>
  <c r="T140" i="19"/>
  <c r="S140" i="19"/>
  <c r="R140" i="19"/>
  <c r="Q140" i="19"/>
  <c r="U139" i="19"/>
  <c r="T139" i="19"/>
  <c r="S139" i="19"/>
  <c r="R139" i="19"/>
  <c r="Q139" i="19"/>
  <c r="U138" i="19"/>
  <c r="T138" i="19"/>
  <c r="S138" i="19"/>
  <c r="R138" i="19"/>
  <c r="Q138" i="19"/>
  <c r="U137" i="19"/>
  <c r="T137" i="19"/>
  <c r="S137" i="19"/>
  <c r="R137" i="19"/>
  <c r="Q137" i="19"/>
  <c r="U136" i="19"/>
  <c r="T136" i="19"/>
  <c r="S136" i="19"/>
  <c r="R136" i="19"/>
  <c r="Q136" i="19"/>
  <c r="U135" i="19"/>
  <c r="T135" i="19"/>
  <c r="S135" i="19"/>
  <c r="R135" i="19"/>
  <c r="Q135" i="19"/>
  <c r="U134" i="19"/>
  <c r="T134" i="19"/>
  <c r="S134" i="19"/>
  <c r="R134" i="19"/>
  <c r="Q134" i="19"/>
  <c r="U133" i="19"/>
  <c r="T133" i="19"/>
  <c r="S133" i="19"/>
  <c r="R133" i="19"/>
  <c r="Q133" i="19"/>
  <c r="U132" i="19"/>
  <c r="T132" i="19"/>
  <c r="S132" i="19"/>
  <c r="R132" i="19"/>
  <c r="Q132" i="19"/>
  <c r="U131" i="19"/>
  <c r="T131" i="19"/>
  <c r="S131" i="19"/>
  <c r="R131" i="19"/>
  <c r="Q131" i="19"/>
  <c r="U130" i="19"/>
  <c r="T130" i="19"/>
  <c r="S130" i="19"/>
  <c r="R130" i="19"/>
  <c r="Q130" i="19"/>
  <c r="U129" i="19"/>
  <c r="T129" i="19"/>
  <c r="S129" i="19"/>
  <c r="R129" i="19"/>
  <c r="Q129" i="19"/>
  <c r="U128" i="19"/>
  <c r="T128" i="19"/>
  <c r="S128" i="19"/>
  <c r="R128" i="19"/>
  <c r="Q128" i="19"/>
  <c r="U127" i="19"/>
  <c r="T127" i="19"/>
  <c r="S127" i="19"/>
  <c r="R127" i="19"/>
  <c r="Q127" i="19"/>
  <c r="U126" i="19"/>
  <c r="T126" i="19"/>
  <c r="S126" i="19"/>
  <c r="R126" i="19"/>
  <c r="Q126" i="19"/>
  <c r="U125" i="19"/>
  <c r="T125" i="19"/>
  <c r="S125" i="19"/>
  <c r="R125" i="19"/>
  <c r="Q125" i="19"/>
  <c r="U124" i="19"/>
  <c r="T124" i="19"/>
  <c r="S124" i="19"/>
  <c r="R124" i="19"/>
  <c r="Q124" i="19"/>
  <c r="U123" i="19"/>
  <c r="T123" i="19"/>
  <c r="S123" i="19"/>
  <c r="R123" i="19"/>
  <c r="Q123" i="19"/>
  <c r="U122" i="19"/>
  <c r="T122" i="19"/>
  <c r="S122" i="19"/>
  <c r="R122" i="19"/>
  <c r="Q122" i="19"/>
  <c r="U121" i="19"/>
  <c r="T121" i="19"/>
  <c r="S121" i="19"/>
  <c r="R121" i="19"/>
  <c r="Q121" i="19"/>
  <c r="U120" i="19"/>
  <c r="T120" i="19"/>
  <c r="S120" i="19"/>
  <c r="R120" i="19"/>
  <c r="Q120" i="19"/>
  <c r="U119" i="19"/>
  <c r="T119" i="19"/>
  <c r="S119" i="19"/>
  <c r="R119" i="19"/>
  <c r="Q119" i="19"/>
  <c r="U118" i="19"/>
  <c r="T118" i="19"/>
  <c r="S118" i="19"/>
  <c r="R118" i="19"/>
  <c r="Q118" i="19"/>
  <c r="U117" i="19"/>
  <c r="T117" i="19"/>
  <c r="S117" i="19"/>
  <c r="R117" i="19"/>
  <c r="Q117" i="19"/>
  <c r="U116" i="19"/>
  <c r="T116" i="19"/>
  <c r="S116" i="19"/>
  <c r="R116" i="19"/>
  <c r="Q116" i="19"/>
  <c r="U115" i="19"/>
  <c r="T115" i="19"/>
  <c r="S115" i="19"/>
  <c r="R115" i="19"/>
  <c r="Q115" i="19"/>
  <c r="U114" i="19"/>
  <c r="T114" i="19"/>
  <c r="S114" i="19"/>
  <c r="R114" i="19"/>
  <c r="Q114" i="19"/>
  <c r="U113" i="19"/>
  <c r="T113" i="19"/>
  <c r="S113" i="19"/>
  <c r="R113" i="19"/>
  <c r="Q113" i="19"/>
  <c r="U112" i="19"/>
  <c r="T112" i="19"/>
  <c r="S112" i="19"/>
  <c r="R112" i="19"/>
  <c r="Q112" i="19"/>
  <c r="U111" i="19"/>
  <c r="T111" i="19"/>
  <c r="S111" i="19"/>
  <c r="R111" i="19"/>
  <c r="Q111" i="19"/>
  <c r="U110" i="19"/>
  <c r="T110" i="19"/>
  <c r="S110" i="19"/>
  <c r="R110" i="19"/>
  <c r="Q110" i="19"/>
  <c r="U109" i="19"/>
  <c r="T109" i="19"/>
  <c r="S109" i="19"/>
  <c r="R109" i="19"/>
  <c r="Q109" i="19"/>
  <c r="U108" i="19"/>
  <c r="T108" i="19"/>
  <c r="S108" i="19"/>
  <c r="R108" i="19"/>
  <c r="Q108" i="19"/>
  <c r="U107" i="19"/>
  <c r="T107" i="19"/>
  <c r="S107" i="19"/>
  <c r="R107" i="19"/>
  <c r="Q107" i="19"/>
  <c r="U106" i="19"/>
  <c r="T106" i="19"/>
  <c r="S106" i="19"/>
  <c r="R106" i="19"/>
  <c r="Q106" i="19"/>
  <c r="U105" i="19"/>
  <c r="T105" i="19"/>
  <c r="S105" i="19"/>
  <c r="R105" i="19"/>
  <c r="Q105" i="19"/>
  <c r="U104" i="19"/>
  <c r="T104" i="19"/>
  <c r="S104" i="19"/>
  <c r="R104" i="19"/>
  <c r="Q104" i="19"/>
  <c r="U103" i="19"/>
  <c r="T103" i="19"/>
  <c r="S103" i="19"/>
  <c r="R103" i="19"/>
  <c r="Q103" i="19"/>
  <c r="U102" i="19"/>
  <c r="T102" i="19"/>
  <c r="S102" i="19"/>
  <c r="R102" i="19"/>
  <c r="Q102" i="19"/>
  <c r="U101" i="19"/>
  <c r="T101" i="19"/>
  <c r="S101" i="19"/>
  <c r="R101" i="19"/>
  <c r="Q101" i="19"/>
  <c r="U100" i="19"/>
  <c r="T100" i="19"/>
  <c r="S100" i="19"/>
  <c r="R100" i="19"/>
  <c r="Q100" i="19"/>
  <c r="U99" i="19"/>
  <c r="T99" i="19"/>
  <c r="S99" i="19"/>
  <c r="R99" i="19"/>
  <c r="Q99" i="19"/>
  <c r="U98" i="19"/>
  <c r="T98" i="19"/>
  <c r="S98" i="19"/>
  <c r="R98" i="19"/>
  <c r="Q98" i="19"/>
  <c r="U97" i="19"/>
  <c r="T97" i="19"/>
  <c r="S97" i="19"/>
  <c r="R97" i="19"/>
  <c r="Q97" i="19"/>
  <c r="U96" i="19"/>
  <c r="T96" i="19"/>
  <c r="S96" i="19"/>
  <c r="R96" i="19"/>
  <c r="Q96" i="19"/>
  <c r="U95" i="19"/>
  <c r="T95" i="19"/>
  <c r="S95" i="19"/>
  <c r="R95" i="19"/>
  <c r="Q95" i="19"/>
  <c r="U94" i="19"/>
  <c r="T94" i="19"/>
  <c r="S94" i="19"/>
  <c r="R94" i="19"/>
  <c r="Q94" i="19"/>
  <c r="U93" i="19"/>
  <c r="T93" i="19"/>
  <c r="S93" i="19"/>
  <c r="R93" i="19"/>
  <c r="Q93" i="19"/>
  <c r="U92" i="19"/>
  <c r="T92" i="19"/>
  <c r="S92" i="19"/>
  <c r="R92" i="19"/>
  <c r="Q92" i="19"/>
  <c r="U91" i="19"/>
  <c r="T91" i="19"/>
  <c r="S91" i="19"/>
  <c r="R91" i="19"/>
  <c r="Q91" i="19"/>
  <c r="U90" i="19"/>
  <c r="T90" i="19"/>
  <c r="S90" i="19"/>
  <c r="R90" i="19"/>
  <c r="Q90" i="19"/>
  <c r="U89" i="19"/>
  <c r="T89" i="19"/>
  <c r="S89" i="19"/>
  <c r="R89" i="19"/>
  <c r="Q89" i="19"/>
  <c r="U88" i="19"/>
  <c r="T88" i="19"/>
  <c r="S88" i="19"/>
  <c r="R88" i="19"/>
  <c r="Q88" i="19"/>
  <c r="U87" i="19"/>
  <c r="T87" i="19"/>
  <c r="S87" i="19"/>
  <c r="R87" i="19"/>
  <c r="Q87" i="19"/>
  <c r="U86" i="19"/>
  <c r="T86" i="19"/>
  <c r="S86" i="19"/>
  <c r="R86" i="19"/>
  <c r="Q86" i="19"/>
  <c r="U85" i="19"/>
  <c r="T85" i="19"/>
  <c r="S85" i="19"/>
  <c r="R85" i="19"/>
  <c r="Q85" i="19"/>
  <c r="U84" i="19"/>
  <c r="T84" i="19"/>
  <c r="S84" i="19"/>
  <c r="R84" i="19"/>
  <c r="Q84" i="19"/>
  <c r="U83" i="19"/>
  <c r="T83" i="19"/>
  <c r="S83" i="19"/>
  <c r="R83" i="19"/>
  <c r="Q83" i="19"/>
  <c r="U82" i="19"/>
  <c r="T82" i="19"/>
  <c r="S82" i="19"/>
  <c r="R82" i="19"/>
  <c r="Q82" i="19"/>
  <c r="U81" i="19"/>
  <c r="T81" i="19"/>
  <c r="S81" i="19"/>
  <c r="R81" i="19"/>
  <c r="Q81" i="19"/>
  <c r="U80" i="19"/>
  <c r="T80" i="19"/>
  <c r="S80" i="19"/>
  <c r="R80" i="19"/>
  <c r="Q80" i="19"/>
  <c r="U79" i="19"/>
  <c r="T79" i="19"/>
  <c r="S79" i="19"/>
  <c r="R79" i="19"/>
  <c r="Q79" i="19"/>
  <c r="U78" i="19"/>
  <c r="T78" i="19"/>
  <c r="S78" i="19"/>
  <c r="R78" i="19"/>
  <c r="Q78" i="19"/>
  <c r="U77" i="19"/>
  <c r="T77" i="19"/>
  <c r="S77" i="19"/>
  <c r="R77" i="19"/>
  <c r="Q77" i="19"/>
  <c r="U76" i="19"/>
  <c r="T76" i="19"/>
  <c r="S76" i="19"/>
  <c r="R76" i="19"/>
  <c r="Q76" i="19"/>
  <c r="U75" i="19"/>
  <c r="T75" i="19"/>
  <c r="S75" i="19"/>
  <c r="R75" i="19"/>
  <c r="Q75" i="19"/>
  <c r="U74" i="19"/>
  <c r="T74" i="19"/>
  <c r="S74" i="19"/>
  <c r="R74" i="19"/>
  <c r="Q74" i="19"/>
  <c r="U73" i="19"/>
  <c r="T73" i="19"/>
  <c r="S73" i="19"/>
  <c r="R73" i="19"/>
  <c r="Q73" i="19"/>
  <c r="U72" i="19"/>
  <c r="T72" i="19"/>
  <c r="S72" i="19"/>
  <c r="R72" i="19"/>
  <c r="Q72" i="19"/>
  <c r="U71" i="19"/>
  <c r="T71" i="19"/>
  <c r="S71" i="19"/>
  <c r="R71" i="19"/>
  <c r="Q71" i="19"/>
  <c r="U70" i="19"/>
  <c r="T70" i="19"/>
  <c r="S70" i="19"/>
  <c r="R70" i="19"/>
  <c r="Q70" i="19"/>
  <c r="U69" i="19"/>
  <c r="T69" i="19"/>
  <c r="S69" i="19"/>
  <c r="R69" i="19"/>
  <c r="Q69" i="19"/>
  <c r="U68" i="19"/>
  <c r="T68" i="19"/>
  <c r="S68" i="19"/>
  <c r="R68" i="19"/>
  <c r="Q68" i="19"/>
  <c r="U67" i="19"/>
  <c r="T67" i="19"/>
  <c r="S67" i="19"/>
  <c r="R67" i="19"/>
  <c r="Q67" i="19"/>
  <c r="U66" i="19"/>
  <c r="T66" i="19"/>
  <c r="S66" i="19"/>
  <c r="R66" i="19"/>
  <c r="Q66" i="19"/>
  <c r="U65" i="19"/>
  <c r="T65" i="19"/>
  <c r="S65" i="19"/>
  <c r="R65" i="19"/>
  <c r="Q65" i="19"/>
  <c r="U64" i="19"/>
  <c r="T64" i="19"/>
  <c r="S64" i="19"/>
  <c r="R64" i="19"/>
  <c r="Q64" i="19"/>
  <c r="U63" i="19"/>
  <c r="T63" i="19"/>
  <c r="S63" i="19"/>
  <c r="R63" i="19"/>
  <c r="Q63" i="19"/>
  <c r="U62" i="19"/>
  <c r="T62" i="19"/>
  <c r="S62" i="19"/>
  <c r="R62" i="19"/>
  <c r="Q62" i="19"/>
  <c r="U61" i="19"/>
  <c r="T61" i="19"/>
  <c r="S61" i="19"/>
  <c r="R61" i="19"/>
  <c r="Q61" i="19"/>
  <c r="U60" i="19"/>
  <c r="T60" i="19"/>
  <c r="S60" i="19"/>
  <c r="R60" i="19"/>
  <c r="Q60" i="19"/>
  <c r="U59" i="19"/>
  <c r="T59" i="19"/>
  <c r="S59" i="19"/>
  <c r="R59" i="19"/>
  <c r="Q59" i="19"/>
  <c r="U58" i="19"/>
  <c r="T58" i="19"/>
  <c r="S58" i="19"/>
  <c r="R58" i="19"/>
  <c r="Q58" i="19"/>
  <c r="U57" i="19"/>
  <c r="T57" i="19"/>
  <c r="S57" i="19"/>
  <c r="R57" i="19"/>
  <c r="Q57" i="19"/>
  <c r="U56" i="19"/>
  <c r="T56" i="19"/>
  <c r="S56" i="19"/>
  <c r="R56" i="19"/>
  <c r="Q56" i="19"/>
  <c r="U55" i="19"/>
  <c r="T55" i="19"/>
  <c r="S55" i="19"/>
  <c r="R55" i="19"/>
  <c r="Q55" i="19"/>
  <c r="U54" i="19"/>
  <c r="T54" i="19"/>
  <c r="S54" i="19"/>
  <c r="R54" i="19"/>
  <c r="Q54" i="19"/>
  <c r="U53" i="19"/>
  <c r="T53" i="19"/>
  <c r="S53" i="19"/>
  <c r="R53" i="19"/>
  <c r="Q53" i="19"/>
  <c r="U52" i="19"/>
  <c r="T52" i="19"/>
  <c r="S52" i="19"/>
  <c r="R52" i="19"/>
  <c r="Q52" i="19"/>
  <c r="U51" i="19"/>
  <c r="T51" i="19"/>
  <c r="S51" i="19"/>
  <c r="R51" i="19"/>
  <c r="Q51" i="19"/>
  <c r="U50" i="19"/>
  <c r="T50" i="19"/>
  <c r="S50" i="19"/>
  <c r="R50" i="19"/>
  <c r="Q50" i="19"/>
  <c r="U49" i="19"/>
  <c r="T49" i="19"/>
  <c r="S49" i="19"/>
  <c r="R49" i="19"/>
  <c r="Q49" i="19"/>
  <c r="U48" i="19"/>
  <c r="T48" i="19"/>
  <c r="S48" i="19"/>
  <c r="R48" i="19"/>
  <c r="Q48" i="19"/>
  <c r="U47" i="19"/>
  <c r="T47" i="19"/>
  <c r="S47" i="19"/>
  <c r="R47" i="19"/>
  <c r="Q47" i="19"/>
  <c r="U46" i="19"/>
  <c r="T46" i="19"/>
  <c r="S46" i="19"/>
  <c r="R46" i="19"/>
  <c r="Q46" i="19"/>
  <c r="U45" i="19"/>
  <c r="T45" i="19"/>
  <c r="S45" i="19"/>
  <c r="R45" i="19"/>
  <c r="Q45" i="19"/>
  <c r="U44" i="19"/>
  <c r="T44" i="19"/>
  <c r="S44" i="19"/>
  <c r="R44" i="19"/>
  <c r="Q44" i="19"/>
  <c r="U43" i="19"/>
  <c r="T43" i="19"/>
  <c r="S43" i="19"/>
  <c r="R43" i="19"/>
  <c r="Q43" i="19"/>
  <c r="U42" i="19"/>
  <c r="T42" i="19"/>
  <c r="S42" i="19"/>
  <c r="R42" i="19"/>
  <c r="Q42" i="19"/>
  <c r="U41" i="19"/>
  <c r="T41" i="19"/>
  <c r="S41" i="19"/>
  <c r="R41" i="19"/>
  <c r="Q41" i="19"/>
  <c r="U40" i="19"/>
  <c r="T40" i="19"/>
  <c r="S40" i="19"/>
  <c r="R40" i="19"/>
  <c r="Q40" i="19"/>
  <c r="U39" i="19"/>
  <c r="T39" i="19"/>
  <c r="S39" i="19"/>
  <c r="R39" i="19"/>
  <c r="Q39" i="19"/>
  <c r="U38" i="19"/>
  <c r="T38" i="19"/>
  <c r="S38" i="19"/>
  <c r="R38" i="19"/>
  <c r="Q38" i="19"/>
  <c r="U37" i="19"/>
  <c r="T37" i="19"/>
  <c r="S37" i="19"/>
  <c r="R37" i="19"/>
  <c r="Q37" i="19"/>
  <c r="U36" i="19"/>
  <c r="T36" i="19"/>
  <c r="S36" i="19"/>
  <c r="R36" i="19"/>
  <c r="Q36" i="19"/>
  <c r="U35" i="19"/>
  <c r="T35" i="19"/>
  <c r="S35" i="19"/>
  <c r="R35" i="19"/>
  <c r="Q35" i="19"/>
  <c r="U34" i="19"/>
  <c r="T34" i="19"/>
  <c r="S34" i="19"/>
  <c r="R34" i="19"/>
  <c r="Q34" i="19"/>
  <c r="U33" i="19"/>
  <c r="T33" i="19"/>
  <c r="S33" i="19"/>
  <c r="R33" i="19"/>
  <c r="Q33" i="19"/>
  <c r="U32" i="19"/>
  <c r="T32" i="19"/>
  <c r="S32" i="19"/>
  <c r="R32" i="19"/>
  <c r="Q32" i="19"/>
  <c r="U31" i="19"/>
  <c r="T31" i="19"/>
  <c r="S31" i="19"/>
  <c r="R31" i="19"/>
  <c r="Q31" i="19"/>
  <c r="U30" i="19"/>
  <c r="T30" i="19"/>
  <c r="S30" i="19"/>
  <c r="R30" i="19"/>
  <c r="Q30" i="19"/>
  <c r="U29" i="19"/>
  <c r="T29" i="19"/>
  <c r="S29" i="19"/>
  <c r="R29" i="19"/>
  <c r="Q29" i="19"/>
  <c r="U28" i="19"/>
  <c r="T28" i="19"/>
  <c r="S28" i="19"/>
  <c r="R28" i="19"/>
  <c r="Q28" i="19"/>
  <c r="U27" i="19"/>
  <c r="T27" i="19"/>
  <c r="S27" i="19"/>
  <c r="R27" i="19"/>
  <c r="Q27" i="19"/>
  <c r="U26" i="19"/>
  <c r="T26" i="19"/>
  <c r="S26" i="19"/>
  <c r="R26" i="19"/>
  <c r="Q26" i="19"/>
  <c r="U25" i="19"/>
  <c r="T25" i="19"/>
  <c r="S25" i="19"/>
  <c r="R25" i="19"/>
  <c r="Q25" i="19"/>
  <c r="U24" i="19"/>
  <c r="T24" i="19"/>
  <c r="S24" i="19"/>
  <c r="R24" i="19"/>
  <c r="Q24" i="19"/>
  <c r="U23" i="19"/>
  <c r="T23" i="19"/>
  <c r="S23" i="19"/>
  <c r="R23" i="19"/>
  <c r="Q23" i="19"/>
  <c r="U22" i="19"/>
  <c r="T22" i="19"/>
  <c r="S22" i="19"/>
  <c r="R22" i="19"/>
  <c r="Q22" i="19"/>
  <c r="U21" i="19"/>
  <c r="T21" i="19"/>
  <c r="S21" i="19"/>
  <c r="R21" i="19"/>
  <c r="Q21" i="19"/>
  <c r="U20" i="19"/>
  <c r="T20" i="19"/>
  <c r="S20" i="19"/>
  <c r="R20" i="19"/>
  <c r="Q20" i="19"/>
  <c r="U19" i="19"/>
  <c r="T19" i="19"/>
  <c r="S19" i="19"/>
  <c r="R19" i="19"/>
  <c r="Q19" i="19"/>
  <c r="U18" i="19"/>
  <c r="T18" i="19"/>
  <c r="S18" i="19"/>
  <c r="R18" i="19"/>
  <c r="Q18" i="19"/>
  <c r="U17" i="19"/>
  <c r="T17" i="19"/>
  <c r="S17" i="19"/>
  <c r="R17" i="19"/>
  <c r="Q17" i="19"/>
  <c r="AH62" i="9"/>
  <c r="AA43" i="9" s="1"/>
  <c r="AG57" i="9"/>
  <c r="Z42" i="9" s="1"/>
  <c r="AR45" i="9"/>
  <c r="AR44" i="9"/>
  <c r="AX62" i="9"/>
  <c r="AT62" i="9"/>
  <c r="AP62" i="9"/>
  <c r="AL62" i="9"/>
  <c r="AW57" i="9"/>
  <c r="AV54" i="9"/>
  <c r="AX54" i="9" s="1"/>
  <c r="AV53" i="9"/>
  <c r="AX53" i="9" s="1"/>
  <c r="AX52" i="9"/>
  <c r="AV51" i="9"/>
  <c r="AX51" i="9" s="1"/>
  <c r="AV50" i="9"/>
  <c r="AX50" i="9" s="1"/>
  <c r="AV49" i="9"/>
  <c r="AX49" i="9" s="1"/>
  <c r="AS57" i="9"/>
  <c r="AR55" i="9"/>
  <c r="AT55" i="9" s="1"/>
  <c r="AR54" i="9"/>
  <c r="AT54" i="9" s="1"/>
  <c r="AR53" i="9"/>
  <c r="AT53" i="9" s="1"/>
  <c r="AT52" i="9"/>
  <c r="AR51" i="9"/>
  <c r="AT51" i="9" s="1"/>
  <c r="AR50" i="9"/>
  <c r="AT50" i="9" s="1"/>
  <c r="AR49" i="9"/>
  <c r="AT49" i="9" s="1"/>
  <c r="AO57" i="9"/>
  <c r="AN55" i="9"/>
  <c r="AP55" i="9" s="1"/>
  <c r="AN54" i="9"/>
  <c r="AP54" i="9" s="1"/>
  <c r="AN53" i="9"/>
  <c r="AP53" i="9" s="1"/>
  <c r="AP52" i="9"/>
  <c r="AN51" i="9"/>
  <c r="AP51" i="9" s="1"/>
  <c r="AN50" i="9"/>
  <c r="AP50" i="9" s="1"/>
  <c r="AN49" i="9"/>
  <c r="AP49" i="9" s="1"/>
  <c r="AJ55" i="9"/>
  <c r="AL55" i="9" s="1"/>
  <c r="AJ54" i="9"/>
  <c r="AL54" i="9" s="1"/>
  <c r="AJ53" i="9"/>
  <c r="AL53" i="9" s="1"/>
  <c r="AK57" i="9"/>
  <c r="AL52" i="9"/>
  <c r="AJ51" i="9"/>
  <c r="AL51" i="9" s="1"/>
  <c r="AJ50" i="9"/>
  <c r="AL50" i="9" s="1"/>
  <c r="AJ49" i="9"/>
  <c r="AL49" i="9" s="1"/>
  <c r="AN45" i="9"/>
  <c r="AJ45" i="9"/>
  <c r="AF41" i="9" s="1"/>
  <c r="AN44" i="9"/>
  <c r="AF40" i="9" s="1"/>
  <c r="AF49" i="9" s="1"/>
  <c r="AH49" i="9" s="1"/>
  <c r="AJ44" i="9"/>
  <c r="AF53" i="9" l="1"/>
  <c r="AH53" i="9" s="1"/>
  <c r="AF54" i="9"/>
  <c r="AH54" i="9" s="1"/>
  <c r="AF45" i="9"/>
  <c r="AF55" i="9"/>
  <c r="AH55" i="9" s="1"/>
  <c r="AF50" i="9"/>
  <c r="AH50" i="9" s="1"/>
  <c r="AH52" i="9"/>
  <c r="AF44" i="9"/>
  <c r="AF51" i="9"/>
  <c r="AH51" i="9" s="1"/>
  <c r="K152" i="20"/>
  <c r="T11" i="9" s="1"/>
  <c r="S32" i="9"/>
  <c r="T32" i="9" s="1"/>
  <c r="T12" i="9"/>
  <c r="I152" i="20"/>
  <c r="T15" i="9"/>
  <c r="AX57" i="9"/>
  <c r="AX65" i="9" s="1"/>
  <c r="AX67" i="9" s="1"/>
  <c r="AX69" i="9" s="1"/>
  <c r="AT57" i="9"/>
  <c r="AT65" i="9" s="1"/>
  <c r="AT67" i="9" s="1"/>
  <c r="AP57" i="9"/>
  <c r="AP65" i="9" s="1"/>
  <c r="AP67" i="9" s="1"/>
  <c r="AP69" i="9" s="1"/>
  <c r="AL57" i="9"/>
  <c r="AL65" i="9" s="1"/>
  <c r="AL67" i="9" s="1"/>
  <c r="AL69" i="9" s="1"/>
  <c r="AH57" i="9" l="1"/>
  <c r="AH65" i="9" s="1"/>
  <c r="AH67" i="9" s="1"/>
  <c r="AH69" i="9" s="1"/>
  <c r="AH71" i="9" s="1"/>
  <c r="AL71" i="9"/>
  <c r="S29" i="9"/>
  <c r="T29" i="9" s="1"/>
  <c r="S7" i="9"/>
  <c r="G7" i="23" s="1"/>
  <c r="J7" i="23" s="1"/>
  <c r="AT69" i="9"/>
  <c r="AT71" i="9" s="1"/>
  <c r="AP71" i="9" l="1"/>
  <c r="B11" i="10"/>
  <c r="B21" i="10"/>
  <c r="B19" i="10"/>
  <c r="S49" i="9"/>
  <c r="T14" i="9"/>
  <c r="T30" i="9"/>
  <c r="S28" i="9"/>
  <c r="T28" i="9" s="1"/>
  <c r="S27" i="9"/>
  <c r="T27" i="9" s="1"/>
  <c r="S26" i="9"/>
  <c r="T26" i="9" s="1"/>
  <c r="S25" i="9"/>
  <c r="T25" i="9" s="1"/>
  <c r="S24" i="9"/>
  <c r="T24" i="9" s="1"/>
  <c r="T13" i="9" l="1"/>
  <c r="G13" i="23"/>
  <c r="M7" i="9"/>
  <c r="O7" i="9"/>
  <c r="N7" i="9"/>
  <c r="Q7" i="9"/>
  <c r="P7" i="9"/>
  <c r="N16" i="9"/>
  <c r="N19" i="9" s="1"/>
  <c r="P16" i="9"/>
  <c r="P19" i="9" s="1"/>
  <c r="P33" i="9"/>
  <c r="N33" i="9"/>
  <c r="J13" i="23" l="1"/>
  <c r="K13" i="23" s="1"/>
  <c r="H13" i="23"/>
  <c r="N36" i="9"/>
  <c r="P36" i="9"/>
  <c r="H23" i="10" l="1"/>
  <c r="H25" i="10" l="1"/>
  <c r="I22" i="10" s="1"/>
  <c r="K23" i="10"/>
  <c r="I23" i="10"/>
  <c r="I24" i="10"/>
  <c r="I25" i="10"/>
  <c r="E9" i="13"/>
  <c r="E7" i="13"/>
  <c r="G11" i="13"/>
  <c r="M11" i="13" s="1"/>
  <c r="K7" i="12"/>
  <c r="K11" i="12"/>
  <c r="K10" i="12"/>
  <c r="K9" i="12"/>
  <c r="K6" i="12"/>
  <c r="K8" i="12"/>
  <c r="G13" i="12"/>
  <c r="J13" i="12"/>
  <c r="I11" i="13" l="1"/>
  <c r="J11" i="13"/>
  <c r="K11" i="13"/>
  <c r="L11" i="13"/>
  <c r="H11" i="13"/>
  <c r="K13" i="12"/>
  <c r="K35" i="11"/>
  <c r="J35" i="11"/>
  <c r="I35" i="11"/>
  <c r="H35" i="11"/>
  <c r="G35" i="11"/>
  <c r="F35" i="11"/>
  <c r="E35" i="11"/>
  <c r="D35" i="11"/>
  <c r="K29" i="11"/>
  <c r="J29" i="11"/>
  <c r="I29" i="11"/>
  <c r="H29" i="11"/>
  <c r="G29" i="11"/>
  <c r="F29" i="11"/>
  <c r="E29" i="11"/>
  <c r="D29" i="11"/>
  <c r="K24" i="11"/>
  <c r="J24" i="11"/>
  <c r="I24" i="11"/>
  <c r="H24" i="11"/>
  <c r="G24" i="11"/>
  <c r="F24" i="11"/>
  <c r="E24" i="11"/>
  <c r="D24" i="11"/>
  <c r="K13" i="11"/>
  <c r="J13" i="11"/>
  <c r="I13" i="11"/>
  <c r="H13" i="11"/>
  <c r="G13" i="11"/>
  <c r="F13" i="11"/>
  <c r="E13" i="11"/>
  <c r="D13" i="11"/>
  <c r="N50" i="10"/>
  <c r="N49" i="10"/>
  <c r="N48" i="10"/>
  <c r="N47" i="10"/>
  <c r="I59" i="10"/>
  <c r="I44" i="10"/>
  <c r="L18" i="11"/>
  <c r="L34" i="11"/>
  <c r="L33" i="11"/>
  <c r="L32" i="11"/>
  <c r="L20" i="11"/>
  <c r="L28" i="11"/>
  <c r="L19" i="11"/>
  <c r="L23" i="11"/>
  <c r="L22" i="11"/>
  <c r="L21" i="11"/>
  <c r="L17" i="11"/>
  <c r="L16" i="11"/>
  <c r="L12" i="11"/>
  <c r="L11" i="11"/>
  <c r="L27" i="11"/>
  <c r="L29" i="11" s="1"/>
  <c r="L10" i="11"/>
  <c r="L35" i="11" l="1"/>
  <c r="I37" i="11"/>
  <c r="D37" i="11"/>
  <c r="E37" i="11"/>
  <c r="K37" i="11"/>
  <c r="H37" i="11"/>
  <c r="G37" i="11"/>
  <c r="J37" i="11"/>
  <c r="F37" i="11"/>
  <c r="L24" i="11"/>
  <c r="L13" i="11"/>
  <c r="C20" i="10"/>
  <c r="C19" i="10"/>
  <c r="C18" i="10"/>
  <c r="C16" i="10"/>
  <c r="L37" i="11" l="1"/>
  <c r="C21" i="10"/>
  <c r="S51" i="9" l="1"/>
  <c r="AA41" i="9"/>
  <c r="AA42" i="9" s="1"/>
  <c r="AA44" i="9" s="1"/>
  <c r="S22" i="9"/>
  <c r="T22" i="9" s="1"/>
  <c r="S17" i="9"/>
  <c r="T17" i="9" s="1"/>
  <c r="J32" i="9"/>
  <c r="K32" i="9" s="1"/>
  <c r="J31" i="9"/>
  <c r="K31" i="9" s="1"/>
  <c r="J30" i="9"/>
  <c r="K30" i="9" s="1"/>
  <c r="J29" i="9"/>
  <c r="K29" i="9" s="1"/>
  <c r="J28" i="9"/>
  <c r="K28" i="9" s="1"/>
  <c r="J27" i="9"/>
  <c r="K27" i="9" s="1"/>
  <c r="J26" i="9"/>
  <c r="K26" i="9" s="1"/>
  <c r="J25" i="9"/>
  <c r="K25" i="9" s="1"/>
  <c r="J24" i="9"/>
  <c r="K24" i="9" s="1"/>
  <c r="J23" i="9"/>
  <c r="K23" i="9" s="1"/>
  <c r="J22" i="9"/>
  <c r="K22" i="9" s="1"/>
  <c r="J18" i="9"/>
  <c r="K18" i="9" s="1"/>
  <c r="J17" i="9"/>
  <c r="K17" i="9" s="1"/>
  <c r="J15" i="9"/>
  <c r="K15" i="9" s="1"/>
  <c r="J14" i="9"/>
  <c r="K14" i="9" s="1"/>
  <c r="J13" i="9"/>
  <c r="K13" i="9" s="1"/>
  <c r="J12" i="9"/>
  <c r="K12" i="9" s="1"/>
  <c r="J11" i="9"/>
  <c r="K11" i="9" s="1"/>
  <c r="G32" i="9"/>
  <c r="H32" i="9" s="1"/>
  <c r="G31" i="9"/>
  <c r="H31" i="9" s="1"/>
  <c r="G30" i="9"/>
  <c r="H30" i="9" s="1"/>
  <c r="G29" i="9"/>
  <c r="H29" i="9" s="1"/>
  <c r="G28" i="9"/>
  <c r="H28" i="9" s="1"/>
  <c r="G27" i="9"/>
  <c r="H27" i="9" s="1"/>
  <c r="G26" i="9"/>
  <c r="H26" i="9" s="1"/>
  <c r="G25" i="9"/>
  <c r="H25" i="9" s="1"/>
  <c r="G24" i="9"/>
  <c r="H24" i="9" s="1"/>
  <c r="G23" i="9"/>
  <c r="H23" i="9" s="1"/>
  <c r="G22" i="9"/>
  <c r="H22" i="9" s="1"/>
  <c r="G18" i="9"/>
  <c r="H18" i="9" s="1"/>
  <c r="G17" i="9"/>
  <c r="H17" i="9" s="1"/>
  <c r="G15" i="9"/>
  <c r="H15" i="9" s="1"/>
  <c r="G14" i="9"/>
  <c r="H14" i="9" s="1"/>
  <c r="G13" i="9"/>
  <c r="H13" i="9" s="1"/>
  <c r="G12" i="9"/>
  <c r="H12" i="9" s="1"/>
  <c r="G11" i="9"/>
  <c r="H11" i="9" s="1"/>
  <c r="D32" i="9"/>
  <c r="E32" i="9" s="1"/>
  <c r="D31" i="9"/>
  <c r="E31" i="9" s="1"/>
  <c r="D30" i="9"/>
  <c r="E30" i="9" s="1"/>
  <c r="D29" i="9"/>
  <c r="E29" i="9" s="1"/>
  <c r="D28" i="9"/>
  <c r="E28" i="9" s="1"/>
  <c r="D27" i="9"/>
  <c r="E27" i="9" s="1"/>
  <c r="D26" i="9"/>
  <c r="E26" i="9" s="1"/>
  <c r="D25" i="9"/>
  <c r="E25" i="9" s="1"/>
  <c r="D24" i="9"/>
  <c r="E24" i="9" s="1"/>
  <c r="D23" i="9"/>
  <c r="E23" i="9" s="1"/>
  <c r="D22" i="9"/>
  <c r="E22" i="9" s="1"/>
  <c r="D18" i="9"/>
  <c r="E18" i="9" s="1"/>
  <c r="D17" i="9"/>
  <c r="E17" i="9" s="1"/>
  <c r="D15" i="9"/>
  <c r="E15" i="9" s="1"/>
  <c r="D14" i="9"/>
  <c r="E14" i="9" s="1"/>
  <c r="D13" i="9"/>
  <c r="E13" i="9" s="1"/>
  <c r="D12" i="9"/>
  <c r="E12" i="9" s="1"/>
  <c r="D11" i="9"/>
  <c r="E11" i="9" s="1"/>
  <c r="S23" i="9"/>
  <c r="T23" i="9" s="1"/>
  <c r="J7" i="9" l="1"/>
  <c r="G7" i="9"/>
  <c r="D7" i="9"/>
  <c r="S18" i="9"/>
  <c r="T18" i="9" s="1"/>
  <c r="Q16" i="9"/>
  <c r="O33" i="9"/>
  <c r="M33" i="9"/>
  <c r="M16" i="9"/>
  <c r="M19" i="9" s="1"/>
  <c r="O16" i="9"/>
  <c r="Q33" i="9"/>
  <c r="AA45" i="9"/>
  <c r="AA46" i="9" s="1"/>
  <c r="D16" i="9"/>
  <c r="E16" i="9" s="1"/>
  <c r="D33" i="9"/>
  <c r="E33" i="9" s="1"/>
  <c r="G16" i="9"/>
  <c r="H16" i="9" s="1"/>
  <c r="J16" i="9"/>
  <c r="K16" i="9" s="1"/>
  <c r="J33" i="9"/>
  <c r="K33" i="9" s="1"/>
  <c r="G33" i="9"/>
  <c r="H33" i="9" s="1"/>
  <c r="M36" i="9" l="1"/>
  <c r="D19" i="9"/>
  <c r="E19" i="9" s="1"/>
  <c r="E36" i="9" s="1"/>
  <c r="J19" i="9"/>
  <c r="K19" i="9" s="1"/>
  <c r="K36" i="9" s="1"/>
  <c r="G19" i="9"/>
  <c r="H19" i="9" s="1"/>
  <c r="H36" i="9" s="1"/>
  <c r="O19" i="9"/>
  <c r="O36" i="9" s="1"/>
  <c r="Q19" i="9"/>
  <c r="Q36" i="9" s="1"/>
  <c r="D36" i="9" l="1"/>
  <c r="G36" i="9"/>
  <c r="G34" i="9"/>
  <c r="J34" i="9"/>
  <c r="J36" i="9"/>
  <c r="D34" i="9"/>
  <c r="S16" i="9"/>
  <c r="G16" i="23" s="1"/>
  <c r="J16" i="23" l="1"/>
  <c r="K16" i="23" s="1"/>
  <c r="H16" i="23"/>
  <c r="T16" i="9"/>
  <c r="S19" i="9"/>
  <c r="T19" i="9" l="1"/>
  <c r="G19" i="23"/>
  <c r="S31" i="9"/>
  <c r="T31" i="9" l="1"/>
  <c r="G31" i="23"/>
  <c r="J19" i="23"/>
  <c r="K19" i="23" s="1"/>
  <c r="H19" i="23"/>
  <c r="S33" i="9"/>
  <c r="G33" i="23" s="1"/>
  <c r="H40" i="10"/>
  <c r="J33" i="23" l="1"/>
  <c r="K33" i="23" s="1"/>
  <c r="H33" i="23"/>
  <c r="J31" i="23"/>
  <c r="K31" i="23" s="1"/>
  <c r="H31" i="23"/>
  <c r="S34" i="9"/>
  <c r="G34" i="23" s="1"/>
  <c r="J34" i="23" s="1"/>
  <c r="T33" i="9"/>
  <c r="T36" i="9" s="1"/>
  <c r="S36" i="9"/>
  <c r="S45" i="9" l="1"/>
  <c r="C11" i="10" s="1"/>
  <c r="D11" i="10" s="1"/>
  <c r="G36" i="23"/>
  <c r="C17" i="10"/>
  <c r="G61" i="23" l="1"/>
  <c r="J61" i="23" s="1"/>
  <c r="G45" i="23"/>
  <c r="G55" i="23"/>
  <c r="J55" i="23" s="1"/>
  <c r="J36" i="23"/>
  <c r="K36" i="23" s="1"/>
  <c r="H36" i="23"/>
  <c r="G59" i="23"/>
  <c r="J59" i="23" s="1"/>
  <c r="G58" i="23"/>
  <c r="J58" i="23" s="1"/>
  <c r="T45" i="9"/>
  <c r="Q46" i="9"/>
  <c r="S57" i="9"/>
  <c r="C24" i="10" s="1"/>
  <c r="T46" i="9"/>
  <c r="S56" i="9"/>
  <c r="C23" i="10" s="1"/>
  <c r="S53" i="9"/>
  <c r="S59" i="9"/>
  <c r="J15" i="12"/>
  <c r="K15" i="12" s="1"/>
  <c r="K25" i="10"/>
  <c r="C12" i="10"/>
  <c r="D12" i="10" s="1"/>
  <c r="J45" i="23" l="1"/>
  <c r="K45" i="23" s="1"/>
  <c r="H45" i="23"/>
  <c r="G47" i="23"/>
  <c r="J47" i="23" s="1"/>
  <c r="H11" i="10"/>
  <c r="C13" i="10"/>
  <c r="C25" i="10"/>
  <c r="C22" i="10"/>
  <c r="I32" i="10" l="1"/>
  <c r="L51" i="10"/>
  <c r="N51" i="10" s="1"/>
  <c r="N46" i="10" s="1"/>
  <c r="I51" i="10" s="1"/>
  <c r="H12" i="10"/>
  <c r="I11" i="10" s="1"/>
  <c r="H51" i="10" l="1"/>
  <c r="I12" i="10"/>
  <c r="H19" i="10"/>
  <c r="H56" i="10"/>
  <c r="H43" i="10"/>
  <c r="I46" i="10"/>
  <c r="I47" i="10"/>
  <c r="H47" i="10" s="1"/>
  <c r="H48" i="10"/>
  <c r="H42" i="10"/>
  <c r="I38" i="10"/>
  <c r="H54" i="10"/>
  <c r="H55" i="10"/>
  <c r="I39" i="10"/>
  <c r="H58" i="10"/>
  <c r="H57" i="10"/>
  <c r="H46" i="10" l="1"/>
  <c r="H49" i="10" s="1"/>
  <c r="I49" i="10"/>
  <c r="I40" i="10"/>
  <c r="I16" i="10"/>
  <c r="I19" i="10"/>
  <c r="I15" i="10"/>
  <c r="H59" i="10"/>
  <c r="H44" i="10"/>
  <c r="I61" i="10" l="1"/>
  <c r="H17" i="10" s="1"/>
  <c r="H61" i="10" l="1"/>
  <c r="H18" i="10"/>
  <c r="I18" i="10" s="1"/>
</calcChain>
</file>

<file path=xl/sharedStrings.xml><?xml version="1.0" encoding="utf-8"?>
<sst xmlns="http://schemas.openxmlformats.org/spreadsheetml/2006/main" count="3154" uniqueCount="1052">
  <si>
    <t>CLUB AT CHARTER POINTE</t>
  </si>
  <si>
    <t>Twelve Month Trailing Income Statement</t>
  </si>
  <si>
    <t>Actual</t>
  </si>
  <si>
    <t>Total</t>
  </si>
  <si>
    <t>Income:</t>
  </si>
  <si>
    <t>Rental Income</t>
  </si>
  <si>
    <t>Gross Potential</t>
  </si>
  <si>
    <t>Income for Renovated Units</t>
  </si>
  <si>
    <t>Rent Below Unit Schedules</t>
  </si>
  <si>
    <t>Rent Exceeding Unit Schedule</t>
  </si>
  <si>
    <t>Net Effective Rent</t>
  </si>
  <si>
    <t>Vacancy , Losses and Concessions</t>
  </si>
  <si>
    <t>Corporate Suite Income</t>
  </si>
  <si>
    <t>Retail Income</t>
  </si>
  <si>
    <t>CAM Income</t>
  </si>
  <si>
    <t>Vacancies</t>
  </si>
  <si>
    <t>Models</t>
  </si>
  <si>
    <t>Rent Due to Down Units</t>
  </si>
  <si>
    <t>Employee Concessions</t>
  </si>
  <si>
    <t>Courtesy Officer Concession</t>
  </si>
  <si>
    <t>New One Time Concessions</t>
  </si>
  <si>
    <t>Concession Prorated Over Lease</t>
  </si>
  <si>
    <t>Concession for Renovated Unit</t>
  </si>
  <si>
    <t>Bad Debt Expense</t>
  </si>
  <si>
    <t>Bad Debt Collected Revenue</t>
  </si>
  <si>
    <t>COVID-19 Bad Debt Expense</t>
  </si>
  <si>
    <t>Total Vacancy , Losses and Concessions</t>
  </si>
  <si>
    <t>Total Rental Income</t>
  </si>
  <si>
    <t>Other Income</t>
  </si>
  <si>
    <t>Carport Income</t>
  </si>
  <si>
    <t>Carport/Valet Concession</t>
  </si>
  <si>
    <t>Garage/Reserved Income</t>
  </si>
  <si>
    <t>Parking Permit Income</t>
  </si>
  <si>
    <t>Valet Parking Income</t>
  </si>
  <si>
    <t>Non-Refundable Pet Fees</t>
  </si>
  <si>
    <t>Pet Monthly Rent</t>
  </si>
  <si>
    <t>Utility Reimbursement Income</t>
  </si>
  <si>
    <t>Master Meter Electric Reimbursement</t>
  </si>
  <si>
    <t>Storage Income</t>
  </si>
  <si>
    <t>Renters Insurance Income</t>
  </si>
  <si>
    <t>Damages &amp; Other Fees</t>
  </si>
  <si>
    <t>Carpet Damages Charged</t>
  </si>
  <si>
    <t>Painting Fee Income</t>
  </si>
  <si>
    <t>Cleaning Fees</t>
  </si>
  <si>
    <t>Trash Out Fee</t>
  </si>
  <si>
    <t>Carpet Cleaning Fees</t>
  </si>
  <si>
    <t>Notice &amp; Termination Charges</t>
  </si>
  <si>
    <t>Forfeited Sec. Deposits</t>
  </si>
  <si>
    <t>Legal Fees</t>
  </si>
  <si>
    <t>Misc Clubhouse/Admn Fees</t>
  </si>
  <si>
    <t>Application Fees</t>
  </si>
  <si>
    <t>Move In Administrative Fee</t>
  </si>
  <si>
    <t>Short Term Fees</t>
  </si>
  <si>
    <t>Month-to-Month Fees</t>
  </si>
  <si>
    <t>Late Fees</t>
  </si>
  <si>
    <t>Trash Out Fees</t>
  </si>
  <si>
    <t>NSF Fees</t>
  </si>
  <si>
    <t>Resident Convenience Fee</t>
  </si>
  <si>
    <t>Renters Insurance Penalty</t>
  </si>
  <si>
    <t>Transfer On-Site Charges</t>
  </si>
  <si>
    <t>Rental History Verifctaion</t>
  </si>
  <si>
    <t>Car Wash Income</t>
  </si>
  <si>
    <t>Soda Machine Vending Income</t>
  </si>
  <si>
    <t>Keys &amp; Lock Outs</t>
  </si>
  <si>
    <t>Fitness Room Key</t>
  </si>
  <si>
    <t>BBQ Grill Income</t>
  </si>
  <si>
    <t>Clubhouse Rental</t>
  </si>
  <si>
    <t>Garden Plot Income</t>
  </si>
  <si>
    <t>Telephone Franchise Income</t>
  </si>
  <si>
    <t>High Speed ISP Income</t>
  </si>
  <si>
    <t>Cable TV Income</t>
  </si>
  <si>
    <t>Exclusive Marketing Income</t>
  </si>
  <si>
    <t>Gas Utility Revenue</t>
  </si>
  <si>
    <t>Washer/Dryer Income</t>
  </si>
  <si>
    <t>Furnishing Income</t>
  </si>
  <si>
    <t>Amenities in Unit</t>
  </si>
  <si>
    <t>Concierge Income</t>
  </si>
  <si>
    <t>Alarm Income</t>
  </si>
  <si>
    <t>Valet Waste Income</t>
  </si>
  <si>
    <t>Exterminating Fee</t>
  </si>
  <si>
    <t>Laundry Room Income</t>
  </si>
  <si>
    <t>Insurance Claim</t>
  </si>
  <si>
    <t>Security Deposit Refunds</t>
  </si>
  <si>
    <t>Interest Income</t>
  </si>
  <si>
    <t>COVID-19 Bad Debt Other Income</t>
  </si>
  <si>
    <t>Bad Debt-Other Income</t>
  </si>
  <si>
    <t>Total Other Income</t>
  </si>
  <si>
    <t>Total Income</t>
  </si>
  <si>
    <t>Expenses:</t>
  </si>
  <si>
    <t>Salaries &amp; Employee Costs</t>
  </si>
  <si>
    <t>Salary Expense</t>
  </si>
  <si>
    <t>Other Salaries</t>
  </si>
  <si>
    <t>Employee Overtime</t>
  </si>
  <si>
    <t>Hiring Expense</t>
  </si>
  <si>
    <t>Commissions</t>
  </si>
  <si>
    <t>Bonus</t>
  </si>
  <si>
    <t>Maintenance Stipend</t>
  </si>
  <si>
    <t>Management Bonus</t>
  </si>
  <si>
    <t>401K Matching</t>
  </si>
  <si>
    <t>Group Healthcare Premium</t>
  </si>
  <si>
    <t>Other Employee Benefit</t>
  </si>
  <si>
    <t>Rent Concession</t>
  </si>
  <si>
    <t>Employee Education</t>
  </si>
  <si>
    <t>Payroll Taxes &amp; Workers Compensation</t>
  </si>
  <si>
    <t>Workers Compensation</t>
  </si>
  <si>
    <t>Payroll Admin Fee</t>
  </si>
  <si>
    <t>Total Salaries &amp; Employee Costs</t>
  </si>
  <si>
    <t>Cleaning &amp; Decorating</t>
  </si>
  <si>
    <t>Paint Supplies</t>
  </si>
  <si>
    <t>Contract Painting</t>
  </si>
  <si>
    <t>Cleaning Supplies</t>
  </si>
  <si>
    <t>Contract Cleaning</t>
  </si>
  <si>
    <t>Carpet Cleaning Supplies</t>
  </si>
  <si>
    <t>Contract Carpet Cleaning</t>
  </si>
  <si>
    <t>Contract General Resurfacing</t>
  </si>
  <si>
    <t>Contract Tub Resurfacing</t>
  </si>
  <si>
    <t>Total Cleaning &amp; Decorating</t>
  </si>
  <si>
    <t>Utilities</t>
  </si>
  <si>
    <t>Electric: House Accounts</t>
  </si>
  <si>
    <t>Electric: Model</t>
  </si>
  <si>
    <t>Electric: Vacants</t>
  </si>
  <si>
    <t>Water</t>
  </si>
  <si>
    <t>Sewer</t>
  </si>
  <si>
    <t>Utility Billing Fees</t>
  </si>
  <si>
    <t>Gas</t>
  </si>
  <si>
    <t>Trash Removal</t>
  </si>
  <si>
    <t>Compactor Rental</t>
  </si>
  <si>
    <t>Telephone</t>
  </si>
  <si>
    <t>Long Distance</t>
  </si>
  <si>
    <t>Answering Service</t>
  </si>
  <si>
    <t>Mobile Communications</t>
  </si>
  <si>
    <t>Cable (Not Contract Service)</t>
  </si>
  <si>
    <t>Total Utilities</t>
  </si>
  <si>
    <t>Management &amp; Professional</t>
  </si>
  <si>
    <t>Management Fee</t>
  </si>
  <si>
    <t>Asset Management Fee</t>
  </si>
  <si>
    <t>Legal Expense</t>
  </si>
  <si>
    <t>Accounting Expense</t>
  </si>
  <si>
    <t>Audit Fee</t>
  </si>
  <si>
    <t>Other Professional Fees</t>
  </si>
  <si>
    <t>Total Management &amp; Professional</t>
  </si>
  <si>
    <t>Contract Services</t>
  </si>
  <si>
    <t>Landscaping</t>
  </si>
  <si>
    <t>Snow Removal</t>
  </si>
  <si>
    <t>Lakes &amp; Canals</t>
  </si>
  <si>
    <t>Pool</t>
  </si>
  <si>
    <t>Fountain Service</t>
  </si>
  <si>
    <t>Exterminating</t>
  </si>
  <si>
    <t>Fire Safety Monitor</t>
  </si>
  <si>
    <t>Fire Dialer Lines</t>
  </si>
  <si>
    <t>Burgular Alarm Monitor</t>
  </si>
  <si>
    <t>Courtesy Patrol</t>
  </si>
  <si>
    <t>Valet Trash</t>
  </si>
  <si>
    <t>Elevator</t>
  </si>
  <si>
    <t>HVAC Monthly</t>
  </si>
  <si>
    <t>Chill Water Treatment</t>
  </si>
  <si>
    <t>Generator Monthly</t>
  </si>
  <si>
    <t>Cable (Not Single)</t>
  </si>
  <si>
    <t>ISP Provider (Not Single)</t>
  </si>
  <si>
    <t>Applicance Rental</t>
  </si>
  <si>
    <t>Parking/Valet</t>
  </si>
  <si>
    <t>Key Control Service</t>
  </si>
  <si>
    <t>Laundry Room Exp</t>
  </si>
  <si>
    <t>Music &amp; Movie Royalties</t>
  </si>
  <si>
    <t>Miscellaneous</t>
  </si>
  <si>
    <t>Total Contract Services</t>
  </si>
  <si>
    <t>Admin &amp; General</t>
  </si>
  <si>
    <t>Bank Charges</t>
  </si>
  <si>
    <t>Late Fees &amp; Finance Charges</t>
  </si>
  <si>
    <t>Office Supplies</t>
  </si>
  <si>
    <t>Clubhouse Food &amp; Drink</t>
  </si>
  <si>
    <t>Employee Incentive &amp; Party</t>
  </si>
  <si>
    <t>Uniforms</t>
  </si>
  <si>
    <t>Postage &amp; Meter Rental</t>
  </si>
  <si>
    <t>Federal Express</t>
  </si>
  <si>
    <t>Courier Service</t>
  </si>
  <si>
    <t>Subscriptions &amp; Memberships</t>
  </si>
  <si>
    <t>Copy &amp; Printer Toner</t>
  </si>
  <si>
    <t>Copy &amp; Printer Paper</t>
  </si>
  <si>
    <t>Computer CPU Expense</t>
  </si>
  <si>
    <t>Computer Software</t>
  </si>
  <si>
    <t>IT Service &amp; Repair</t>
  </si>
  <si>
    <t>Computer Accessory</t>
  </si>
  <si>
    <t>DSL High Speed Internet</t>
  </si>
  <si>
    <t>Office Equipment Purchs &amp; Rent</t>
  </si>
  <si>
    <t>Office Equip Repair</t>
  </si>
  <si>
    <t>Furniture Purchase &amp; Rental</t>
  </si>
  <si>
    <t>Background &amp; Credit Services</t>
  </si>
  <si>
    <t>Collection Expense</t>
  </si>
  <si>
    <t>Credit Card Fees</t>
  </si>
  <si>
    <t>ACH/IRD Bank Fees</t>
  </si>
  <si>
    <t>Gasoline/Mileage Expense</t>
  </si>
  <si>
    <t>Air Travel &amp; Other Transport</t>
  </si>
  <si>
    <t>Lodging &amp; Hotel</t>
  </si>
  <si>
    <t>Total Admin &amp; General</t>
  </si>
  <si>
    <t>Marketing &amp; Promotion</t>
  </si>
  <si>
    <t>Media Advertising</t>
  </si>
  <si>
    <t>Internet Advertising</t>
  </si>
  <si>
    <t>Property &amp; Company Webiste</t>
  </si>
  <si>
    <t>Radio &amp; Television</t>
  </si>
  <si>
    <t>Billboards &amp; Bus Bench</t>
  </si>
  <si>
    <t>Signs &amp; Banners</t>
  </si>
  <si>
    <t>Curb Appeal, Model, Clubhouse</t>
  </si>
  <si>
    <t>Business Cards &amp; Stationery</t>
  </si>
  <si>
    <t>Brochures</t>
  </si>
  <si>
    <t>Direct Mailing</t>
  </si>
  <si>
    <t>Newsletters</t>
  </si>
  <si>
    <t>Promotion</t>
  </si>
  <si>
    <t>Move In Gifts</t>
  </si>
  <si>
    <t>Resident Referrals</t>
  </si>
  <si>
    <t>Brokerage Commissions</t>
  </si>
  <si>
    <t>Call Center/Level One</t>
  </si>
  <si>
    <t>Customer Relationship Management</t>
  </si>
  <si>
    <t>Resident Activities</t>
  </si>
  <si>
    <t>Public Relations</t>
  </si>
  <si>
    <t>Other Marketing Costs</t>
  </si>
  <si>
    <t>Total Marketing &amp; Promotion</t>
  </si>
  <si>
    <t>General Maintenance</t>
  </si>
  <si>
    <t>Common Area Supplies</t>
  </si>
  <si>
    <t>Electrical Parts Supplies</t>
  </si>
  <si>
    <t>Plumbing Supplies</t>
  </si>
  <si>
    <t>Carpentry Supplies</t>
  </si>
  <si>
    <t>Hardware Supplies</t>
  </si>
  <si>
    <t>Boiler Supplies</t>
  </si>
  <si>
    <t>Fence / Iron Supplies</t>
  </si>
  <si>
    <t>Masonry Supplies</t>
  </si>
  <si>
    <t>Roof Supplies</t>
  </si>
  <si>
    <t>Sewer Supplies</t>
  </si>
  <si>
    <t>Windows, Glass, Screens Supplies</t>
  </si>
  <si>
    <t>Sprinklers Supplies</t>
  </si>
  <si>
    <t>Health / Safety Supplies</t>
  </si>
  <si>
    <t>Pool Supplies</t>
  </si>
  <si>
    <t>Grounds Mtn Supplies</t>
  </si>
  <si>
    <t>Exterminating Supplies</t>
  </si>
  <si>
    <t>Appliance Supplies</t>
  </si>
  <si>
    <t>HVAC Supplies</t>
  </si>
  <si>
    <t>HVAC Freon</t>
  </si>
  <si>
    <t>Floors &amp; Wallcovering Supplies</t>
  </si>
  <si>
    <t>Lock &amp; Key Supplies</t>
  </si>
  <si>
    <t>Light Bulb &amp; Fixtures Supplies</t>
  </si>
  <si>
    <t>APD Construction Supplies</t>
  </si>
  <si>
    <t>Electric Repairs</t>
  </si>
  <si>
    <t>Plumbing Repairs</t>
  </si>
  <si>
    <t>Carpentry Repairs</t>
  </si>
  <si>
    <t>Hardware/Unit Maint Repairs</t>
  </si>
  <si>
    <t>Boiler Repairs</t>
  </si>
  <si>
    <t>Fence / Iron Repairs</t>
  </si>
  <si>
    <t>Masonry Repairs</t>
  </si>
  <si>
    <t>Roof Repairs</t>
  </si>
  <si>
    <t>Sewer Repairs</t>
  </si>
  <si>
    <t>Windows(Glass) Repairs</t>
  </si>
  <si>
    <t>Irrig Sprinkler System Repairs</t>
  </si>
  <si>
    <t>Pool &amp; Equip Contract Repairs</t>
  </si>
  <si>
    <t>Grounds Mnt Repairs</t>
  </si>
  <si>
    <t>Exterminating Non-Recurring</t>
  </si>
  <si>
    <t>Appliance Repairs</t>
  </si>
  <si>
    <t>HVAC Repairs</t>
  </si>
  <si>
    <t>Lock &amp; Key Repairs</t>
  </si>
  <si>
    <t>Vehicle Maintenance</t>
  </si>
  <si>
    <t>Golf Cart Maintenance</t>
  </si>
  <si>
    <t>Gate Repairs &amp; Maintenance</t>
  </si>
  <si>
    <t>Garage Door Supply &amp; Mainten.</t>
  </si>
  <si>
    <t>BBQ Grill Supply &amp; Maintenance</t>
  </si>
  <si>
    <t>Gym Equipment Repair</t>
  </si>
  <si>
    <t>Fire Safety Maintenance</t>
  </si>
  <si>
    <t>Annual Fire Inspection</t>
  </si>
  <si>
    <t>Annual Backflow Inspection</t>
  </si>
  <si>
    <t>Burglar Alarm Maintenance</t>
  </si>
  <si>
    <t>Fountain Supply &amp; Maintenance</t>
  </si>
  <si>
    <t>Maintenance Equip. Repairs</t>
  </si>
  <si>
    <t>General Maintenance &amp; Repair</t>
  </si>
  <si>
    <t>Other Maintenance Exp.</t>
  </si>
  <si>
    <t>Total General Maintenance</t>
  </si>
  <si>
    <t>Total Operating Expenses</t>
  </si>
  <si>
    <t>Net Operating Income Before TIL</t>
  </si>
  <si>
    <t>Taxes, Licenses &amp; Insurance</t>
  </si>
  <si>
    <t>Real Estate Taxes</t>
  </si>
  <si>
    <t>Franchise Taxes</t>
  </si>
  <si>
    <t>Personal Property Taxes</t>
  </si>
  <si>
    <t>Other tax Expense</t>
  </si>
  <si>
    <t>Insurance</t>
  </si>
  <si>
    <t>Insurance Deductible Expense</t>
  </si>
  <si>
    <t>Forced Renter's Insurance</t>
  </si>
  <si>
    <t>Association Fees</t>
  </si>
  <si>
    <t>Licenses &amp; Other Fees</t>
  </si>
  <si>
    <t>Total Taxes, Licenses &amp; Insurance</t>
  </si>
  <si>
    <t>Net Operating Income</t>
  </si>
  <si>
    <t>Floorplan</t>
  </si>
  <si>
    <t>3x2</t>
  </si>
  <si>
    <t>Occupied</t>
  </si>
  <si>
    <t>Vacant</t>
  </si>
  <si>
    <t>1x1a</t>
  </si>
  <si>
    <t>1x1L</t>
  </si>
  <si>
    <t>2x2-C</t>
  </si>
  <si>
    <t>1x1L-C</t>
  </si>
  <si>
    <t>2x1-C</t>
  </si>
  <si>
    <t>2x1</t>
  </si>
  <si>
    <t>2x2</t>
  </si>
  <si>
    <t>Status</t>
  </si>
  <si>
    <t>Rent</t>
  </si>
  <si>
    <t># Units</t>
  </si>
  <si>
    <t>Average 
SQFT</t>
  </si>
  <si>
    <t>Occupancy %</t>
  </si>
  <si>
    <t>Totals / Averages:</t>
  </si>
  <si>
    <t>Amount</t>
  </si>
  <si>
    <t>T1</t>
  </si>
  <si>
    <t>T3</t>
  </si>
  <si>
    <t>T12</t>
  </si>
  <si>
    <t>Vacancy Loss</t>
  </si>
  <si>
    <t>Concessions</t>
  </si>
  <si>
    <t>Delinquency/Bad Debt</t>
  </si>
  <si>
    <t>Effective Gross Income</t>
  </si>
  <si>
    <t>Payroll</t>
  </si>
  <si>
    <t>General &amp; Administrative</t>
  </si>
  <si>
    <t>Property Taxes</t>
  </si>
  <si>
    <t>Property Insurance</t>
  </si>
  <si>
    <t>Reserves</t>
  </si>
  <si>
    <t>NET OPERATING INCOME</t>
  </si>
  <si>
    <t>Model/Down Units</t>
  </si>
  <si>
    <t>Utility Reimbursements</t>
  </si>
  <si>
    <t>Miscellaneous Income</t>
  </si>
  <si>
    <t>EXPENSES</t>
  </si>
  <si>
    <t>REVENUE</t>
  </si>
  <si>
    <t>Per Unit</t>
  </si>
  <si>
    <t>PROFORMA</t>
  </si>
  <si>
    <t>Expense Ratio</t>
  </si>
  <si>
    <t>Re-Assessed Value</t>
  </si>
  <si>
    <t>Prepay</t>
  </si>
  <si>
    <t>Millage Rate</t>
  </si>
  <si>
    <t>Taxable Value</t>
  </si>
  <si>
    <t>Market Value</t>
  </si>
  <si>
    <t>Taxes</t>
  </si>
  <si>
    <t>Taxes net of Prepay</t>
  </si>
  <si>
    <t>DSCR</t>
  </si>
  <si>
    <t>Index</t>
  </si>
  <si>
    <t>5-YR UST</t>
  </si>
  <si>
    <t>Spread</t>
  </si>
  <si>
    <t>IO DSCR</t>
  </si>
  <si>
    <t>LTV</t>
  </si>
  <si>
    <t>Cap Rate</t>
  </si>
  <si>
    <t>Underwriting Notes</t>
  </si>
  <si>
    <t>CBRE UNDERWRITING AND HISTORICAL OVERVIEW</t>
  </si>
  <si>
    <t>Debt Yield</t>
  </si>
  <si>
    <t>LOAN METRICS</t>
  </si>
  <si>
    <t>Physical Occupancy</t>
  </si>
  <si>
    <t>Gross Potential Rent (net of LTL)</t>
  </si>
  <si>
    <t>Footnotes:</t>
  </si>
  <si>
    <t>PROPERTY TAX CALC</t>
  </si>
  <si>
    <t>On Cost</t>
  </si>
  <si>
    <t>Loan Size</t>
  </si>
  <si>
    <t>Market Cap Rate</t>
  </si>
  <si>
    <t>Loan to Value</t>
  </si>
  <si>
    <t>Stabilized Yield on Cost</t>
  </si>
  <si>
    <t>Proforma NOI (CBRE UW)</t>
  </si>
  <si>
    <t>On Proforma</t>
  </si>
  <si>
    <t>IO DSCR at current Face Rate</t>
  </si>
  <si>
    <t>25-Year Amortizing DSCR at current Face Rate</t>
  </si>
  <si>
    <t>30-Year Amortizing DSCR at current Face Rate</t>
  </si>
  <si>
    <t>Sources and Uses</t>
  </si>
  <si>
    <t>SOURCES</t>
  </si>
  <si>
    <t>Debt</t>
  </si>
  <si>
    <t>TOTAL SOURCES</t>
  </si>
  <si>
    <t>USES</t>
  </si>
  <si>
    <t>Closing Costs</t>
  </si>
  <si>
    <t>TOTAL USES</t>
  </si>
  <si>
    <t>Water Heaters</t>
  </si>
  <si>
    <t>HVAC Replacement</t>
  </si>
  <si>
    <t xml:space="preserve">Plumbing </t>
  </si>
  <si>
    <t>Electrical</t>
  </si>
  <si>
    <t>Common Area Improvements</t>
  </si>
  <si>
    <t>Trees and Landscaping</t>
  </si>
  <si>
    <t>Fitness Room</t>
  </si>
  <si>
    <t>Amenities</t>
  </si>
  <si>
    <t>Clubhouse Renovation</t>
  </si>
  <si>
    <t>Approved Capital Projects</t>
  </si>
  <si>
    <t>Roof Replacement</t>
  </si>
  <si>
    <t>Laundry Room Equipment</t>
  </si>
  <si>
    <t>Unit Upgrade Capital - Appliances</t>
  </si>
  <si>
    <t>Unit Upgrade Capital - General</t>
  </si>
  <si>
    <t>Unit Upgrade Capital - Flooring</t>
  </si>
  <si>
    <t>Asphalt</t>
  </si>
  <si>
    <t>Loan Closing Costs</t>
  </si>
  <si>
    <t>Loan Request</t>
  </si>
  <si>
    <t>Origination Fees</t>
  </si>
  <si>
    <t>Lender Fee</t>
  </si>
  <si>
    <t>CBRE Fee</t>
  </si>
  <si>
    <t>Lender Legal</t>
  </si>
  <si>
    <t>Borrower Legal</t>
  </si>
  <si>
    <t>Taxes / Government Fees</t>
  </si>
  <si>
    <t>Recording and Filing Fees</t>
  </si>
  <si>
    <t>Title Insurance Policy</t>
  </si>
  <si>
    <t>Due Diligence / Third Party Reports</t>
  </si>
  <si>
    <t>Appraisal Fee</t>
  </si>
  <si>
    <t>Zoning Report</t>
  </si>
  <si>
    <t xml:space="preserve">Total Closing Costs </t>
  </si>
  <si>
    <t>Title Insurance Sizer</t>
  </si>
  <si>
    <t>ESA</t>
  </si>
  <si>
    <t>PCA</t>
  </si>
  <si>
    <t>Survey</t>
  </si>
  <si>
    <t>FL Documentary Stamp Tax</t>
  </si>
  <si>
    <t>FL Intangible Tax</t>
  </si>
  <si>
    <t>LOAN REQUEST AND SOURCES &amp; USES</t>
  </si>
  <si>
    <t>HISTORICAL CAPITAL EXPENDITURES UNDER CURRENT OWNERSHIP</t>
  </si>
  <si>
    <t>COMMON ITEMS</t>
  </si>
  <si>
    <t>COMMON AREA ITEMS</t>
  </si>
  <si>
    <t>BIG TICKET ITEMS</t>
  </si>
  <si>
    <t>UNIT RENOVATIONS AND UPGRADES</t>
  </si>
  <si>
    <t>CapEx Schedule</t>
  </si>
  <si>
    <t>YTD thru 7/31/25</t>
  </si>
  <si>
    <t>BASIS</t>
  </si>
  <si>
    <t>TOTAL BASIS</t>
  </si>
  <si>
    <t>Closing Costs &amp; Due Diligence</t>
  </si>
  <si>
    <t>Growth Factor</t>
  </si>
  <si>
    <t>Lakewood Oaks</t>
  </si>
  <si>
    <t>Magnolia Point</t>
  </si>
  <si>
    <t>Oakview Landing</t>
  </si>
  <si>
    <t>Address</t>
  </si>
  <si>
    <t>Property</t>
  </si>
  <si>
    <t>Units</t>
  </si>
  <si>
    <t>Date</t>
  </si>
  <si>
    <t>Price</t>
  </si>
  <si>
    <t>Total / Wtd Average</t>
  </si>
  <si>
    <t>Transaction Details</t>
  </si>
  <si>
    <t>7507 Beach Blvd</t>
  </si>
  <si>
    <t>1973/1980</t>
  </si>
  <si>
    <t>3534 Smithfield Rd</t>
  </si>
  <si>
    <t>7350 Blanding Blvd</t>
  </si>
  <si>
    <t>1974/2021</t>
  </si>
  <si>
    <t>Renaissance Strawberry Creek</t>
  </si>
  <si>
    <t>7557 Arlington Expwy</t>
  </si>
  <si>
    <t>1969/2017</t>
  </si>
  <si>
    <t>Edenfield Shores</t>
  </si>
  <si>
    <t>5885 Edenfield Rd</t>
  </si>
  <si>
    <t>1975/2017</t>
  </si>
  <si>
    <t>Oasis Club</t>
  </si>
  <si>
    <t>5800 University Blvd W</t>
  </si>
  <si>
    <t>1972/2000</t>
  </si>
  <si>
    <t>Sales Comps</t>
  </si>
  <si>
    <t>Rent Comps</t>
  </si>
  <si>
    <t>Townsend</t>
  </si>
  <si>
    <t>The Square at 59 Caroline</t>
  </si>
  <si>
    <t>Casa Bella</t>
  </si>
  <si>
    <t>Built/
Renovated</t>
  </si>
  <si>
    <t>Distance to Subject (mi)</t>
  </si>
  <si>
    <t>5501 University Club Blvd N</t>
  </si>
  <si>
    <t>1975/2024</t>
  </si>
  <si>
    <t>SUBJECT</t>
  </si>
  <si>
    <t>SUBJECT*</t>
  </si>
  <si>
    <t>*Value based on proforma NOI using a market 6.2% cap rate</t>
  </si>
  <si>
    <t>Avg Unit Size (SF)</t>
  </si>
  <si>
    <t>Market Rent</t>
  </si>
  <si>
    <t>Market Rent PSF</t>
  </si>
  <si>
    <t>In-Place Rent</t>
  </si>
  <si>
    <t>In-Place Rent PSF</t>
  </si>
  <si>
    <t>Current Occupancy</t>
  </si>
  <si>
    <t>3501 Townsend Blvd</t>
  </si>
  <si>
    <t>5959 Fort Caroline Rd</t>
  </si>
  <si>
    <t>5791 University Club Blvd N</t>
  </si>
  <si>
    <t>Average Market Rent</t>
  </si>
  <si>
    <t>Average 
In-Place Rent</t>
  </si>
  <si>
    <t># Occupied Units</t>
  </si>
  <si>
    <t>Unit Mix</t>
  </si>
  <si>
    <t>Additional Capital Expenditures (see schedule page 6)</t>
  </si>
  <si>
    <t>Recoup Previously Expended Capital (see schedule page 6)</t>
  </si>
  <si>
    <t>Equity Recapture</t>
  </si>
  <si>
    <t>Loan Sizing</t>
  </si>
  <si>
    <t>TOPAZ VILLAGE</t>
  </si>
  <si>
    <t>Account Name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</si>
  <si>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</si>
  <si>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</si>
  <si>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</si>
  <si>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</si>
  <si>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</si>
  <si>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</si>
  <si>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</si>
  <si>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</si>
  <si>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</si>
  <si>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</si>
  <si>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</si>
  <si>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</si>
  <si>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Advertising</t>
  </si>
  <si>
    <t>T2</t>
  </si>
  <si>
    <t>T6</t>
  </si>
  <si>
    <t>Repairs &amp; Maintenance</t>
  </si>
  <si>
    <t>Turnover/Cleaning</t>
  </si>
  <si>
    <t>Index Rate as of 11/11/2025</t>
  </si>
  <si>
    <t>Face Rate as of 11/11/2025</t>
  </si>
  <si>
    <t>3-YR UST</t>
  </si>
  <si>
    <t>7-YR UST</t>
  </si>
  <si>
    <t>10-YR UST</t>
  </si>
  <si>
    <t>1-MO TERM SOFR</t>
  </si>
  <si>
    <r>
      <t xml:space="preserve">INDEX RATES </t>
    </r>
    <r>
      <rPr>
        <i/>
        <sz val="12"/>
        <rFont val="Calibre"/>
        <family val="2"/>
      </rPr>
      <t>(as of 11/11/2025)</t>
    </r>
  </si>
  <si>
    <t>Rent Roll</t>
  </si>
  <si>
    <t>GPR</t>
  </si>
  <si>
    <t>2025 Bill</t>
  </si>
  <si>
    <t>Acres</t>
  </si>
  <si>
    <t>Parcel ID</t>
  </si>
  <si>
    <t>Last Purchase Price</t>
  </si>
  <si>
    <t>Last Purchase Date</t>
  </si>
  <si>
    <t>PROPERTY INFO</t>
  </si>
  <si>
    <t>Economic Occupancy (Vacancy Loss only)</t>
  </si>
  <si>
    <t>Years Built</t>
  </si>
  <si>
    <t>Non-School</t>
  </si>
  <si>
    <t>School</t>
  </si>
  <si>
    <t>YoY Increases</t>
  </si>
  <si>
    <t>Taxable Values</t>
  </si>
  <si>
    <t>School - State</t>
  </si>
  <si>
    <t>School - Local Board</t>
  </si>
  <si>
    <t>School - Capital Outlay</t>
  </si>
  <si>
    <t>SJRWMD</t>
  </si>
  <si>
    <t>FL Inland Navigation</t>
  </si>
  <si>
    <t>Total Ad Valorem</t>
  </si>
  <si>
    <t>Millage</t>
  </si>
  <si>
    <t>Total Non-Ad Valorem</t>
  </si>
  <si>
    <t>TOTAL TAXES</t>
  </si>
  <si>
    <t>Less: 4% Prepay Discount</t>
  </si>
  <si>
    <t>TOTAL DISCOUNTED TAXES</t>
  </si>
  <si>
    <t>Year-over-Year</t>
  </si>
  <si>
    <t>Non-Ad Valorem</t>
  </si>
  <si>
    <t>Payoff Existing Loan</t>
  </si>
  <si>
    <t>Income Statement - 12 Month</t>
  </si>
  <si>
    <r>
      <rPr>
        <b/>
        <sz val="9"/>
        <rFont val="Arial"/>
        <family val="2"/>
      </rPr>
      <t xml:space="preserve">Exported On: </t>
    </r>
    <r>
      <rPr>
        <sz val="9"/>
        <rFont val="Arial"/>
        <family val="2"/>
      </rPr>
      <t>11/03/2025 05:33 PM</t>
    </r>
  </si>
  <si>
    <r>
      <rPr>
        <b/>
        <sz val="11"/>
        <rFont val="Arial"/>
        <family val="2"/>
      </rPr>
      <t>Atrium Management Company</t>
    </r>
  </si>
  <si>
    <r>
      <rPr>
        <b/>
        <sz val="11"/>
        <rFont val="Arial"/>
        <family val="2"/>
      </rPr>
      <t xml:space="preserve">Properties: </t>
    </r>
    <r>
      <rPr>
        <sz val="11"/>
        <rFont val="Arial"/>
        <family val="2"/>
      </rPr>
      <t>Active</t>
    </r>
  </si>
  <si>
    <r>
      <rPr>
        <b/>
        <sz val="11"/>
        <rFont val="Arial"/>
        <family val="2"/>
      </rPr>
      <t xml:space="preserve">Fund Type: </t>
    </r>
    <r>
      <rPr>
        <sz val="11"/>
        <rFont val="Arial"/>
        <family val="2"/>
      </rPr>
      <t>All</t>
    </r>
  </si>
  <si>
    <r>
      <rPr>
        <b/>
        <sz val="11"/>
        <rFont val="Arial"/>
        <family val="2"/>
      </rPr>
      <t xml:space="preserve">Period Range: </t>
    </r>
    <r>
      <rPr>
        <sz val="11"/>
        <rFont val="Arial"/>
        <family val="2"/>
      </rPr>
      <t>Nov 2024 to Oct 2025</t>
    </r>
  </si>
  <si>
    <r>
      <rPr>
        <b/>
        <sz val="11"/>
        <rFont val="Arial"/>
        <family val="2"/>
      </rPr>
      <t xml:space="preserve">Accounting Basis: </t>
    </r>
    <r>
      <rPr>
        <sz val="11"/>
        <rFont val="Arial"/>
        <family val="2"/>
      </rPr>
      <t>Accrual</t>
    </r>
  </si>
  <si>
    <r>
      <rPr>
        <b/>
        <sz val="11"/>
        <rFont val="Arial"/>
        <family val="2"/>
      </rPr>
      <t xml:space="preserve">GL Account Map: </t>
    </r>
    <r>
      <rPr>
        <sz val="11"/>
        <rFont val="Arial"/>
        <family val="2"/>
      </rPr>
      <t>None - use master chart of accounts</t>
    </r>
  </si>
  <si>
    <r>
      <rPr>
        <b/>
        <sz val="11"/>
        <rFont val="Arial"/>
        <family val="2"/>
      </rPr>
      <t xml:space="preserve">Level of Detail: </t>
    </r>
    <r>
      <rPr>
        <sz val="11"/>
        <rFont val="Arial"/>
        <family val="2"/>
      </rPr>
      <t>Detail View</t>
    </r>
  </si>
  <si>
    <r>
      <rPr>
        <b/>
        <sz val="11"/>
        <rFont val="Arial"/>
        <family val="2"/>
      </rPr>
      <t xml:space="preserve">Include Zero Balance GL Accounts: </t>
    </r>
    <r>
      <rPr>
        <sz val="11"/>
        <rFont val="Arial"/>
        <family val="2"/>
      </rPr>
      <t>No</t>
    </r>
  </si>
  <si>
    <t>Operating Income &amp; Expense</t>
  </si>
  <si>
    <t xml:space="preserve">    Income</t>
  </si>
  <si>
    <t xml:space="preserve">        Rental Income</t>
  </si>
  <si>
    <t xml:space="preserve">            Rent</t>
  </si>
  <si>
    <t xml:space="preserve">            Section-8 Rent</t>
  </si>
  <si>
    <t xml:space="preserve">            Gross Potential Rent</t>
  </si>
  <si>
    <t xml:space="preserve">            Loss/Gain to Market</t>
  </si>
  <si>
    <t xml:space="preserve">            Concessions</t>
  </si>
  <si>
    <t xml:space="preserve">            Concessions - Recurring</t>
  </si>
  <si>
    <t xml:space="preserve">            Concessions - Employee Unit</t>
  </si>
  <si>
    <t xml:space="preserve">            Vacancy</t>
  </si>
  <si>
    <t xml:space="preserve">            Bad Debt - Contra</t>
  </si>
  <si>
    <t xml:space="preserve">        Total Rental Income</t>
  </si>
  <si>
    <t xml:space="preserve">        Other Income</t>
  </si>
  <si>
    <t xml:space="preserve">            Lease Lock</t>
  </si>
  <si>
    <t xml:space="preserve">            NSF Fees Collected</t>
  </si>
  <si>
    <t xml:space="preserve">            Late Fee</t>
  </si>
  <si>
    <t xml:space="preserve">            Utility Income</t>
  </si>
  <si>
    <t xml:space="preserve">            Electricity Income</t>
  </si>
  <si>
    <t xml:space="preserve">            Utility Reimbursements</t>
  </si>
  <si>
    <t xml:space="preserve">            Resident Liability &amp; Contents Coverage</t>
  </si>
  <si>
    <t xml:space="preserve">            1st month - Resident Liability &amp; Contents Coverage </t>
  </si>
  <si>
    <t xml:space="preserve">            AppFolio Insurance Admin Fee</t>
  </si>
  <si>
    <t xml:space="preserve">            Pet Fee - Non Refundable</t>
  </si>
  <si>
    <t xml:space="preserve">            Bad Debt Recovery</t>
  </si>
  <si>
    <t xml:space="preserve">            Pet Application Fee</t>
  </si>
  <si>
    <t xml:space="preserve">            Monthly Pet Rent</t>
  </si>
  <si>
    <t xml:space="preserve">            Admin Fee</t>
  </si>
  <si>
    <t xml:space="preserve">            Early Lease Termination Fee</t>
  </si>
  <si>
    <t xml:space="preserve">            Application Fee Income</t>
  </si>
  <si>
    <t xml:space="preserve">            Extended Month to Month Fee</t>
  </si>
  <si>
    <t xml:space="preserve">            Move Out Charges</t>
  </si>
  <si>
    <t xml:space="preserve">            Move In Charges - Misc</t>
  </si>
  <si>
    <t xml:space="preserve">            Resident Transfer fee</t>
  </si>
  <si>
    <t xml:space="preserve">            Laundry Income</t>
  </si>
  <si>
    <t xml:space="preserve">            Miscellaneous Income</t>
  </si>
  <si>
    <t xml:space="preserve">            Misc Reimbursements</t>
  </si>
  <si>
    <t xml:space="preserve">            Damages</t>
  </si>
  <si>
    <t xml:space="preserve">            Amenity Fee</t>
  </si>
  <si>
    <t xml:space="preserve">            Trash Fee</t>
  </si>
  <si>
    <t xml:space="preserve">            Pest Control Fee</t>
  </si>
  <si>
    <t xml:space="preserve">            Maintenance Fee</t>
  </si>
  <si>
    <t xml:space="preserve">            Waiver Deposit Fee</t>
  </si>
  <si>
    <t xml:space="preserve">            PM Service Fee</t>
  </si>
  <si>
    <t xml:space="preserve">            Utility - OW Service Fee</t>
  </si>
  <si>
    <t xml:space="preserve">            Bad Debt - Contra Other Income</t>
  </si>
  <si>
    <t xml:space="preserve">        Total Other Income</t>
  </si>
  <si>
    <t xml:space="preserve">    Total Operating Income</t>
  </si>
  <si>
    <t xml:space="preserve">    Expense</t>
  </si>
  <si>
    <t xml:space="preserve">        Management Fee Expenses</t>
  </si>
  <si>
    <t xml:space="preserve">            Management Fees</t>
  </si>
  <si>
    <t xml:space="preserve">            Lease Renewal Fee</t>
  </si>
  <si>
    <t xml:space="preserve">            Management Fee - Multifamily</t>
  </si>
  <si>
    <t xml:space="preserve">        Total Management Fee Expenses</t>
  </si>
  <si>
    <t xml:space="preserve">        Admin Expenses</t>
  </si>
  <si>
    <t xml:space="preserve">            Property Inspections</t>
  </si>
  <si>
    <t xml:space="preserve">            Payment Processing Fees</t>
  </si>
  <si>
    <t xml:space="preserve">            Telephone Expense</t>
  </si>
  <si>
    <t xml:space="preserve">            Memberships/Professional Organizations</t>
  </si>
  <si>
    <t xml:space="preserve">            Uniforms</t>
  </si>
  <si>
    <t xml:space="preserve">            Legal Fees - Retail</t>
  </si>
  <si>
    <t xml:space="preserve">            Office Supplies</t>
  </si>
  <si>
    <t xml:space="preserve">            Bank Fees</t>
  </si>
  <si>
    <t xml:space="preserve">            Office Miscellaneous Expenses</t>
  </si>
  <si>
    <t xml:space="preserve">            Legal Expenses</t>
  </si>
  <si>
    <t xml:space="preserve">            Accounting Expenses</t>
  </si>
  <si>
    <t xml:space="preserve">            Other Professional Fees</t>
  </si>
  <si>
    <t xml:space="preserve">            Postage and Shipping Expenses</t>
  </si>
  <si>
    <t xml:space="preserve">            License and Permits</t>
  </si>
  <si>
    <t xml:space="preserve">            Education and Training</t>
  </si>
  <si>
    <t xml:space="preserve">            Computer Software</t>
  </si>
  <si>
    <t xml:space="preserve">            After Hours Cell Phone</t>
  </si>
  <si>
    <t xml:space="preserve">            Property Setup Fee</t>
  </si>
  <si>
    <t xml:space="preserve">            Online Bill Pay</t>
  </si>
  <si>
    <t xml:space="preserve">            Recruiting Expense</t>
  </si>
  <si>
    <t xml:space="preserve">            Verifast</t>
  </si>
  <si>
    <t xml:space="preserve">            Staff-Meals/Entertainment </t>
  </si>
  <si>
    <t xml:space="preserve">        Total Admin Expenses</t>
  </si>
  <si>
    <t xml:space="preserve">        Turn Costs</t>
  </si>
  <si>
    <t xml:space="preserve">            Carpet/ Floor Replacement - Turns</t>
  </si>
  <si>
    <t xml:space="preserve">            Painting Turn</t>
  </si>
  <si>
    <t xml:space="preserve">            Cleaning/Janitorial Turn</t>
  </si>
  <si>
    <t xml:space="preserve">            Key/Lock Turn</t>
  </si>
  <si>
    <t xml:space="preserve">            Carpet/Tile Cleaning - Turns</t>
  </si>
  <si>
    <t xml:space="preserve">            Turn Repairs R&amp;M</t>
  </si>
  <si>
    <t xml:space="preserve">            Tub/Shower Resurfacing - Turns</t>
  </si>
  <si>
    <t xml:space="preserve">        Total Turn Costs</t>
  </si>
  <si>
    <t xml:space="preserve">        Advertising</t>
  </si>
  <si>
    <t xml:space="preserve">            Advertising - General</t>
  </si>
  <si>
    <t xml:space="preserve">            Website</t>
  </si>
  <si>
    <t xml:space="preserve">            Resident Referral Fees</t>
  </si>
  <si>
    <t xml:space="preserve">            Marketing / Promotions</t>
  </si>
  <si>
    <t xml:space="preserve">            Resident Refreshments and Events</t>
  </si>
  <si>
    <t xml:space="preserve">            Model Expense</t>
  </si>
  <si>
    <t xml:space="preserve">            Apartments.com</t>
  </si>
  <si>
    <t xml:space="preserve">            Zillow</t>
  </si>
  <si>
    <t xml:space="preserve">        Total Advertising</t>
  </si>
  <si>
    <t xml:space="preserve">        Repairs and Maintenance</t>
  </si>
  <si>
    <t xml:space="preserve">            HVAC (Heat, Ventilation, Air) R&amp;M</t>
  </si>
  <si>
    <t xml:space="preserve">            Plumbing R&amp;M</t>
  </si>
  <si>
    <t xml:space="preserve">            Electrical R&amp;M</t>
  </si>
  <si>
    <t xml:space="preserve">            Roof R&amp;M</t>
  </si>
  <si>
    <t xml:space="preserve">            Supplies R&amp;M</t>
  </si>
  <si>
    <t xml:space="preserve">            Appliance R&amp;M</t>
  </si>
  <si>
    <t xml:space="preserve">            Window  and Screen R&amp;M</t>
  </si>
  <si>
    <t xml:space="preserve">            Repair R&amp;M</t>
  </si>
  <si>
    <t xml:space="preserve">            Equipment/Tools R&amp;M</t>
  </si>
  <si>
    <t xml:space="preserve">            Maintenance Services Request</t>
  </si>
  <si>
    <t xml:space="preserve">            Trash Cleanup</t>
  </si>
  <si>
    <t xml:space="preserve">            Bulk Trash Pickup</t>
  </si>
  <si>
    <t xml:space="preserve">            Vehicle Maint &amp; Fuel</t>
  </si>
  <si>
    <t xml:space="preserve">        Total Repairs and Maintenance</t>
  </si>
  <si>
    <t xml:space="preserve">        Contract Services</t>
  </si>
  <si>
    <t xml:space="preserve">            Pool R&amp;M</t>
  </si>
  <si>
    <t xml:space="preserve">            Security/Fire Alarm R&amp;M</t>
  </si>
  <si>
    <t xml:space="preserve">            Lift Station R&amp;M</t>
  </si>
  <si>
    <t xml:space="preserve">            Handy Trac Monthly Service</t>
  </si>
  <si>
    <t xml:space="preserve">            Security/Fire Alarm Contract</t>
  </si>
  <si>
    <t xml:space="preserve">            Garbage/Recycling Expense</t>
  </si>
  <si>
    <t xml:space="preserve">            Landscaping Contract</t>
  </si>
  <si>
    <t xml:space="preserve">            Television and Internet Contract</t>
  </si>
  <si>
    <t xml:space="preserve">            Pest Control Contract</t>
  </si>
  <si>
    <t xml:space="preserve">            Pool Service Contract</t>
  </si>
  <si>
    <t xml:space="preserve">        Total Contract Services</t>
  </si>
  <si>
    <t xml:space="preserve">        Utilities</t>
  </si>
  <si>
    <t xml:space="preserve">            Electricity Expense</t>
  </si>
  <si>
    <t xml:space="preserve">            Gas Expense</t>
  </si>
  <si>
    <t xml:space="preserve">            Water Expense</t>
  </si>
  <si>
    <t xml:space="preserve">            Sewer Expense</t>
  </si>
  <si>
    <t xml:space="preserve">            Electricity Expense - House</t>
  </si>
  <si>
    <t xml:space="preserve">            Electricity Expense - Unit</t>
  </si>
  <si>
    <t xml:space="preserve">            Water Expense - House</t>
  </si>
  <si>
    <t xml:space="preserve">        Total Utilities</t>
  </si>
  <si>
    <t xml:space="preserve">        Taxes and Insurance</t>
  </si>
  <si>
    <t xml:space="preserve">            Insurance - Property</t>
  </si>
  <si>
    <t xml:space="preserve">            Property (Real Estate) Tax</t>
  </si>
  <si>
    <t xml:space="preserve">        Total Taxes and Insurance</t>
  </si>
  <si>
    <t xml:space="preserve">        Payroll Expenses</t>
  </si>
  <si>
    <t xml:space="preserve">            Cell Phone Reimbursement </t>
  </si>
  <si>
    <t xml:space="preserve">            Wages</t>
  </si>
  <si>
    <t xml:space="preserve">            Social Security</t>
  </si>
  <si>
    <t xml:space="preserve">            Medicare</t>
  </si>
  <si>
    <t xml:space="preserve">            FUTA</t>
  </si>
  <si>
    <t xml:space="preserve">            SUI</t>
  </si>
  <si>
    <t xml:space="preserve">            Workers Comp</t>
  </si>
  <si>
    <t xml:space="preserve">            Paylocity Fee</t>
  </si>
  <si>
    <t xml:space="preserve">            Health Insurance</t>
  </si>
  <si>
    <t xml:space="preserve">            Bonuses</t>
  </si>
  <si>
    <t xml:space="preserve">            ER Paid Life Insurance</t>
  </si>
  <si>
    <t xml:space="preserve">            ER Paid STD Insurance</t>
  </si>
  <si>
    <t xml:space="preserve">            Commissions Expense</t>
  </si>
  <si>
    <t xml:space="preserve">            Monthly Payroll Expense</t>
  </si>
  <si>
    <t xml:space="preserve">        Total Payroll Expenses</t>
  </si>
  <si>
    <t xml:space="preserve">    Total Operating Expense</t>
  </si>
  <si>
    <t xml:space="preserve">    NOI - Net Operating Income</t>
  </si>
  <si>
    <t>Other Income &amp; Expense</t>
  </si>
  <si>
    <t xml:space="preserve">    Other Income</t>
  </si>
  <si>
    <t xml:space="preserve">        Interest Income</t>
  </si>
  <si>
    <t xml:space="preserve">    Total Other Income</t>
  </si>
  <si>
    <t xml:space="preserve">    Other Expense</t>
  </si>
  <si>
    <t xml:space="preserve">        Mortgage Interest Expense</t>
  </si>
  <si>
    <t xml:space="preserve">        Mortgage Fees</t>
  </si>
  <si>
    <t xml:space="preserve">        OWNER/ASSET LEVEL EXPENSE</t>
  </si>
  <si>
    <t xml:space="preserve">            Meals/Entertainment</t>
  </si>
  <si>
    <t xml:space="preserve">        Total OWNER/ASSET LEVEL EXPENSE</t>
  </si>
  <si>
    <t xml:space="preserve">        CAPITAL EXPENDITURES</t>
  </si>
  <si>
    <t xml:space="preserve">            Reno - Bldg Improv Exterior</t>
  </si>
  <si>
    <t xml:space="preserve">            Reno Interiors - Appliances</t>
  </si>
  <si>
    <t xml:space="preserve">            Reno Interiors - Flooring</t>
  </si>
  <si>
    <t xml:space="preserve">            Reno Interiors - Electrical</t>
  </si>
  <si>
    <t xml:space="preserve">            Reno Interiors - Supplies/Chad Pack</t>
  </si>
  <si>
    <t xml:space="preserve">            Reno Interior Projects - Electrical</t>
  </si>
  <si>
    <t xml:space="preserve">            Reno - Misc</t>
  </si>
  <si>
    <t xml:space="preserve">            Reno Common Area - Pool Area Repairs</t>
  </si>
  <si>
    <t xml:space="preserve">            Reno Common Area - Pool Area Enhancements</t>
  </si>
  <si>
    <t xml:space="preserve">            RENO COMMON AREA - SECURITY/CAMERAS/FOBS/OT</t>
  </si>
  <si>
    <t xml:space="preserve">            Flooring Replacement Expense</t>
  </si>
  <si>
    <t xml:space="preserve">            HVAC Replacement Expense</t>
  </si>
  <si>
    <t xml:space="preserve">            Major Plumbing Expense</t>
  </si>
  <si>
    <t xml:space="preserve">            Plumbing Fixtures Replacement Expense</t>
  </si>
  <si>
    <t xml:space="preserve">            Water Heater Replacement Expense</t>
  </si>
  <si>
    <t xml:space="preserve">            Tub/Shower Resurfacing - Capital Expenses</t>
  </si>
  <si>
    <t xml:space="preserve">            Major Equipment Expenses</t>
  </si>
  <si>
    <t xml:space="preserve">            Major Interior Bldg Expense</t>
  </si>
  <si>
    <t xml:space="preserve">        Total CAPITAL EXPENDITURES</t>
  </si>
  <si>
    <t xml:space="preserve">    Total Other Expense</t>
  </si>
  <si>
    <t xml:space="preserve">    Net Other Income</t>
  </si>
  <si>
    <t xml:space="preserve">    Total Income</t>
  </si>
  <si>
    <t xml:space="preserve">    Total Expense</t>
  </si>
  <si>
    <t xml:space="preserve">    Net Income</t>
  </si>
  <si>
    <r>
      <rPr>
        <b/>
        <sz val="9"/>
        <rFont val="Arial"/>
        <family val="2"/>
      </rPr>
      <t xml:space="preserve">Exported On: </t>
    </r>
    <r>
      <rPr>
        <sz val="9"/>
        <rFont val="Arial"/>
        <family val="2"/>
      </rPr>
      <t>11/04/2025 01:18 PM</t>
    </r>
  </si>
  <si>
    <r>
      <rPr>
        <b/>
        <sz val="11"/>
        <rFont val="Arial"/>
        <family val="2"/>
      </rPr>
      <t xml:space="preserve">Properties: </t>
    </r>
    <r>
      <rPr>
        <sz val="11"/>
        <rFont val="Arial"/>
        <family val="2"/>
      </rPr>
      <t>All</t>
    </r>
  </si>
  <si>
    <r>
      <rPr>
        <b/>
        <sz val="11"/>
        <rFont val="Arial"/>
        <family val="2"/>
      </rPr>
      <t xml:space="preserve">Units: </t>
    </r>
    <r>
      <rPr>
        <sz val="11"/>
        <rFont val="Arial"/>
        <family val="2"/>
      </rPr>
      <t>Active</t>
    </r>
  </si>
  <si>
    <r>
      <rPr>
        <b/>
        <sz val="11"/>
        <rFont val="Arial"/>
        <family val="2"/>
      </rPr>
      <t xml:space="preserve">As of: </t>
    </r>
    <r>
      <rPr>
        <sz val="11"/>
        <rFont val="Arial"/>
        <family val="2"/>
      </rPr>
      <t>10/31/2025</t>
    </r>
  </si>
  <si>
    <r>
      <rPr>
        <b/>
        <sz val="11"/>
        <rFont val="Arial"/>
        <family val="2"/>
      </rPr>
      <t xml:space="preserve">Include Non-Revenue Units: </t>
    </r>
    <r>
      <rPr>
        <sz val="11"/>
        <rFont val="Arial"/>
        <family val="2"/>
      </rPr>
      <t>No</t>
    </r>
  </si>
  <si>
    <t>Unit</t>
  </si>
  <si>
    <t>BD/BA</t>
  </si>
  <si>
    <t>Sqft</t>
  </si>
  <si>
    <t>Tenant</t>
  </si>
  <si>
    <t>Recurring Charges</t>
  </si>
  <si>
    <t>Lease From</t>
  </si>
  <si>
    <t>Lease To</t>
  </si>
  <si>
    <t>Move-in</t>
  </si>
  <si>
    <t>Move-out</t>
  </si>
  <si>
    <t>Past Due</t>
  </si>
  <si>
    <t>NSF Count</t>
  </si>
  <si>
    <t>Late Count</t>
  </si>
  <si>
    <t>Oasis at San Marco - 4800 Atlantic Blvd Jacksonville, FL 32207</t>
  </si>
  <si>
    <t/>
  </si>
  <si>
    <t>G138</t>
  </si>
  <si>
    <t>2/1.50</t>
  </si>
  <si>
    <t>Vacant-Unrented</t>
  </si>
  <si>
    <t>I153</t>
  </si>
  <si>
    <t>3/2.00</t>
  </si>
  <si>
    <t>B132</t>
  </si>
  <si>
    <t>1/1.00</t>
  </si>
  <si>
    <t>Vivian Jenkins</t>
  </si>
  <si>
    <t>Evict</t>
  </si>
  <si>
    <t>B236</t>
  </si>
  <si>
    <t>Persharon Jennings</t>
  </si>
  <si>
    <t>Current</t>
  </si>
  <si>
    <t>F213</t>
  </si>
  <si>
    <t>Doris Blake</t>
  </si>
  <si>
    <t>B136</t>
  </si>
  <si>
    <t>Arlene Marcellus-Summers</t>
  </si>
  <si>
    <t>F113</t>
  </si>
  <si>
    <t>Lisa Colon</t>
  </si>
  <si>
    <t>C131</t>
  </si>
  <si>
    <t>Victoria Acevedo</t>
  </si>
  <si>
    <t>B134</t>
  </si>
  <si>
    <t>Myia M. Natson-Green</t>
  </si>
  <si>
    <t>B232</t>
  </si>
  <si>
    <t>Jemuel A. Derla</t>
  </si>
  <si>
    <t>B234</t>
  </si>
  <si>
    <t>Tavish D. Reynolds</t>
  </si>
  <si>
    <t>F111</t>
  </si>
  <si>
    <t>Asia R. Lincoln</t>
  </si>
  <si>
    <t>F115</t>
  </si>
  <si>
    <t>Donnalyn A. Montgomery</t>
  </si>
  <si>
    <t>I156</t>
  </si>
  <si>
    <t>Carlos A. Garcia</t>
  </si>
  <si>
    <t>I254</t>
  </si>
  <si>
    <t>Adriana Pedroso</t>
  </si>
  <si>
    <t>B233</t>
  </si>
  <si>
    <t>Vanness White</t>
  </si>
  <si>
    <t>B133</t>
  </si>
  <si>
    <t>Allison Jones</t>
  </si>
  <si>
    <t>I258</t>
  </si>
  <si>
    <t>Burton Martinez</t>
  </si>
  <si>
    <t>B135</t>
  </si>
  <si>
    <t>Leslie Montalvo</t>
  </si>
  <si>
    <t>B137</t>
  </si>
  <si>
    <t>Delrita Richards</t>
  </si>
  <si>
    <t>B237</t>
  </si>
  <si>
    <t>Juan Esteban</t>
  </si>
  <si>
    <t>C128</t>
  </si>
  <si>
    <t>Jasmine Mixson</t>
  </si>
  <si>
    <t>C129</t>
  </si>
  <si>
    <t>Julio Galindo Hernandez</t>
  </si>
  <si>
    <t>C130</t>
  </si>
  <si>
    <t>Leana  S. Aldama</t>
  </si>
  <si>
    <t>C228</t>
  </si>
  <si>
    <t>Ability Housing, Inc.</t>
  </si>
  <si>
    <t>C230</t>
  </si>
  <si>
    <t>Yanely Gomez</t>
  </si>
  <si>
    <t>C231</t>
  </si>
  <si>
    <t>Julianna Martinez</t>
  </si>
  <si>
    <t>E119</t>
  </si>
  <si>
    <t>2/1.00</t>
  </si>
  <si>
    <t>Michael Hays</t>
  </si>
  <si>
    <t>F110</t>
  </si>
  <si>
    <t>Alfredo Raudez Ramos</t>
  </si>
  <si>
    <t>F112</t>
  </si>
  <si>
    <t>Frantzso Etienne</t>
  </si>
  <si>
    <t>F114</t>
  </si>
  <si>
    <t>Yerili Rodriguez Chong</t>
  </si>
  <si>
    <t>F210</t>
  </si>
  <si>
    <t>Jose Hernandez</t>
  </si>
  <si>
    <t>F212</t>
  </si>
  <si>
    <t>Shawn Geddes</t>
  </si>
  <si>
    <t>F214</t>
  </si>
  <si>
    <t>Wayne Wicker</t>
  </si>
  <si>
    <t>F215</t>
  </si>
  <si>
    <t>Presbyterian Social Ministries</t>
  </si>
  <si>
    <t>I158</t>
  </si>
  <si>
    <t>Kassidy King</t>
  </si>
  <si>
    <t>I256</t>
  </si>
  <si>
    <t>Nelson Perdomo Alvarez</t>
  </si>
  <si>
    <t>J246</t>
  </si>
  <si>
    <t>Pashent Robinson</t>
  </si>
  <si>
    <t>J247</t>
  </si>
  <si>
    <t>Shelly Diallo</t>
  </si>
  <si>
    <t>J249</t>
  </si>
  <si>
    <t>Aaliyah K. Myers</t>
  </si>
  <si>
    <t>D226</t>
  </si>
  <si>
    <t>Lisandro Matos</t>
  </si>
  <si>
    <t>E118</t>
  </si>
  <si>
    <t>Miguel Munoz Alvarado</t>
  </si>
  <si>
    <t>C229</t>
  </si>
  <si>
    <t>Beryl Davis III</t>
  </si>
  <si>
    <t>B235</t>
  </si>
  <si>
    <t>Andre Outlaw</t>
  </si>
  <si>
    <t>A106</t>
  </si>
  <si>
    <t>Darius A. Baldwin</t>
  </si>
  <si>
    <t>D126</t>
  </si>
  <si>
    <t>SanTonio M. Davis</t>
  </si>
  <si>
    <t>D127</t>
  </si>
  <si>
    <t>Genesis Badnegas</t>
  </si>
  <si>
    <t>E116</t>
  </si>
  <si>
    <t>Nicole  A. Cunningham</t>
  </si>
  <si>
    <t>F211</t>
  </si>
  <si>
    <t>Erick Torres Escalera</t>
  </si>
  <si>
    <t>G143</t>
  </si>
  <si>
    <t>Temeka R. Stanley</t>
  </si>
  <si>
    <t>G145</t>
  </si>
  <si>
    <t>wilfrido sanchez martinez</t>
  </si>
  <si>
    <t>H262</t>
  </si>
  <si>
    <t>Thomas Cortes</t>
  </si>
  <si>
    <t>H263</t>
  </si>
  <si>
    <t>Seifelyazal H. Ali</t>
  </si>
  <si>
    <t>H264</t>
  </si>
  <si>
    <t>Dennis  M. Simanovich</t>
  </si>
  <si>
    <t>I152</t>
  </si>
  <si>
    <t>Daniel P. Ellison</t>
  </si>
  <si>
    <t>J150</t>
  </si>
  <si>
    <t>Karmecianna Williams</t>
  </si>
  <si>
    <t>E117</t>
  </si>
  <si>
    <t>Carlos Sardinas</t>
  </si>
  <si>
    <t>E217</t>
  </si>
  <si>
    <t>Osmany Rojas</t>
  </si>
  <si>
    <t>E218</t>
  </si>
  <si>
    <t>Myra Castillo</t>
  </si>
  <si>
    <t>G238</t>
  </si>
  <si>
    <t>Pamela Midcap</t>
  </si>
  <si>
    <t>J148</t>
  </si>
  <si>
    <t>Silas Gordon</t>
  </si>
  <si>
    <t>J149</t>
  </si>
  <si>
    <t>Luis Romero</t>
  </si>
  <si>
    <t>J151</t>
  </si>
  <si>
    <t>Jorge Escobar</t>
  </si>
  <si>
    <t>J248</t>
  </si>
  <si>
    <t>Shalita Frazier</t>
  </si>
  <si>
    <t>G144</t>
  </si>
  <si>
    <t>Tyrone Liddell</t>
  </si>
  <si>
    <t>J146</t>
  </si>
  <si>
    <t>DeNaja Banks</t>
  </si>
  <si>
    <t>E219</t>
  </si>
  <si>
    <t>Roalndo Gonzalez</t>
  </si>
  <si>
    <t>J251</t>
  </si>
  <si>
    <t>Mujtaba Mahamoodzada</t>
  </si>
  <si>
    <t>D220</t>
  </si>
  <si>
    <t>Patrick Hahn</t>
  </si>
  <si>
    <t>A105</t>
  </si>
  <si>
    <t>Kioni D. Campbell</t>
  </si>
  <si>
    <t>A202</t>
  </si>
  <si>
    <t>Catina D. Attaway</t>
  </si>
  <si>
    <t>A206</t>
  </si>
  <si>
    <t>Jorge L. Escalona Salinas</t>
  </si>
  <si>
    <t>A208</t>
  </si>
  <si>
    <t>Tashauna S. Hills</t>
  </si>
  <si>
    <t>D123</t>
  </si>
  <si>
    <t>Angel Jhazzell</t>
  </si>
  <si>
    <t>D124</t>
  </si>
  <si>
    <t>Safiullah Jalali</t>
  </si>
  <si>
    <t>D223</t>
  </si>
  <si>
    <t>Meikaja D. Bass</t>
  </si>
  <si>
    <t>E216</t>
  </si>
  <si>
    <t>Gretell Castro</t>
  </si>
  <si>
    <t>G244</t>
  </si>
  <si>
    <t>Courtney A. Brannen</t>
  </si>
  <si>
    <t>G245</t>
  </si>
  <si>
    <t>Harry J. Black</t>
  </si>
  <si>
    <t>H163</t>
  </si>
  <si>
    <t>Dajanae Brown</t>
  </si>
  <si>
    <t>H260</t>
  </si>
  <si>
    <t>Janell A. Joyce</t>
  </si>
  <si>
    <t>H265</t>
  </si>
  <si>
    <t>Ezekiel  L. Anderson</t>
  </si>
  <si>
    <t>A204</t>
  </si>
  <si>
    <t>Yenisel Fernandez</t>
  </si>
  <si>
    <t>G142</t>
  </si>
  <si>
    <t>Danier Delagado Sanchez</t>
  </si>
  <si>
    <t>Notice-Unrented</t>
  </si>
  <si>
    <t>D120</t>
  </si>
  <si>
    <t>Najah Mayo</t>
  </si>
  <si>
    <t>I154</t>
  </si>
  <si>
    <t>Cecilio O. Orta-Martinez</t>
  </si>
  <si>
    <t>G241</t>
  </si>
  <si>
    <t>Delia Eslavon</t>
  </si>
  <si>
    <t>A104</t>
  </si>
  <si>
    <t>Yisen Montalvo</t>
  </si>
  <si>
    <t>D222</t>
  </si>
  <si>
    <t>Ameer Hamza</t>
  </si>
  <si>
    <t>H165</t>
  </si>
  <si>
    <t>Deborah L. Anderson</t>
  </si>
  <si>
    <t>A107</t>
  </si>
  <si>
    <t>Baktash Nawan</t>
  </si>
  <si>
    <t>A109</t>
  </si>
  <si>
    <t>Adams Ghaji</t>
  </si>
  <si>
    <t>D122</t>
  </si>
  <si>
    <t>Moises Francisco</t>
  </si>
  <si>
    <t>D227</t>
  </si>
  <si>
    <t>Antwanette Johnekins</t>
  </si>
  <si>
    <t>J250</t>
  </si>
  <si>
    <t>Angel Moya</t>
  </si>
  <si>
    <t>G243</t>
  </si>
  <si>
    <t>Tilor Correll</t>
  </si>
  <si>
    <t>G141</t>
  </si>
  <si>
    <t>Phylicia Carter</t>
  </si>
  <si>
    <t>A203</t>
  </si>
  <si>
    <t>Scheila Chagas</t>
  </si>
  <si>
    <t>D225</t>
  </si>
  <si>
    <t>Jose Perez</t>
  </si>
  <si>
    <t>G139</t>
  </si>
  <si>
    <t>Alexander Lucas Zapata</t>
  </si>
  <si>
    <t>H261</t>
  </si>
  <si>
    <t>Latif Nedimovic</t>
  </si>
  <si>
    <t>I159</t>
  </si>
  <si>
    <t>Tantania Burkett</t>
  </si>
  <si>
    <t>I252</t>
  </si>
  <si>
    <t>Ana Rodriguez De Garcia</t>
  </si>
  <si>
    <t>D125</t>
  </si>
  <si>
    <t>Mary Hale</t>
  </si>
  <si>
    <t>D221</t>
  </si>
  <si>
    <t>Dinia Banegas</t>
  </si>
  <si>
    <t>D224</t>
  </si>
  <si>
    <t>Jose Ramos</t>
  </si>
  <si>
    <t>G240</t>
  </si>
  <si>
    <t>Sajid Mirazi</t>
  </si>
  <si>
    <t>H160</t>
  </si>
  <si>
    <t>Billenia Smith</t>
  </si>
  <si>
    <t>H161</t>
  </si>
  <si>
    <t>Yosainer Rodriguez</t>
  </si>
  <si>
    <t>H162</t>
  </si>
  <si>
    <t>Andreina Carmen</t>
  </si>
  <si>
    <t>H164</t>
  </si>
  <si>
    <t>Chanting Jackson</t>
  </si>
  <si>
    <t>I259</t>
  </si>
  <si>
    <t>Jeyner Hernandez</t>
  </si>
  <si>
    <t>J147</t>
  </si>
  <si>
    <t>Robert Stephens</t>
  </si>
  <si>
    <t>D121</t>
  </si>
  <si>
    <t>Justice Williams</t>
  </si>
  <si>
    <t>I255</t>
  </si>
  <si>
    <t>Michael Henderson</t>
  </si>
  <si>
    <t>I157</t>
  </si>
  <si>
    <t>Avery Kwame</t>
  </si>
  <si>
    <t>A103</t>
  </si>
  <si>
    <t>Toniece Jenkins</t>
  </si>
  <si>
    <t>A108</t>
  </si>
  <si>
    <t>Esperanza Pereira</t>
  </si>
  <si>
    <t>A205</t>
  </si>
  <si>
    <t>Arifa Rezai</t>
  </si>
  <si>
    <t>A207</t>
  </si>
  <si>
    <t>Agneli Herrera Ruz</t>
  </si>
  <si>
    <t>A209</t>
  </si>
  <si>
    <t>Alexi Lopez</t>
  </si>
  <si>
    <t>G140</t>
  </si>
  <si>
    <t>Tarsha Daise</t>
  </si>
  <si>
    <t>G239</t>
  </si>
  <si>
    <t>Joshua Reed-Buck</t>
  </si>
  <si>
    <t>G242</t>
  </si>
  <si>
    <t>Yordan Montesino</t>
  </si>
  <si>
    <t>I257</t>
  </si>
  <si>
    <t>Carlanika T. Brown</t>
  </si>
  <si>
    <t>I253</t>
  </si>
  <si>
    <t>Francisco Gonzales</t>
  </si>
  <si>
    <t>I155</t>
  </si>
  <si>
    <t>Abdullah Hassan</t>
  </si>
  <si>
    <t>127 Units</t>
  </si>
  <si>
    <t>98.4% Occupied</t>
  </si>
  <si>
    <t>Total 127 Units</t>
  </si>
  <si>
    <t>GPR CALCULATION</t>
  </si>
  <si>
    <t>Rent Roll as of 11/4/2025</t>
  </si>
  <si>
    <t>OASIS AT SAN MARCO</t>
  </si>
  <si>
    <t>Occupancy</t>
  </si>
  <si>
    <t>129496-0000</t>
  </si>
  <si>
    <t>4800 Atlantic Blvd</t>
  </si>
  <si>
    <t>https://paopropertysearch.coj.net/Basic/Detail.aspx?RE=1294960000</t>
  </si>
  <si>
    <t>COJ Solid Waste</t>
  </si>
  <si>
    <t>COJ Stormwater</t>
  </si>
  <si>
    <t>COJ</t>
  </si>
  <si>
    <t>School - Voter Approved</t>
  </si>
  <si>
    <t>Purchase Price (1/22/2024)</t>
  </si>
  <si>
    <r>
      <rPr>
        <b/>
        <sz val="9"/>
        <rFont val="Arial"/>
        <family val="2"/>
      </rPr>
      <t xml:space="preserve">Exported On: </t>
    </r>
    <r>
      <rPr>
        <sz val="9"/>
        <rFont val="Arial"/>
        <family val="2"/>
      </rPr>
      <t>12/10/2025 03:27 PM</t>
    </r>
  </si>
  <si>
    <r>
      <rPr>
        <b/>
        <sz val="11"/>
        <rFont val="Arial"/>
        <family val="2"/>
      </rPr>
      <t xml:space="preserve">Properties: </t>
    </r>
    <r>
      <rPr>
        <sz val="11"/>
        <rFont val="Arial"/>
        <family val="2"/>
      </rPr>
      <t>Oasis at San Marco - 4800 Atlantic Blvd Jacksonville, FL 32207</t>
    </r>
  </si>
  <si>
    <r>
      <rPr>
        <b/>
        <sz val="11"/>
        <rFont val="Arial"/>
        <family val="2"/>
      </rPr>
      <t xml:space="preserve">Period Range: </t>
    </r>
    <r>
      <rPr>
        <sz val="11"/>
        <rFont val="Arial"/>
        <family val="2"/>
      </rPr>
      <t>Dec 2024 to Nov 2025 (Trailing 12 Months)</t>
    </r>
  </si>
  <si>
    <t>Nov 2025</t>
  </si>
  <si>
    <t xml:space="preserve">            Interest on Bank Accounts</t>
  </si>
  <si>
    <t xml:space="preserve">            Office Rent</t>
  </si>
  <si>
    <t xml:space="preserve">            Marketing - Entertainment</t>
  </si>
  <si>
    <t xml:space="preserve">            Reno - Bldg Improv Interior</t>
  </si>
  <si>
    <t xml:space="preserve">            Reno Interiors - Painting</t>
  </si>
  <si>
    <t xml:space="preserve">            Major Roof Repair Expense</t>
  </si>
  <si>
    <t xml:space="preserve">            Renovation Expense</t>
  </si>
  <si>
    <t xml:space="preserve">            Major Window and Glass Expense</t>
  </si>
  <si>
    <t xml:space="preserve">            Interior Unit Repairs - Major</t>
  </si>
  <si>
    <t>Insurance Renewal</t>
  </si>
  <si>
    <t>Value at</t>
  </si>
  <si>
    <t>VARIANCE</t>
  </si>
  <si>
    <t>OCTOBER</t>
  </si>
  <si>
    <t>NOVEMBER</t>
  </si>
  <si>
    <r>
      <t xml:space="preserve">INDEX RATES </t>
    </r>
    <r>
      <rPr>
        <i/>
        <sz val="12"/>
        <rFont val="Calibre"/>
        <family val="2"/>
      </rPr>
      <t>(as of 12/16/2025)</t>
    </r>
  </si>
  <si>
    <t>Index Rate at the Time</t>
  </si>
  <si>
    <t>Face Rate at the Time</t>
  </si>
  <si>
    <t>CBRE UNDERWRITING AND HISTORICAL OVERVIEW - COMPARISON</t>
  </si>
  <si>
    <r>
      <rPr>
        <b/>
        <sz val="9"/>
        <rFont val="Arial"/>
        <family val="2"/>
      </rPr>
      <t xml:space="preserve">Exported On: </t>
    </r>
    <r>
      <rPr>
        <sz val="9"/>
        <rFont val="Arial"/>
        <family val="2"/>
      </rPr>
      <t>12/16/2025 04:57 PM</t>
    </r>
  </si>
  <si>
    <r>
      <rPr>
        <b/>
        <sz val="11"/>
        <rFont val="Arial"/>
        <family val="2"/>
      </rPr>
      <t xml:space="preserve">As of: </t>
    </r>
    <r>
      <rPr>
        <sz val="11"/>
        <rFont val="Arial"/>
        <family val="2"/>
      </rPr>
      <t>12/16/2025</t>
    </r>
  </si>
  <si>
    <t>Vacant-Rented</t>
  </si>
  <si>
    <t>Jose Morles Hernandez</t>
  </si>
  <si>
    <t>Omega  A. Johnson</t>
  </si>
  <si>
    <t>Lacoria S. Glover</t>
  </si>
  <si>
    <t>Nicole J. Rhodes</t>
  </si>
  <si>
    <t>Kaelin C. Pooler</t>
  </si>
  <si>
    <t>Elaina L. Fogus</t>
  </si>
  <si>
    <t>Jaw  M. Hay</t>
  </si>
  <si>
    <t>Maria E. Henderson</t>
  </si>
  <si>
    <t>Joshua E. Fields</t>
  </si>
  <si>
    <t>97.6% Occupied</t>
  </si>
  <si>
    <t>OCT = 11/4/25 RR, NOV = 12/16/25 RR</t>
  </si>
  <si>
    <t>Index Rate Date</t>
  </si>
  <si>
    <t>OCT = 11/4/25 RR, NOV =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</si>
</sst>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0.0%"/>
    <numFmt numFmtId="166" formatCode="0.0000"/>
    <numFmt numFmtId="167" formatCode="&quot;$&quot;#,##0&quot;/unit&quot;"/>
    <numFmt numFmtId="168" formatCode="0.000%"/>
    <numFmt numFmtId="169" formatCode="#,##0.00&quot;x&quot;"/>
    <numFmt numFmtId="170" formatCode="#,##0&quot;-year amortization&quot;"/>
    <numFmt numFmtId="171" formatCode="0.00&quot;x&quot;"/>
    <numFmt numFmtId="172" formatCode="_(* #,##0_);_(* \(#,##0\);_(* &quot;-&quot;??_);_(@_)"/>
    <numFmt numFmtId="173" formatCode="_(&quot;$&quot;* #,##0_);_(&quot;$&quot;* \(#,##0\);_(&quot;$&quot;* &quot;-&quot;??_);_(@_)"/>
    <numFmt numFmtId="174" formatCode="&quot;$&quot;#,##0.00&quot; per $100 secured&quot;"/>
    <numFmt numFmtId="175" formatCode="&quot;$&quot;#,##0.00&quot; per $1,000 secured&quot;"/>
    <numFmt numFmtId="176" formatCode="[$-409]mmm\-yy;@"/>
    <numFmt numFmtId="177" formatCode="&quot;$&quot;#,##0.00"/>
    <numFmt numFmtId="178" formatCode="0.00%&quot; on Effective Gross Income&quot;"/>
    <numFmt numFmtId="179" formatCode="0.0000%"/>
    <numFmt numFmtId="180" formatCode="#,##0.0000"/>
    <numFmt numFmtId="181" formatCode="#,##0.00;[Red]\-#,##0.00"/>
    <numFmt numFmtId="182" formatCode="#,##0;[Red]\-#,##0"/>
    <numFmt numFmtId="183" formatCode="mm/dd/yyyy"/>
    <numFmt numFmtId="184" formatCode="0.00%&quot; cap rate&quot;"/>
  </numFmts>
  <fonts count="5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0" tint="-0.34998626667073579"/>
      <name val="Arial"/>
      <family val="2"/>
    </font>
    <font>
      <sz val="11"/>
      <color theme="0" tint="-0.34998626667073579"/>
      <name val="Calibri"/>
      <family val="2"/>
      <scheme val="minor"/>
    </font>
    <font>
      <sz val="12"/>
      <color theme="0" tint="-0.249977111117893"/>
      <name val="Calibre"/>
      <family val="2"/>
    </font>
    <font>
      <sz val="12"/>
      <color theme="1"/>
      <name val="Calibre"/>
      <family val="2"/>
    </font>
    <font>
      <sz val="12"/>
      <name val="Calibre"/>
      <family val="2"/>
    </font>
    <font>
      <i/>
      <sz val="11"/>
      <color theme="0" tint="-0.249977111117893"/>
      <name val="Calibre"/>
      <family val="2"/>
    </font>
    <font>
      <i/>
      <sz val="11"/>
      <color theme="1"/>
      <name val="Calibre"/>
      <family val="2"/>
    </font>
    <font>
      <i/>
      <sz val="11"/>
      <name val="Calibre"/>
      <family val="2"/>
    </font>
    <font>
      <sz val="12"/>
      <color rgb="FF0000CC"/>
      <name val="Calibre"/>
      <family val="2"/>
    </font>
    <font>
      <sz val="12"/>
      <name val="Calibre Semibold"/>
      <family val="2"/>
    </font>
    <font>
      <u/>
      <sz val="12"/>
      <name val="Calibre"/>
      <family val="2"/>
    </font>
    <font>
      <sz val="14"/>
      <name val="Calibre"/>
      <family val="2"/>
    </font>
    <font>
      <sz val="18"/>
      <name val="Calibre"/>
      <family val="2"/>
    </font>
    <font>
      <i/>
      <sz val="12"/>
      <name val="Calibre"/>
      <family val="2"/>
    </font>
    <font>
      <sz val="18"/>
      <color rgb="FF778F9C"/>
      <name val="Calibre Semibold"/>
      <family val="2"/>
    </font>
    <font>
      <sz val="11"/>
      <color rgb="FF012A2D"/>
      <name val="Calibre"/>
      <family val="2"/>
    </font>
    <font>
      <b/>
      <sz val="11"/>
      <color rgb="FF435254"/>
      <name val="Calibre"/>
      <family val="2"/>
    </font>
    <font>
      <u/>
      <sz val="11"/>
      <color rgb="FF012A2D"/>
      <name val="Calibre"/>
      <family val="2"/>
    </font>
    <font>
      <sz val="11"/>
      <color rgb="FF435254"/>
      <name val="Calibre Semibold"/>
      <family val="2"/>
    </font>
    <font>
      <b/>
      <sz val="11"/>
      <color rgb="FF435254"/>
      <name val="Calibre Semibold"/>
      <family val="2"/>
    </font>
    <font>
      <sz val="12"/>
      <color theme="1"/>
      <name val="Calibre Semibold"/>
      <family val="2"/>
    </font>
    <font>
      <b/>
      <sz val="18"/>
      <color rgb="FF778F9C"/>
      <name val="Calibre Light"/>
      <family val="2"/>
    </font>
    <font>
      <sz val="11"/>
      <color rgb="FF012A2D"/>
      <name val="Calibre Semibold"/>
      <family val="2"/>
    </font>
    <font>
      <b/>
      <sz val="11"/>
      <color rgb="FF012A2D"/>
      <name val="Calibre"/>
      <family val="2"/>
    </font>
    <font>
      <sz val="12"/>
      <color theme="0"/>
      <name val="Calibre Semibold"/>
      <family val="2"/>
    </font>
    <font>
      <sz val="11"/>
      <color rgb="FF000000"/>
      <name val="Calibri"/>
      <family val="2"/>
    </font>
    <font>
      <b/>
      <sz val="10"/>
      <name val="Helvetica"/>
    </font>
    <font>
      <i/>
      <sz val="11"/>
      <color rgb="FF0000CC"/>
      <name val="Calibre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  <font>
      <b/>
      <sz val="12"/>
      <name val="Calibre"/>
      <family val="2"/>
    </font>
    <font>
      <b/>
      <u/>
      <sz val="12"/>
      <name val="Calibre"/>
      <family val="2"/>
    </font>
    <font>
      <sz val="11"/>
      <name val="Arial"/>
      <family val="1"/>
    </font>
    <font>
      <b/>
      <sz val="18"/>
      <color rgb="FF303030"/>
      <name val="Arial"/>
      <family val="1"/>
    </font>
    <font>
      <sz val="9"/>
      <color rgb="FF303030"/>
      <name val="Arial"/>
      <family val="1"/>
    </font>
    <font>
      <b/>
      <sz val="9"/>
      <name val="Arial"/>
      <family val="2"/>
    </font>
    <font>
      <sz val="9"/>
      <name val="Arial"/>
      <family val="2"/>
    </font>
    <font>
      <sz val="13"/>
      <color rgb="FF303030"/>
      <name val="Arial"/>
      <family val="1"/>
    </font>
    <font>
      <b/>
      <sz val="11"/>
      <name val="Arial"/>
      <family val="2"/>
    </font>
    <font>
      <sz val="11"/>
      <name val="Arial"/>
      <family val="2"/>
    </font>
    <font>
      <b/>
      <sz val="13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764A0"/>
      <name val="Arial"/>
      <family val="1"/>
    </font>
    <font>
      <b/>
      <sz val="12"/>
      <color theme="0" tint="-0.249977111117893"/>
      <name val="Calibre"/>
      <family val="2"/>
    </font>
    <font>
      <b/>
      <sz val="12"/>
      <color theme="1"/>
      <name val="Calibre"/>
      <family val="2"/>
    </font>
    <font>
      <b/>
      <sz val="12"/>
      <color rgb="FF0000CC"/>
      <name val="Calibre"/>
      <family val="2"/>
    </font>
    <font>
      <sz val="12"/>
      <color rgb="FFFF0000"/>
      <name val="Calibre"/>
      <family val="2"/>
    </font>
    <font>
      <b/>
      <sz val="12"/>
      <color rgb="FF00B050"/>
      <name val="Calibre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3525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53818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CF3F9"/>
        <bgColor rgb="FFECF3F9"/>
      </patternFill>
    </fill>
    <fill>
      <patternFill patternType="solid">
        <fgColor rgb="FFF2F2F2"/>
        <bgColor rgb="FFF2F2F2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12A2D"/>
      </top>
      <bottom/>
      <diagonal/>
    </border>
    <border>
      <left/>
      <right/>
      <top style="medium">
        <color rgb="FF012A2D"/>
      </top>
      <bottom/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 style="thin">
        <color auto="1"/>
      </top>
      <bottom/>
      <diagonal/>
    </border>
    <border>
      <left style="dotted">
        <color auto="1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303030"/>
      </top>
      <bottom/>
      <diagonal/>
    </border>
    <border>
      <left/>
      <right/>
      <top style="medium">
        <color rgb="FF303030"/>
      </top>
      <bottom/>
      <diagonal/>
    </border>
  </borders>
  <cellStyleXfs count="15">
    <xf numFmtId="0" fontId="0" fillId="0" borderId="0"/>
    <xf numFmtId="9" fontId="4" fillId="0" borderId="0" applyFont="0" applyFill="0" applyBorder="0" applyAlignment="0" applyProtection="0"/>
    <xf numFmtId="0" fontId="3" fillId="0" borderId="0"/>
    <xf numFmtId="0" fontId="6" fillId="0" borderId="0">
      <alignment wrapText="1"/>
    </xf>
    <xf numFmtId="43" fontId="6" fillId="0" borderId="0" applyFont="0" applyFill="0" applyBorder="0" applyAlignment="0" applyProtection="0"/>
    <xf numFmtId="0" fontId="2" fillId="0" borderId="0"/>
    <xf numFmtId="0" fontId="2" fillId="0" borderId="0"/>
    <xf numFmtId="44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2" fillId="0" borderId="0"/>
    <xf numFmtId="0" fontId="35" fillId="0" borderId="0"/>
    <xf numFmtId="0" fontId="36" fillId="0" borderId="0" applyNumberFormat="0" applyFill="0" applyBorder="0" applyAlignment="0" applyProtection="0"/>
    <xf numFmtId="0" fontId="39" fillId="0" borderId="0"/>
  </cellStyleXfs>
  <cellXfs count="263">
    <xf numFmtId="0" fontId="0" fillId="0" borderId="0" xfId="0"/>
    <xf numFmtId="0" fontId="3" fillId="0" borderId="0" xfId="2"/>
    <xf numFmtId="15" fontId="3" fillId="0" borderId="0" xfId="2" applyNumberFormat="1"/>
    <xf numFmtId="0" fontId="3" fillId="0" borderId="0" xfId="2" applyAlignment="1">
      <alignment horizontal="right"/>
    </xf>
    <xf numFmtId="14" fontId="3" fillId="0" borderId="0" xfId="2" applyNumberFormat="1" applyAlignment="1">
      <alignment horizontal="right"/>
    </xf>
    <xf numFmtId="4" fontId="3" fillId="0" borderId="0" xfId="2" applyNumberFormat="1" applyAlignment="1">
      <alignment horizontal="right"/>
    </xf>
    <xf numFmtId="0" fontId="8" fillId="0" borderId="0" xfId="2" applyFont="1" applyAlignment="1">
      <alignment horizontal="center"/>
    </xf>
    <xf numFmtId="0" fontId="7" fillId="2" borderId="0" xfId="0" applyFont="1" applyFill="1" applyAlignment="1">
      <alignment horizontal="center"/>
    </xf>
    <xf numFmtId="41" fontId="3" fillId="0" borderId="0" xfId="2" applyNumberFormat="1" applyAlignment="1">
      <alignment horizontal="right"/>
    </xf>
    <xf numFmtId="0" fontId="5" fillId="0" borderId="0" xfId="2" applyFont="1" applyAlignment="1">
      <alignment horizontal="right"/>
    </xf>
    <xf numFmtId="41" fontId="3" fillId="0" borderId="4" xfId="2" applyNumberFormat="1" applyBorder="1" applyAlignment="1">
      <alignment horizontal="right"/>
    </xf>
    <xf numFmtId="41" fontId="5" fillId="0" borderId="0" xfId="2" applyNumberFormat="1" applyFont="1" applyAlignment="1">
      <alignment horizontal="right"/>
    </xf>
    <xf numFmtId="0" fontId="3" fillId="0" borderId="4" xfId="2" applyBorder="1"/>
    <xf numFmtId="4" fontId="3" fillId="0" borderId="4" xfId="2" applyNumberFormat="1" applyBorder="1" applyAlignment="1">
      <alignment horizontal="right"/>
    </xf>
    <xf numFmtId="0" fontId="5" fillId="0" borderId="0" xfId="2" applyFont="1"/>
    <xf numFmtId="4" fontId="5" fillId="0" borderId="0" xfId="2" applyNumberFormat="1" applyFont="1" applyAlignment="1">
      <alignment horizontal="right"/>
    </xf>
    <xf numFmtId="0" fontId="3" fillId="0" borderId="4" xfId="2" applyBorder="1" applyAlignment="1">
      <alignment horizontal="right"/>
    </xf>
    <xf numFmtId="0" fontId="5" fillId="0" borderId="5" xfId="2" applyFont="1" applyBorder="1"/>
    <xf numFmtId="4" fontId="5" fillId="0" borderId="5" xfId="2" applyNumberFormat="1" applyFont="1" applyBorder="1" applyAlignment="1">
      <alignment horizontal="right"/>
    </xf>
    <xf numFmtId="41" fontId="5" fillId="0" borderId="5" xfId="2" applyNumberFormat="1" applyFont="1" applyBorder="1" applyAlignment="1">
      <alignment horizontal="right"/>
    </xf>
    <xf numFmtId="41" fontId="5" fillId="0" borderId="4" xfId="2" applyNumberFormat="1" applyFont="1" applyBorder="1" applyAlignment="1">
      <alignment horizontal="right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10" fillId="0" borderId="4" xfId="0" applyFont="1" applyBorder="1"/>
    <xf numFmtId="0" fontId="11" fillId="0" borderId="0" xfId="0" applyFont="1"/>
    <xf numFmtId="0" fontId="10" fillId="0" borderId="4" xfId="0" applyFont="1" applyBorder="1" applyAlignment="1">
      <alignment horizontal="left" indent="1"/>
    </xf>
    <xf numFmtId="0" fontId="10" fillId="0" borderId="0" xfId="0" applyFont="1" applyAlignment="1">
      <alignment horizontal="left" indent="2"/>
    </xf>
    <xf numFmtId="41" fontId="10" fillId="0" borderId="0" xfId="0" applyNumberFormat="1" applyFont="1"/>
    <xf numFmtId="41" fontId="10" fillId="0" borderId="4" xfId="0" applyNumberFormat="1" applyFont="1" applyBorder="1"/>
    <xf numFmtId="0" fontId="11" fillId="0" borderId="0" xfId="0" applyFont="1" applyAlignment="1">
      <alignment horizontal="right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3" fillId="0" borderId="0" xfId="0" applyFont="1"/>
    <xf numFmtId="41" fontId="13" fillId="0" borderId="0" xfId="0" applyNumberFormat="1" applyFont="1"/>
    <xf numFmtId="0" fontId="14" fillId="0" borderId="0" xfId="0" applyFont="1"/>
    <xf numFmtId="9" fontId="13" fillId="0" borderId="0" xfId="1" applyFont="1"/>
    <xf numFmtId="41" fontId="11" fillId="0" borderId="0" xfId="0" applyNumberFormat="1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3" xfId="0" applyFont="1" applyBorder="1"/>
    <xf numFmtId="0" fontId="16" fillId="0" borderId="3" xfId="0" applyFont="1" applyBorder="1" applyAlignment="1">
      <alignment horizontal="right"/>
    </xf>
    <xf numFmtId="0" fontId="18" fillId="0" borderId="0" xfId="0" applyFont="1" applyAlignment="1">
      <alignment horizontal="left" indent="2"/>
    </xf>
    <xf numFmtId="0" fontId="19" fillId="0" borderId="0" xfId="0" applyFont="1"/>
    <xf numFmtId="0" fontId="16" fillId="0" borderId="1" xfId="0" applyFont="1" applyBorder="1" applyAlignment="1">
      <alignment horizontal="centerContinuous"/>
    </xf>
    <xf numFmtId="10" fontId="11" fillId="0" borderId="0" xfId="1" applyNumberFormat="1" applyFont="1"/>
    <xf numFmtId="0" fontId="11" fillId="0" borderId="6" xfId="0" applyFont="1" applyBorder="1"/>
    <xf numFmtId="0" fontId="11" fillId="0" borderId="7" xfId="0" applyFont="1" applyBorder="1"/>
    <xf numFmtId="0" fontId="11" fillId="0" borderId="8" xfId="0" applyFont="1" applyBorder="1"/>
    <xf numFmtId="0" fontId="11" fillId="0" borderId="9" xfId="0" applyFont="1" applyBorder="1"/>
    <xf numFmtId="168" fontId="11" fillId="0" borderId="0" xfId="0" applyNumberFormat="1" applyFont="1"/>
    <xf numFmtId="10" fontId="11" fillId="0" borderId="0" xfId="1" applyNumberFormat="1" applyFont="1" applyBorder="1"/>
    <xf numFmtId="0" fontId="11" fillId="0" borderId="10" xfId="0" applyFont="1" applyBorder="1"/>
    <xf numFmtId="0" fontId="11" fillId="0" borderId="1" xfId="0" applyFont="1" applyBorder="1"/>
    <xf numFmtId="0" fontId="11" fillId="0" borderId="11" xfId="0" applyFont="1" applyBorder="1"/>
    <xf numFmtId="165" fontId="11" fillId="0" borderId="0" xfId="1" applyNumberFormat="1" applyFont="1"/>
    <xf numFmtId="0" fontId="20" fillId="0" borderId="0" xfId="0" applyFont="1"/>
    <xf numFmtId="0" fontId="20" fillId="0" borderId="0" xfId="0" applyFont="1" applyAlignment="1">
      <alignment horizontal="left" indent="2"/>
    </xf>
    <xf numFmtId="0" fontId="11" fillId="0" borderId="0" xfId="0" applyFont="1" applyAlignment="1">
      <alignment horizontal="center"/>
    </xf>
    <xf numFmtId="0" fontId="16" fillId="0" borderId="3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7" fillId="0" borderId="0" xfId="0" applyFont="1"/>
    <xf numFmtId="9" fontId="15" fillId="0" borderId="0" xfId="0" applyNumberFormat="1" applyFont="1"/>
    <xf numFmtId="0" fontId="11" fillId="0" borderId="0" xfId="0" quotePrefix="1" applyFont="1" applyAlignment="1">
      <alignment horizontal="right"/>
    </xf>
    <xf numFmtId="0" fontId="22" fillId="3" borderId="0" xfId="0" applyFont="1" applyFill="1"/>
    <xf numFmtId="0" fontId="21" fillId="0" borderId="0" xfId="0" applyFont="1"/>
    <xf numFmtId="0" fontId="22" fillId="0" borderId="0" xfId="0" applyFont="1"/>
    <xf numFmtId="0" fontId="23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4" fillId="0" borderId="0" xfId="0" applyFont="1" applyAlignment="1">
      <alignment horizontal="right" vertical="center"/>
    </xf>
    <xf numFmtId="3" fontId="22" fillId="0" borderId="0" xfId="0" applyNumberFormat="1" applyFont="1" applyAlignment="1">
      <alignment vertical="center"/>
    </xf>
    <xf numFmtId="10" fontId="22" fillId="0" borderId="0" xfId="1" applyNumberFormat="1" applyFont="1" applyFill="1" applyAlignment="1">
      <alignment vertical="center"/>
    </xf>
    <xf numFmtId="0" fontId="22" fillId="0" borderId="0" xfId="0" applyFont="1" applyAlignment="1">
      <alignment horizontal="right" vertical="center"/>
    </xf>
    <xf numFmtId="171" fontId="22" fillId="0" borderId="0" xfId="0" applyNumberFormat="1" applyFont="1" applyAlignment="1">
      <alignment vertical="center"/>
    </xf>
    <xf numFmtId="165" fontId="22" fillId="0" borderId="0" xfId="1" applyNumberFormat="1" applyFont="1" applyFill="1" applyAlignment="1">
      <alignment vertical="center"/>
    </xf>
    <xf numFmtId="168" fontId="22" fillId="0" borderId="0" xfId="0" applyNumberFormat="1" applyFont="1" applyAlignment="1">
      <alignment vertical="center"/>
    </xf>
    <xf numFmtId="168" fontId="22" fillId="0" borderId="2" xfId="1" applyNumberFormat="1" applyFont="1" applyFill="1" applyBorder="1" applyAlignment="1">
      <alignment vertical="center"/>
    </xf>
    <xf numFmtId="0" fontId="25" fillId="0" borderId="0" xfId="0" applyFont="1" applyAlignment="1">
      <alignment horizontal="left" vertical="center" indent="1"/>
    </xf>
    <xf numFmtId="0" fontId="22" fillId="0" borderId="0" xfId="0" applyFont="1" applyAlignment="1">
      <alignment horizontal="left" vertical="center" indent="1"/>
    </xf>
    <xf numFmtId="165" fontId="22" fillId="0" borderId="0" xfId="1" applyNumberFormat="1" applyFont="1" applyFill="1" applyAlignment="1">
      <alignment horizontal="right" vertical="center" indent="1"/>
    </xf>
    <xf numFmtId="0" fontId="26" fillId="0" borderId="0" xfId="0" applyFont="1" applyAlignment="1">
      <alignment horizontal="left" vertical="center" indent="1"/>
    </xf>
    <xf numFmtId="3" fontId="26" fillId="0" borderId="0" xfId="0" applyNumberFormat="1" applyFont="1" applyAlignment="1">
      <alignment vertical="center"/>
    </xf>
    <xf numFmtId="165" fontId="26" fillId="0" borderId="0" xfId="1" applyNumberFormat="1" applyFont="1" applyFill="1" applyAlignment="1">
      <alignment horizontal="right" vertical="center" indent="1"/>
    </xf>
    <xf numFmtId="0" fontId="28" fillId="0" borderId="0" xfId="5" applyFont="1"/>
    <xf numFmtId="0" fontId="22" fillId="0" borderId="0" xfId="5" applyFont="1"/>
    <xf numFmtId="0" fontId="22" fillId="0" borderId="0" xfId="3" applyFont="1" applyAlignment="1"/>
    <xf numFmtId="0" fontId="22" fillId="0" borderId="0" xfId="3" applyFont="1" applyAlignment="1">
      <alignment horizontal="center"/>
    </xf>
    <xf numFmtId="0" fontId="22" fillId="3" borderId="0" xfId="5" applyFont="1" applyFill="1"/>
    <xf numFmtId="0" fontId="29" fillId="0" borderId="0" xfId="6" applyFont="1" applyAlignment="1">
      <alignment horizontal="left" indent="1"/>
    </xf>
    <xf numFmtId="0" fontId="29" fillId="0" borderId="0" xfId="6" applyFont="1" applyAlignment="1">
      <alignment horizontal="center"/>
    </xf>
    <xf numFmtId="3" fontId="29" fillId="0" borderId="0" xfId="7" applyNumberFormat="1" applyFont="1" applyFill="1" applyBorder="1" applyAlignment="1">
      <alignment horizontal="right" indent="1"/>
    </xf>
    <xf numFmtId="0" fontId="30" fillId="0" borderId="0" xfId="6" applyFont="1" applyAlignment="1">
      <alignment horizontal="left" indent="1"/>
    </xf>
    <xf numFmtId="0" fontId="22" fillId="0" borderId="0" xfId="6" applyFont="1" applyAlignment="1">
      <alignment horizontal="center"/>
    </xf>
    <xf numFmtId="173" fontId="22" fillId="0" borderId="0" xfId="7" applyNumberFormat="1" applyFont="1" applyFill="1" applyBorder="1" applyAlignment="1">
      <alignment horizontal="left" indent="1"/>
    </xf>
    <xf numFmtId="0" fontId="22" fillId="0" borderId="0" xfId="6" applyFont="1" applyAlignment="1">
      <alignment horizontal="left" indent="2"/>
    </xf>
    <xf numFmtId="0" fontId="22" fillId="0" borderId="0" xfId="6" applyFont="1" applyAlignment="1">
      <alignment horizontal="left" indent="1"/>
    </xf>
    <xf numFmtId="10" fontId="22" fillId="0" borderId="0" xfId="6" applyNumberFormat="1" applyFont="1" applyAlignment="1">
      <alignment horizontal="center"/>
    </xf>
    <xf numFmtId="3" fontId="22" fillId="0" borderId="0" xfId="7" applyNumberFormat="1" applyFont="1" applyFill="1" applyBorder="1" applyAlignment="1">
      <alignment horizontal="right" indent="1"/>
    </xf>
    <xf numFmtId="10" fontId="29" fillId="0" borderId="12" xfId="8" applyNumberFormat="1" applyFont="1" applyFill="1" applyBorder="1" applyAlignment="1">
      <alignment horizontal="center"/>
    </xf>
    <xf numFmtId="3" fontId="29" fillId="0" borderId="12" xfId="7" applyNumberFormat="1" applyFont="1" applyFill="1" applyBorder="1" applyAlignment="1">
      <alignment horizontal="right" indent="1"/>
    </xf>
    <xf numFmtId="165" fontId="22" fillId="0" borderId="0" xfId="8" applyNumberFormat="1" applyFont="1" applyFill="1" applyBorder="1" applyAlignment="1">
      <alignment horizontal="center"/>
    </xf>
    <xf numFmtId="165" fontId="29" fillId="0" borderId="12" xfId="8" applyNumberFormat="1" applyFont="1" applyFill="1" applyBorder="1" applyAlignment="1">
      <alignment horizontal="center"/>
    </xf>
    <xf numFmtId="174" fontId="22" fillId="0" borderId="0" xfId="6" applyNumberFormat="1" applyFont="1" applyAlignment="1">
      <alignment horizontal="left"/>
    </xf>
    <xf numFmtId="175" fontId="22" fillId="0" borderId="0" xfId="6" applyNumberFormat="1" applyFont="1" applyAlignment="1">
      <alignment horizontal="left"/>
    </xf>
    <xf numFmtId="0" fontId="29" fillId="0" borderId="13" xfId="6" applyFont="1" applyBorder="1" applyAlignment="1">
      <alignment horizontal="left" indent="1"/>
    </xf>
    <xf numFmtId="165" fontId="29" fillId="0" borderId="13" xfId="8" applyNumberFormat="1" applyFont="1" applyFill="1" applyBorder="1" applyAlignment="1">
      <alignment horizontal="center"/>
    </xf>
    <xf numFmtId="3" fontId="29" fillId="0" borderId="13" xfId="7" applyNumberFormat="1" applyFont="1" applyFill="1" applyBorder="1" applyAlignment="1">
      <alignment horizontal="right" indent="1"/>
    </xf>
    <xf numFmtId="0" fontId="16" fillId="0" borderId="0" xfId="9" applyFont="1"/>
    <xf numFmtId="168" fontId="16" fillId="0" borderId="0" xfId="8" applyNumberFormat="1" applyFont="1" applyAlignment="1">
      <alignment horizontal="left" indent="1"/>
    </xf>
    <xf numFmtId="164" fontId="16" fillId="0" borderId="0" xfId="9" applyNumberFormat="1" applyFont="1" applyAlignment="1">
      <alignment horizontal="left"/>
    </xf>
    <xf numFmtId="164" fontId="11" fillId="0" borderId="0" xfId="9" applyNumberFormat="1" applyFont="1"/>
    <xf numFmtId="168" fontId="11" fillId="0" borderId="0" xfId="8" applyNumberFormat="1" applyFont="1" applyAlignment="1">
      <alignment horizontal="left" indent="1"/>
    </xf>
    <xf numFmtId="164" fontId="11" fillId="0" borderId="0" xfId="9" applyNumberFormat="1" applyFont="1" applyAlignment="1">
      <alignment horizontal="left"/>
    </xf>
    <xf numFmtId="172" fontId="11" fillId="0" borderId="0" xfId="4" applyNumberFormat="1" applyFont="1" applyAlignment="1">
      <alignment horizontal="right" vertical="center"/>
    </xf>
    <xf numFmtId="172" fontId="11" fillId="4" borderId="14" xfId="4" applyNumberFormat="1" applyFont="1" applyFill="1" applyBorder="1" applyAlignment="1">
      <alignment vertical="center"/>
    </xf>
    <xf numFmtId="172" fontId="11" fillId="0" borderId="0" xfId="4" applyNumberFormat="1" applyFont="1" applyAlignment="1">
      <alignment horizontal="right" vertical="center" wrapText="1"/>
    </xf>
    <xf numFmtId="0" fontId="11" fillId="0" borderId="0" xfId="0" applyFont="1" applyAlignment="1">
      <alignment horizontal="right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indent="1"/>
    </xf>
    <xf numFmtId="0" fontId="16" fillId="0" borderId="0" xfId="0" applyFont="1" applyAlignment="1">
      <alignment horizontal="right" wrapText="1" indent="1"/>
    </xf>
    <xf numFmtId="0" fontId="16" fillId="4" borderId="14" xfId="0" applyFont="1" applyFill="1" applyBorder="1" applyAlignment="1">
      <alignment horizontal="right" indent="1"/>
    </xf>
    <xf numFmtId="0" fontId="11" fillId="0" borderId="0" xfId="0" applyFont="1" applyAlignment="1">
      <alignment horizontal="left" vertical="center" indent="1"/>
    </xf>
    <xf numFmtId="172" fontId="11" fillId="0" borderId="0" xfId="4" applyNumberFormat="1" applyFont="1" applyBorder="1" applyAlignment="1">
      <alignment horizontal="right" vertical="center"/>
    </xf>
    <xf numFmtId="172" fontId="16" fillId="4" borderId="14" xfId="4" applyNumberFormat="1" applyFont="1" applyFill="1" applyBorder="1" applyAlignment="1">
      <alignment horizontal="right"/>
    </xf>
    <xf numFmtId="10" fontId="22" fillId="0" borderId="0" xfId="8" applyNumberFormat="1" applyFont="1" applyFill="1" applyBorder="1" applyAlignment="1">
      <alignment horizontal="center"/>
    </xf>
    <xf numFmtId="165" fontId="22" fillId="0" borderId="0" xfId="1" applyNumberFormat="1" applyFont="1"/>
    <xf numFmtId="3" fontId="11" fillId="0" borderId="0" xfId="0" applyNumberFormat="1" applyFont="1"/>
    <xf numFmtId="165" fontId="22" fillId="0" borderId="0" xfId="1" applyNumberFormat="1" applyFont="1" applyAlignment="1">
      <alignment vertical="center"/>
    </xf>
    <xf numFmtId="0" fontId="27" fillId="0" borderId="5" xfId="0" applyFont="1" applyBorder="1" applyAlignment="1">
      <alignment vertical="center"/>
    </xf>
    <xf numFmtId="172" fontId="27" fillId="0" borderId="5" xfId="0" applyNumberFormat="1" applyFont="1" applyBorder="1" applyAlignment="1">
      <alignment horizontal="right" vertical="center"/>
    </xf>
    <xf numFmtId="172" fontId="27" fillId="4" borderId="16" xfId="0" applyNumberFormat="1" applyFont="1" applyFill="1" applyBorder="1" applyAlignment="1">
      <alignment vertical="center"/>
    </xf>
    <xf numFmtId="172" fontId="16" fillId="0" borderId="2" xfId="4" applyNumberFormat="1" applyFont="1" applyBorder="1" applyAlignment="1">
      <alignment horizontal="right" vertical="center"/>
    </xf>
    <xf numFmtId="172" fontId="16" fillId="4" borderId="15" xfId="4" applyNumberFormat="1" applyFont="1" applyFill="1" applyBorder="1" applyAlignment="1">
      <alignment vertical="center"/>
    </xf>
    <xf numFmtId="3" fontId="11" fillId="0" borderId="0" xfId="0" applyNumberFormat="1" applyFont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0" fontId="11" fillId="0" borderId="0" xfId="1" applyNumberFormat="1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16" fillId="0" borderId="3" xfId="0" applyFont="1" applyBorder="1" applyAlignment="1">
      <alignment horizontal="center" wrapText="1"/>
    </xf>
    <xf numFmtId="0" fontId="31" fillId="5" borderId="0" xfId="0" applyFont="1" applyFill="1" applyAlignment="1">
      <alignment vertical="center"/>
    </xf>
    <xf numFmtId="4" fontId="31" fillId="5" borderId="0" xfId="0" applyNumberFormat="1" applyFont="1" applyFill="1" applyAlignment="1">
      <alignment horizontal="center" vertical="center"/>
    </xf>
    <xf numFmtId="0" fontId="31" fillId="5" borderId="0" xfId="0" applyFont="1" applyFill="1" applyAlignment="1">
      <alignment horizontal="center" vertical="center"/>
    </xf>
    <xf numFmtId="3" fontId="31" fillId="5" borderId="0" xfId="0" applyNumberFormat="1" applyFont="1" applyFill="1" applyAlignment="1">
      <alignment horizontal="center" vertical="center"/>
    </xf>
    <xf numFmtId="176" fontId="31" fillId="5" borderId="0" xfId="0" applyNumberFormat="1" applyFont="1" applyFill="1" applyAlignment="1">
      <alignment horizontal="center" vertical="center"/>
    </xf>
    <xf numFmtId="164" fontId="31" fillId="5" borderId="0" xfId="0" applyNumberFormat="1" applyFont="1" applyFill="1" applyAlignment="1">
      <alignment horizontal="center" vertical="center"/>
    </xf>
    <xf numFmtId="177" fontId="11" fillId="0" borderId="0" xfId="0" applyNumberFormat="1" applyFont="1" applyAlignment="1">
      <alignment horizontal="center" vertical="center"/>
    </xf>
    <xf numFmtId="9" fontId="11" fillId="0" borderId="0" xfId="1" applyFont="1" applyAlignment="1">
      <alignment horizontal="center" vertical="center"/>
    </xf>
    <xf numFmtId="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16" fillId="0" borderId="0" xfId="0" applyNumberFormat="1" applyFont="1" applyAlignment="1">
      <alignment horizontal="center" vertical="center"/>
    </xf>
    <xf numFmtId="176" fontId="16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0" fontId="16" fillId="0" borderId="0" xfId="1" applyNumberFormat="1" applyFont="1" applyBorder="1" applyAlignment="1">
      <alignment horizontal="center" vertical="center"/>
    </xf>
    <xf numFmtId="9" fontId="31" fillId="5" borderId="0" xfId="1" applyFont="1" applyFill="1" applyAlignment="1">
      <alignment horizontal="center" vertical="center"/>
    </xf>
    <xf numFmtId="177" fontId="31" fillId="5" borderId="0" xfId="0" applyNumberFormat="1" applyFont="1" applyFill="1" applyAlignment="1">
      <alignment horizontal="center" vertical="center"/>
    </xf>
    <xf numFmtId="0" fontId="16" fillId="4" borderId="2" xfId="0" applyFont="1" applyFill="1" applyBorder="1" applyAlignment="1">
      <alignment vertical="center"/>
    </xf>
    <xf numFmtId="4" fontId="16" fillId="4" borderId="2" xfId="0" applyNumberFormat="1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3" fontId="16" fillId="4" borderId="2" xfId="0" applyNumberFormat="1" applyFont="1" applyFill="1" applyBorder="1" applyAlignment="1">
      <alignment horizontal="center" vertical="center"/>
    </xf>
    <xf numFmtId="164" fontId="16" fillId="4" borderId="2" xfId="0" applyNumberFormat="1" applyFont="1" applyFill="1" applyBorder="1" applyAlignment="1">
      <alignment horizontal="center" vertical="center"/>
    </xf>
    <xf numFmtId="177" fontId="16" fillId="4" borderId="2" xfId="0" applyNumberFormat="1" applyFont="1" applyFill="1" applyBorder="1" applyAlignment="1">
      <alignment horizontal="center" vertical="center"/>
    </xf>
    <xf numFmtId="9" fontId="16" fillId="4" borderId="2" xfId="1" applyFont="1" applyFill="1" applyBorder="1" applyAlignment="1">
      <alignment horizontal="center" vertical="center"/>
    </xf>
    <xf numFmtId="176" fontId="16" fillId="4" borderId="2" xfId="0" applyNumberFormat="1" applyFont="1" applyFill="1" applyBorder="1" applyAlignment="1">
      <alignment horizontal="center" vertical="center"/>
    </xf>
    <xf numFmtId="0" fontId="31" fillId="5" borderId="0" xfId="0" applyFont="1" applyFill="1" applyAlignment="1">
      <alignment horizontal="center"/>
    </xf>
    <xf numFmtId="0" fontId="16" fillId="4" borderId="0" xfId="0" applyFont="1" applyFill="1" applyAlignment="1">
      <alignment horizontal="center" vertical="center"/>
    </xf>
    <xf numFmtId="3" fontId="16" fillId="4" borderId="0" xfId="0" applyNumberFormat="1" applyFont="1" applyFill="1" applyAlignment="1">
      <alignment horizontal="center" vertical="center"/>
    </xf>
    <xf numFmtId="0" fontId="31" fillId="5" borderId="0" xfId="0" applyFont="1" applyFill="1" applyAlignment="1">
      <alignment horizontal="center" wrapText="1"/>
    </xf>
    <xf numFmtId="164" fontId="16" fillId="4" borderId="0" xfId="0" applyNumberFormat="1" applyFont="1" applyFill="1" applyAlignment="1">
      <alignment horizontal="center" vertical="center"/>
    </xf>
    <xf numFmtId="177" fontId="16" fillId="4" borderId="0" xfId="0" applyNumberFormat="1" applyFont="1" applyFill="1" applyAlignment="1">
      <alignment horizontal="center" vertical="center"/>
    </xf>
    <xf numFmtId="165" fontId="11" fillId="0" borderId="0" xfId="1" applyNumberFormat="1" applyFont="1" applyAlignment="1">
      <alignment horizontal="center" vertical="center"/>
    </xf>
    <xf numFmtId="165" fontId="16" fillId="4" borderId="0" xfId="1" applyNumberFormat="1" applyFont="1" applyFill="1" applyAlignment="1">
      <alignment horizontal="center" vertical="center"/>
    </xf>
    <xf numFmtId="3" fontId="11" fillId="0" borderId="0" xfId="0" applyNumberFormat="1" applyFont="1" applyAlignment="1">
      <alignment horizontal="right"/>
    </xf>
    <xf numFmtId="165" fontId="11" fillId="0" borderId="0" xfId="1" applyNumberFormat="1" applyFont="1" applyAlignment="1">
      <alignment horizontal="right"/>
    </xf>
    <xf numFmtId="9" fontId="13" fillId="0" borderId="0" xfId="1" applyFont="1" applyAlignment="1">
      <alignment horizontal="right"/>
    </xf>
    <xf numFmtId="0" fontId="33" fillId="7" borderId="2" xfId="0" applyFont="1" applyFill="1" applyBorder="1" applyAlignment="1">
      <alignment horizontal="right"/>
    </xf>
    <xf numFmtId="0" fontId="11" fillId="0" borderId="2" xfId="0" applyFont="1" applyBorder="1"/>
    <xf numFmtId="10" fontId="15" fillId="0" borderId="0" xfId="0" applyNumberFormat="1" applyFont="1" applyAlignment="1">
      <alignment horizontal="left"/>
    </xf>
    <xf numFmtId="0" fontId="15" fillId="0" borderId="0" xfId="0" applyFont="1"/>
    <xf numFmtId="178" fontId="15" fillId="0" borderId="0" xfId="0" applyNumberFormat="1" applyFont="1" applyAlignment="1">
      <alignment horizontal="left"/>
    </xf>
    <xf numFmtId="10" fontId="15" fillId="0" borderId="0" xfId="1" applyNumberFormat="1" applyFont="1" applyAlignment="1">
      <alignment horizontal="center"/>
    </xf>
    <xf numFmtId="0" fontId="34" fillId="0" borderId="0" xfId="0" applyFont="1"/>
    <xf numFmtId="0" fontId="15" fillId="0" borderId="0" xfId="0" quotePrefix="1" applyFont="1" applyAlignment="1">
      <alignment horizontal="right"/>
    </xf>
    <xf numFmtId="179" fontId="11" fillId="0" borderId="0" xfId="0" applyNumberFormat="1" applyFont="1"/>
    <xf numFmtId="0" fontId="36" fillId="0" borderId="0" xfId="13"/>
    <xf numFmtId="164" fontId="11" fillId="0" borderId="0" xfId="0" applyNumberFormat="1" applyFont="1"/>
    <xf numFmtId="14" fontId="11" fillId="0" borderId="0" xfId="0" applyNumberFormat="1" applyFont="1"/>
    <xf numFmtId="0" fontId="37" fillId="0" borderId="0" xfId="0" applyFont="1"/>
    <xf numFmtId="0" fontId="38" fillId="0" borderId="0" xfId="0" applyFont="1"/>
    <xf numFmtId="167" fontId="15" fillId="0" borderId="0" xfId="0" applyNumberFormat="1" applyFont="1" applyAlignment="1">
      <alignment horizontal="left"/>
    </xf>
    <xf numFmtId="0" fontId="17" fillId="0" borderId="2" xfId="0" applyFont="1" applyBorder="1" applyAlignment="1">
      <alignment horizontal="right"/>
    </xf>
    <xf numFmtId="3" fontId="10" fillId="0" borderId="0" xfId="0" applyNumberFormat="1" applyFont="1"/>
    <xf numFmtId="0" fontId="15" fillId="0" borderId="0" xfId="0" applyFont="1" applyAlignment="1">
      <alignment horizontal="right"/>
    </xf>
    <xf numFmtId="168" fontId="15" fillId="0" borderId="0" xfId="0" applyNumberFormat="1" applyFont="1"/>
    <xf numFmtId="169" fontId="11" fillId="0" borderId="0" xfId="0" applyNumberFormat="1" applyFont="1"/>
    <xf numFmtId="0" fontId="11" fillId="0" borderId="0" xfId="0" applyFont="1" applyAlignment="1">
      <alignment horizontal="left"/>
    </xf>
    <xf numFmtId="0" fontId="16" fillId="0" borderId="0" xfId="0" applyFont="1" applyAlignment="1">
      <alignment horizontal="right"/>
    </xf>
    <xf numFmtId="0" fontId="11" fillId="0" borderId="0" xfId="0" applyFont="1" applyAlignment="1">
      <alignment horizontal="left" indent="1"/>
    </xf>
    <xf numFmtId="0" fontId="37" fillId="0" borderId="2" xfId="0" applyFont="1" applyBorder="1"/>
    <xf numFmtId="164" fontId="37" fillId="0" borderId="2" xfId="0" applyNumberFormat="1" applyFont="1" applyBorder="1"/>
    <xf numFmtId="180" fontId="11" fillId="0" borderId="0" xfId="0" applyNumberFormat="1" applyFont="1"/>
    <xf numFmtId="180" fontId="37" fillId="0" borderId="2" xfId="0" applyNumberFormat="1" applyFont="1" applyBorder="1"/>
    <xf numFmtId="0" fontId="37" fillId="0" borderId="17" xfId="0" applyFont="1" applyBorder="1" applyAlignment="1">
      <alignment horizontal="centerContinuous"/>
    </xf>
    <xf numFmtId="0" fontId="37" fillId="0" borderId="18" xfId="0" applyFont="1" applyBorder="1" applyAlignment="1">
      <alignment horizontal="centerContinuous"/>
    </xf>
    <xf numFmtId="0" fontId="37" fillId="0" borderId="19" xfId="0" applyFont="1" applyBorder="1" applyAlignment="1">
      <alignment horizontal="centerContinuous"/>
    </xf>
    <xf numFmtId="165" fontId="37" fillId="0" borderId="0" xfId="1" applyNumberFormat="1" applyFont="1"/>
    <xf numFmtId="3" fontId="15" fillId="0" borderId="0" xfId="0" applyNumberFormat="1" applyFont="1"/>
    <xf numFmtId="166" fontId="11" fillId="0" borderId="0" xfId="0" applyNumberFormat="1" applyFont="1"/>
    <xf numFmtId="3" fontId="22" fillId="8" borderId="0" xfId="0" applyNumberFormat="1" applyFont="1" applyFill="1" applyAlignment="1">
      <alignment vertical="center"/>
    </xf>
    <xf numFmtId="165" fontId="20" fillId="0" borderId="0" xfId="1" applyNumberFormat="1" applyFont="1"/>
    <xf numFmtId="0" fontId="39" fillId="0" borderId="0" xfId="14"/>
    <xf numFmtId="0" fontId="47" fillId="10" borderId="20" xfId="14" applyFont="1" applyFill="1" applyBorder="1" applyAlignment="1">
      <alignment horizontal="left"/>
    </xf>
    <xf numFmtId="0" fontId="48" fillId="0" borderId="0" xfId="14" applyFont="1"/>
    <xf numFmtId="181" fontId="48" fillId="0" borderId="0" xfId="14" applyNumberFormat="1" applyFont="1"/>
    <xf numFmtId="0" fontId="49" fillId="0" borderId="0" xfId="14" applyFont="1"/>
    <xf numFmtId="181" fontId="49" fillId="0" borderId="0" xfId="14" applyNumberFormat="1" applyFont="1"/>
    <xf numFmtId="181" fontId="48" fillId="0" borderId="21" xfId="14" applyNumberFormat="1" applyFont="1" applyBorder="1"/>
    <xf numFmtId="181" fontId="48" fillId="0" borderId="22" xfId="14" applyNumberFormat="1" applyFont="1" applyBorder="1"/>
    <xf numFmtId="0" fontId="40" fillId="9" borderId="0" xfId="14" applyFont="1" applyFill="1"/>
    <xf numFmtId="0" fontId="41" fillId="9" borderId="0" xfId="14" applyFont="1" applyFill="1" applyAlignment="1">
      <alignment horizontal="left" vertical="top"/>
    </xf>
    <xf numFmtId="0" fontId="44" fillId="9" borderId="0" xfId="14" applyFont="1" applyFill="1" applyAlignment="1">
      <alignment horizontal="left" vertical="top"/>
    </xf>
    <xf numFmtId="0" fontId="50" fillId="0" borderId="0" xfId="14" applyFont="1" applyAlignment="1">
      <alignment horizontal="left"/>
    </xf>
    <xf numFmtId="182" fontId="49" fillId="0" borderId="0" xfId="14" applyNumberFormat="1" applyFont="1"/>
    <xf numFmtId="183" fontId="49" fillId="0" borderId="0" xfId="14" applyNumberFormat="1" applyFont="1"/>
    <xf numFmtId="182" fontId="48" fillId="0" borderId="0" xfId="14" applyNumberFormat="1" applyFont="1"/>
    <xf numFmtId="183" fontId="48" fillId="0" borderId="0" xfId="14" applyNumberFormat="1" applyFont="1"/>
    <xf numFmtId="0" fontId="39" fillId="0" borderId="0" xfId="14" applyAlignment="1">
      <alignment horizontal="left"/>
    </xf>
    <xf numFmtId="164" fontId="39" fillId="0" borderId="0" xfId="14" applyNumberFormat="1" applyAlignment="1">
      <alignment horizontal="left"/>
    </xf>
    <xf numFmtId="0" fontId="45" fillId="0" borderId="0" xfId="14" applyFont="1"/>
    <xf numFmtId="0" fontId="45" fillId="0" borderId="4" xfId="14" applyFont="1" applyBorder="1"/>
    <xf numFmtId="0" fontId="45" fillId="0" borderId="4" xfId="14" applyFont="1" applyBorder="1" applyAlignment="1">
      <alignment horizontal="left"/>
    </xf>
    <xf numFmtId="164" fontId="45" fillId="0" borderId="4" xfId="14" applyNumberFormat="1" applyFont="1" applyBorder="1" applyAlignment="1">
      <alignment horizontal="left"/>
    </xf>
    <xf numFmtId="164" fontId="39" fillId="6" borderId="0" xfId="14" applyNumberFormat="1" applyFill="1" applyAlignment="1">
      <alignment horizontal="left"/>
    </xf>
    <xf numFmtId="0" fontId="45" fillId="0" borderId="3" xfId="14" applyFont="1" applyBorder="1"/>
    <xf numFmtId="165" fontId="39" fillId="0" borderId="0" xfId="1" applyNumberFormat="1" applyFont="1" applyAlignment="1">
      <alignment horizontal="left"/>
    </xf>
    <xf numFmtId="165" fontId="45" fillId="0" borderId="4" xfId="1" applyNumberFormat="1" applyFont="1" applyBorder="1" applyAlignment="1">
      <alignment horizontal="left"/>
    </xf>
    <xf numFmtId="0" fontId="51" fillId="0" borderId="0" xfId="0" applyFont="1" applyAlignment="1">
      <alignment horizontal="center" vertical="center"/>
    </xf>
    <xf numFmtId="0" fontId="52" fillId="0" borderId="5" xfId="0" applyFont="1" applyBorder="1" applyAlignment="1">
      <alignment vertical="center"/>
    </xf>
    <xf numFmtId="41" fontId="52" fillId="0" borderId="5" xfId="0" applyNumberFormat="1" applyFont="1" applyBorder="1" applyAlignment="1">
      <alignment vertical="center"/>
    </xf>
    <xf numFmtId="0" fontId="37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3" fontId="37" fillId="6" borderId="0" xfId="0" applyNumberFormat="1" applyFont="1" applyFill="1"/>
    <xf numFmtId="41" fontId="15" fillId="0" borderId="0" xfId="0" applyNumberFormat="1" applyFont="1"/>
    <xf numFmtId="41" fontId="54" fillId="0" borderId="0" xfId="0" applyNumberFormat="1" applyFont="1"/>
    <xf numFmtId="0" fontId="41" fillId="9" borderId="0" xfId="14" applyFont="1" applyFill="1" applyAlignment="1">
      <alignment horizontal="left" vertical="top" wrapText="1"/>
    </xf>
    <xf numFmtId="0" fontId="44" fillId="9" borderId="0" xfId="14" applyFont="1" applyFill="1" applyAlignment="1">
      <alignment horizontal="left" vertical="top" wrapText="1"/>
    </xf>
    <xf numFmtId="41" fontId="11" fillId="0" borderId="4" xfId="0" applyNumberFormat="1" applyFont="1" applyBorder="1"/>
    <xf numFmtId="165" fontId="11" fillId="0" borderId="0" xfId="0" applyNumberFormat="1" applyFont="1" applyAlignment="1">
      <alignment horizontal="left"/>
    </xf>
    <xf numFmtId="9" fontId="14" fillId="0" borderId="0" xfId="1" applyFont="1"/>
    <xf numFmtId="41" fontId="14" fillId="0" borderId="0" xfId="0" applyNumberFormat="1" applyFont="1"/>
    <xf numFmtId="41" fontId="37" fillId="0" borderId="5" xfId="0" applyNumberFormat="1" applyFont="1" applyBorder="1" applyAlignment="1">
      <alignment vertical="center"/>
    </xf>
    <xf numFmtId="0" fontId="17" fillId="0" borderId="4" xfId="0" applyFont="1" applyBorder="1" applyAlignment="1">
      <alignment horizontal="right"/>
    </xf>
    <xf numFmtId="0" fontId="11" fillId="0" borderId="4" xfId="0" applyFont="1" applyBorder="1"/>
    <xf numFmtId="184" fontId="11" fillId="0" borderId="0" xfId="0" applyNumberFormat="1" applyFont="1" applyAlignment="1">
      <alignment horizontal="left"/>
    </xf>
    <xf numFmtId="165" fontId="11" fillId="0" borderId="0" xfId="0" applyNumberFormat="1" applyFont="1" applyAlignment="1">
      <alignment horizontal="right"/>
    </xf>
    <xf numFmtId="0" fontId="11" fillId="0" borderId="6" xfId="0" applyFont="1" applyBorder="1" applyAlignment="1">
      <alignment horizontal="right"/>
    </xf>
    <xf numFmtId="0" fontId="11" fillId="0" borderId="8" xfId="0" applyFont="1" applyBorder="1" applyAlignment="1">
      <alignment horizontal="right"/>
    </xf>
    <xf numFmtId="0" fontId="11" fillId="0" borderId="10" xfId="0" applyFont="1" applyBorder="1" applyAlignment="1">
      <alignment horizontal="right"/>
    </xf>
    <xf numFmtId="170" fontId="11" fillId="0" borderId="8" xfId="0" applyNumberFormat="1" applyFont="1" applyBorder="1"/>
    <xf numFmtId="41" fontId="55" fillId="0" borderId="0" xfId="0" applyNumberFormat="1" applyFont="1"/>
    <xf numFmtId="165" fontId="55" fillId="0" borderId="0" xfId="1" applyNumberFormat="1" applyFont="1" applyAlignment="1">
      <alignment horizontal="right"/>
    </xf>
    <xf numFmtId="0" fontId="17" fillId="0" borderId="0" xfId="0" applyFont="1" applyAlignment="1">
      <alignment horizontal="center" wrapText="1"/>
    </xf>
    <xf numFmtId="170" fontId="11" fillId="0" borderId="0" xfId="0" applyNumberFormat="1" applyFont="1" applyAlignment="1">
      <alignment horizontal="left" indent="1"/>
    </xf>
  </cellXfs>
  <cellStyles count="15">
    <cellStyle name="Comma" xfId="4" builtinId="3"/>
    <cellStyle name="Currency 9" xfId="7" xr:uid="{EF4C8BB0-4BE8-4C1C-97D0-A7E0B0A9EDA3}"/>
    <cellStyle name="Hyperlink" xfId="13" builtinId="8"/>
    <cellStyle name="Normal" xfId="0" builtinId="0"/>
    <cellStyle name="Normal 2" xfId="2" xr:uid="{CEE78FBF-6FE1-4C76-B394-A12B183385EA}"/>
    <cellStyle name="Normal 2 2" xfId="10" xr:uid="{69D49806-9B41-44F2-A0B6-28118A44AC46}"/>
    <cellStyle name="Normal 2 3" xfId="9" xr:uid="{892B3C30-6182-475F-A18D-93CD7762318D}"/>
    <cellStyle name="Normal 3" xfId="3" xr:uid="{0AA32E53-DDDE-4803-B019-EEE6D3EA5DEE}"/>
    <cellStyle name="Normal 3 3" xfId="5" xr:uid="{5456A328-AE5D-4456-BFA5-43DE1D3EF344}"/>
    <cellStyle name="Normal 4" xfId="11" xr:uid="{CE63ADAC-5F5F-440D-B9C0-794EFE7EBDF3}"/>
    <cellStyle name="Normal 5" xfId="12" xr:uid="{7222957F-5ED0-452C-B842-8677D66C7190}"/>
    <cellStyle name="Normal 6" xfId="14" xr:uid="{698B1F44-0D8D-4966-807F-3350DD409C2D}"/>
    <cellStyle name="Normal 9" xfId="6" xr:uid="{99D2DDF1-A71B-4334-A22E-C261FAA59969}"/>
    <cellStyle name="Percent" xfId="1" builtinId="5"/>
    <cellStyle name="Percent 2" xfId="8" xr:uid="{13C12D40-787F-46AA-B690-09EE6497A51E}"/>
  </cellStyles>
  <dxfs count="0"/>
  <tableStyles count="0" defaultTableStyle="TableStyleMedium2" defaultPivotStyle="PivotStyleLight16"/>
  <colors>
    <mruColors>
      <color rgb="FF0000CC"/>
      <color rgb="FFFFFFCC"/>
      <color rgb="FF5381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234950</xdr:colOff>
      <xdr:row>2</xdr:row>
      <xdr:rowOff>260350</xdr:rowOff>
    </xdr:from>
    <xdr:to>
      <xdr:col>17</xdr:col>
      <xdr:colOff>533400</xdr:colOff>
      <xdr:row>21</xdr:row>
      <xdr:rowOff>71477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DB847E-06ED-4DE1-8193-1440ECE29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0900" y="641350"/>
          <a:ext cx="3956050" cy="51133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485588</xdr:colOff>
      <xdr:row>2</xdr:row>
      <xdr:rowOff>239059</xdr:rowOff>
    </xdr:from>
    <xdr:to>
      <xdr:col>20</xdr:col>
      <xdr:colOff>167376</xdr:colOff>
      <xdr:row>22</xdr:row>
      <xdr:rowOff>28875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0F2439-C11B-40A5-9717-198714DDB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58706" y="627530"/>
          <a:ext cx="3969905" cy="5131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aopropertysearch.coj.net/Basic/Detail.aspx?RE=1294960000" TargetMode="External"/><Relationship Id="rId2" Type="http://schemas.openxmlformats.org/officeDocument/2006/relationships/hyperlink" Target="https://paopropertysearch.coj.net/Basic/Detail.aspx?RE=1294960000" TargetMode="External"/><Relationship Id="rId1" Type="http://schemas.openxmlformats.org/officeDocument/2006/relationships/hyperlink" Target="https://paopropertysearch.coj.net/Basic/Detail.aspx?RE=1294960000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paopropertysearch.coj.net/Basic/Detail.aspx?RE=129496000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CB4FA-F7EE-45D9-8E5C-78B1736CFF89}">
  <sheetPr>
    <pageSetUpPr fitToPage="1"/>
  </sheetPr>
  <dimension ref="A2:AO81"/>
  <sheetViews>
    <sheetView showGridLines="0" tabSelected="1" zoomScale="85" zoomScaleNormal="85" workbookViewId="0">
      <selection activeCell="N12" sqref="N12"/>
    </sheetView>
  </sheetViews>
  <sheetFormatPr defaultColWidth="8.7265625" defaultRowHeight="15" x14ac:dyDescent="0.3"/>
  <cols>
    <col min="1" max="1" width="3.54296875" style="25" customWidth="1"/>
    <col min="2" max="2" width="35.54296875" style="25" customWidth="1"/>
    <col min="3" max="3" width="13.26953125" style="25" bestFit="1" customWidth="1"/>
    <col min="4" max="4" width="12.54296875" style="25" customWidth="1"/>
    <col min="5" max="6" width="10.54296875" style="25" customWidth="1"/>
    <col min="7" max="7" width="12.54296875" style="25" customWidth="1"/>
    <col min="8" max="9" width="10.54296875" style="25" customWidth="1"/>
    <col min="10" max="10" width="12.54296875" style="25" customWidth="1"/>
    <col min="11" max="11" width="10.54296875" style="25" customWidth="1"/>
    <col min="12" max="12" width="5.54296875" style="25" customWidth="1"/>
    <col min="13" max="13" width="8.7265625" style="25"/>
    <col min="14" max="14" width="52.1796875" style="25" bestFit="1" customWidth="1"/>
    <col min="15" max="15" width="8.7265625" style="25"/>
    <col min="16" max="16" width="18.1796875" style="25" bestFit="1" customWidth="1"/>
    <col min="17" max="17" width="8.7265625" style="25"/>
    <col min="18" max="19" width="12.54296875" style="25" customWidth="1"/>
    <col min="20" max="20" width="8.7265625" style="25"/>
    <col min="21" max="21" width="27.7265625" style="25" bestFit="1" customWidth="1"/>
    <col min="22" max="22" width="3.54296875" style="25" customWidth="1"/>
    <col min="23" max="23" width="13.81640625" style="25" bestFit="1" customWidth="1"/>
    <col min="24" max="25" width="12.54296875" style="25" customWidth="1"/>
    <col min="26" max="26" width="3.54296875" style="25" customWidth="1"/>
    <col min="27" max="27" width="13.81640625" style="25" bestFit="1" customWidth="1"/>
    <col min="28" max="29" width="12.54296875" style="25" customWidth="1"/>
    <col min="30" max="30" width="3.54296875" style="25" customWidth="1"/>
    <col min="31" max="33" width="12.54296875" style="25" customWidth="1"/>
    <col min="34" max="34" width="3.54296875" style="25" customWidth="1"/>
    <col min="35" max="37" width="12.54296875" style="25" customWidth="1"/>
    <col min="38" max="38" width="3.54296875" style="25" customWidth="1"/>
    <col min="39" max="41" width="12.54296875" style="25" customWidth="1"/>
    <col min="42" max="16384" width="8.7265625" style="25"/>
  </cols>
  <sheetData>
    <row r="2" spans="1:16" ht="22" x14ac:dyDescent="0.4">
      <c r="B2" s="44" t="s">
        <v>1004</v>
      </c>
    </row>
    <row r="3" spans="1:16" ht="17.5" x14ac:dyDescent="0.35">
      <c r="B3" s="43" t="s">
        <v>1035</v>
      </c>
    </row>
    <row r="5" spans="1:16" x14ac:dyDescent="0.3">
      <c r="B5" s="39"/>
      <c r="C5" s="196"/>
      <c r="D5" s="45" t="s">
        <v>1030</v>
      </c>
      <c r="E5" s="45"/>
      <c r="F5" s="40"/>
      <c r="G5" s="45" t="s">
        <v>1031</v>
      </c>
      <c r="H5" s="45"/>
      <c r="I5" s="40"/>
      <c r="J5" s="45" t="s">
        <v>1029</v>
      </c>
      <c r="K5" s="45"/>
      <c r="L5" s="39"/>
      <c r="M5" s="39"/>
      <c r="N5" s="39"/>
    </row>
    <row r="6" spans="1:16" ht="15.5" thickBot="1" x14ac:dyDescent="0.35">
      <c r="B6" s="41"/>
      <c r="C6" s="42"/>
      <c r="D6" s="42" t="s">
        <v>304</v>
      </c>
      <c r="E6" s="42" t="s">
        <v>323</v>
      </c>
      <c r="F6" s="42"/>
      <c r="G6" s="42" t="s">
        <v>304</v>
      </c>
      <c r="H6" s="42" t="s">
        <v>323</v>
      </c>
      <c r="I6" s="42"/>
      <c r="J6" s="42" t="s">
        <v>304</v>
      </c>
      <c r="K6" s="42" t="s">
        <v>323</v>
      </c>
      <c r="L6" s="41"/>
      <c r="M6" s="41"/>
      <c r="N6" s="41" t="s">
        <v>340</v>
      </c>
    </row>
    <row r="7" spans="1:16" ht="15.5" x14ac:dyDescent="0.35">
      <c r="B7" s="25" t="s">
        <v>500</v>
      </c>
      <c r="C7" s="173"/>
      <c r="D7" s="173">
        <v>0.94775995794294932</v>
      </c>
      <c r="F7" s="173"/>
      <c r="G7" s="173">
        <f>+PROFORMA!S7</f>
        <v>0.95</v>
      </c>
      <c r="J7" s="260">
        <f>+G7-D7</f>
        <v>2.2400420570506396E-3</v>
      </c>
      <c r="L7" s="173"/>
    </row>
    <row r="8" spans="1:16" ht="15.5" x14ac:dyDescent="0.35">
      <c r="B8" s="25" t="s">
        <v>344</v>
      </c>
      <c r="D8" s="56">
        <v>0.952755905511811</v>
      </c>
      <c r="F8" s="56"/>
      <c r="G8" s="56">
        <f>+PROFORMA!S8</f>
        <v>0.96062992125984248</v>
      </c>
      <c r="J8" s="260">
        <f t="shared" ref="J8" si="0">+G8-D8</f>
        <v>7.8740157480314821E-3</v>
      </c>
      <c r="L8" s="56"/>
      <c r="M8" s="261" t="s">
        <v>412</v>
      </c>
    </row>
    <row r="9" spans="1:16" ht="5.15" customHeight="1" x14ac:dyDescent="0.3">
      <c r="M9" s="261"/>
    </row>
    <row r="10" spans="1:16" x14ac:dyDescent="0.3">
      <c r="B10" s="25" t="s">
        <v>322</v>
      </c>
      <c r="M10" s="261"/>
    </row>
    <row r="11" spans="1:16" x14ac:dyDescent="0.3">
      <c r="A11" s="22">
        <v>1</v>
      </c>
      <c r="B11" s="27" t="s">
        <v>345</v>
      </c>
      <c r="C11" s="28"/>
      <c r="D11" s="38">
        <v>1666308</v>
      </c>
      <c r="E11" s="38">
        <f t="shared" ref="E11:E19" si="1">+D11/$D$77</f>
        <v>13120.535433070867</v>
      </c>
      <c r="F11" s="38"/>
      <c r="G11" s="38">
        <f>+PROFORMA!S11</f>
        <v>1655436</v>
      </c>
      <c r="H11" s="38">
        <f t="shared" ref="H11:H19" si="2">+G11/$D$77</f>
        <v>13034.929133858268</v>
      </c>
      <c r="I11" s="38"/>
      <c r="J11" s="243">
        <f t="shared" ref="J11:J19" si="3">+G11-D11</f>
        <v>-10872</v>
      </c>
      <c r="K11" s="38">
        <f t="shared" ref="K11:K19" si="4">+J11/$D$77</f>
        <v>-85.606299212598429</v>
      </c>
      <c r="L11" s="38"/>
      <c r="M11" s="178"/>
      <c r="N11" s="25" t="s">
        <v>1049</v>
      </c>
      <c r="O11" s="209"/>
      <c r="P11" s="56"/>
    </row>
    <row r="12" spans="1:16" ht="15.5" x14ac:dyDescent="0.35">
      <c r="A12" s="22">
        <v>2</v>
      </c>
      <c r="B12" s="27" t="s">
        <v>308</v>
      </c>
      <c r="C12" s="38"/>
      <c r="D12" s="38">
        <v>-87048</v>
      </c>
      <c r="E12" s="38">
        <f t="shared" si="1"/>
        <v>-685.41732283464569</v>
      </c>
      <c r="F12" s="38"/>
      <c r="G12" s="38">
        <f>+PROFORMA!S12</f>
        <v>-82771.8</v>
      </c>
      <c r="H12" s="38">
        <f t="shared" si="2"/>
        <v>-651.7464566929134</v>
      </c>
      <c r="I12" s="38"/>
      <c r="J12" s="259">
        <f t="shared" si="3"/>
        <v>4276.1999999999971</v>
      </c>
      <c r="K12" s="38">
        <f t="shared" si="4"/>
        <v>33.670866141732262</v>
      </c>
      <c r="L12" s="38"/>
      <c r="M12" s="178"/>
      <c r="N12" s="25" t="s">
        <v>1051</v>
      </c>
      <c r="O12" s="57"/>
    </row>
    <row r="13" spans="1:16" x14ac:dyDescent="0.3">
      <c r="A13" s="22">
        <v>3</v>
      </c>
      <c r="B13" s="27" t="s">
        <v>309</v>
      </c>
      <c r="C13" s="38"/>
      <c r="D13" s="38">
        <v>0</v>
      </c>
      <c r="E13" s="38">
        <f t="shared" si="1"/>
        <v>0</v>
      </c>
      <c r="F13" s="38"/>
      <c r="G13" s="38">
        <f>+PROFORMA!S13</f>
        <v>0</v>
      </c>
      <c r="H13" s="38">
        <f t="shared" si="2"/>
        <v>0</v>
      </c>
      <c r="I13" s="38"/>
      <c r="J13" s="38">
        <f t="shared" si="3"/>
        <v>0</v>
      </c>
      <c r="K13" s="38">
        <f t="shared" si="4"/>
        <v>0</v>
      </c>
      <c r="L13" s="38"/>
      <c r="M13" s="178"/>
      <c r="N13" s="177">
        <v>0</v>
      </c>
      <c r="O13" s="57"/>
    </row>
    <row r="14" spans="1:16" x14ac:dyDescent="0.3">
      <c r="A14" s="22">
        <v>4</v>
      </c>
      <c r="B14" s="27" t="s">
        <v>310</v>
      </c>
      <c r="C14" s="38"/>
      <c r="D14" s="38">
        <v>-49989.24</v>
      </c>
      <c r="E14" s="38">
        <f t="shared" si="1"/>
        <v>-393.61606299212599</v>
      </c>
      <c r="F14" s="38"/>
      <c r="G14" s="38">
        <f>+PROFORMA!S14</f>
        <v>-49663.08</v>
      </c>
      <c r="H14" s="38">
        <f t="shared" si="2"/>
        <v>-391.04787401574805</v>
      </c>
      <c r="I14" s="38"/>
      <c r="J14" s="38">
        <f t="shared" si="3"/>
        <v>326.15999999999622</v>
      </c>
      <c r="K14" s="38">
        <f t="shared" si="4"/>
        <v>2.5681889763779231</v>
      </c>
      <c r="L14" s="38"/>
      <c r="M14" s="178"/>
      <c r="N14" s="177">
        <v>0.03</v>
      </c>
      <c r="O14" s="57"/>
    </row>
    <row r="15" spans="1:16" x14ac:dyDescent="0.3">
      <c r="A15" s="22">
        <v>5</v>
      </c>
      <c r="B15" s="27" t="s">
        <v>318</v>
      </c>
      <c r="C15" s="38"/>
      <c r="D15" s="38">
        <v>0</v>
      </c>
      <c r="E15" s="38">
        <f t="shared" si="1"/>
        <v>0</v>
      </c>
      <c r="F15" s="38"/>
      <c r="G15" s="38">
        <f>+PROFORMA!S15</f>
        <v>0</v>
      </c>
      <c r="H15" s="38">
        <f t="shared" si="2"/>
        <v>0</v>
      </c>
      <c r="I15" s="38"/>
      <c r="J15" s="38">
        <f t="shared" si="3"/>
        <v>0</v>
      </c>
      <c r="K15" s="38">
        <f t="shared" si="4"/>
        <v>0</v>
      </c>
      <c r="L15" s="38"/>
      <c r="M15" s="180"/>
      <c r="N15" s="178" t="s">
        <v>307</v>
      </c>
      <c r="O15" s="57"/>
    </row>
    <row r="16" spans="1:16" x14ac:dyDescent="0.3">
      <c r="A16" s="22"/>
      <c r="B16" s="26" t="s">
        <v>27</v>
      </c>
      <c r="C16" s="246"/>
      <c r="D16" s="246">
        <v>1529260</v>
      </c>
      <c r="E16" s="246">
        <f t="shared" si="1"/>
        <v>12041.417322834646</v>
      </c>
      <c r="F16" s="246"/>
      <c r="G16" s="246">
        <f>+PROFORMA!S16</f>
        <v>1523001.1199999999</v>
      </c>
      <c r="H16" s="246">
        <f t="shared" si="2"/>
        <v>11992.134803149605</v>
      </c>
      <c r="I16" s="246"/>
      <c r="J16" s="246">
        <f t="shared" si="3"/>
        <v>-6258.8800000001211</v>
      </c>
      <c r="K16" s="246">
        <f t="shared" si="4"/>
        <v>-49.28251968504032</v>
      </c>
      <c r="L16" s="246"/>
      <c r="M16" s="178"/>
    </row>
    <row r="17" spans="1:22" x14ac:dyDescent="0.3">
      <c r="A17" s="22">
        <v>6</v>
      </c>
      <c r="B17" s="27" t="s">
        <v>319</v>
      </c>
      <c r="C17" s="28"/>
      <c r="D17" s="38">
        <v>85773.847399999999</v>
      </c>
      <c r="E17" s="38">
        <f t="shared" si="1"/>
        <v>675.38462519685038</v>
      </c>
      <c r="F17" s="38"/>
      <c r="G17" s="38">
        <f>+PROFORMA!S17</f>
        <v>87122.560300000012</v>
      </c>
      <c r="H17" s="38">
        <f t="shared" si="2"/>
        <v>686.00441181102372</v>
      </c>
      <c r="I17" s="38"/>
      <c r="J17" s="38">
        <f t="shared" si="3"/>
        <v>1348.7129000000132</v>
      </c>
      <c r="K17" s="38">
        <f t="shared" si="4"/>
        <v>10.619786614173332</v>
      </c>
      <c r="L17" s="38"/>
      <c r="M17" s="180">
        <v>0.03</v>
      </c>
      <c r="N17" s="178" t="s">
        <v>307</v>
      </c>
      <c r="O17" s="57"/>
    </row>
    <row r="18" spans="1:22" x14ac:dyDescent="0.3">
      <c r="A18" s="22">
        <v>7</v>
      </c>
      <c r="B18" s="27" t="s">
        <v>320</v>
      </c>
      <c r="C18" s="28"/>
      <c r="D18" s="38">
        <v>133870.98489999998</v>
      </c>
      <c r="E18" s="38">
        <f t="shared" si="1"/>
        <v>1054.1022433070864</v>
      </c>
      <c r="F18" s="38"/>
      <c r="G18" s="38">
        <f>+PROFORMA!S18</f>
        <v>124901.74490000002</v>
      </c>
      <c r="H18" s="38">
        <f t="shared" si="2"/>
        <v>983.4783062992127</v>
      </c>
      <c r="I18" s="38"/>
      <c r="J18" s="243">
        <f t="shared" si="3"/>
        <v>-8969.2399999999616</v>
      </c>
      <c r="K18" s="38">
        <f t="shared" si="4"/>
        <v>-70.623937007873707</v>
      </c>
      <c r="L18" s="38"/>
      <c r="M18" s="180">
        <v>0.03</v>
      </c>
      <c r="N18" s="178" t="s">
        <v>307</v>
      </c>
      <c r="O18" s="57"/>
    </row>
    <row r="19" spans="1:22" x14ac:dyDescent="0.3">
      <c r="A19" s="22"/>
      <c r="B19" s="26" t="s">
        <v>311</v>
      </c>
      <c r="C19" s="29"/>
      <c r="D19" s="246">
        <v>1748904.8323000001</v>
      </c>
      <c r="E19" s="246">
        <f t="shared" si="1"/>
        <v>13770.904191338584</v>
      </c>
      <c r="F19" s="246"/>
      <c r="G19" s="246">
        <f>+PROFORMA!S19</f>
        <v>1735025.4251999999</v>
      </c>
      <c r="H19" s="246">
        <f t="shared" si="2"/>
        <v>13661.617521259843</v>
      </c>
      <c r="I19" s="246"/>
      <c r="J19" s="246">
        <f t="shared" si="3"/>
        <v>-13879.407100000186</v>
      </c>
      <c r="K19" s="246">
        <f t="shared" si="4"/>
        <v>-109.28667007874162</v>
      </c>
      <c r="L19" s="246"/>
      <c r="M19" s="178"/>
    </row>
    <row r="20" spans="1:22" ht="5.15" customHeight="1" x14ac:dyDescent="0.3">
      <c r="A20" s="22"/>
      <c r="B20" s="23"/>
      <c r="C20" s="28"/>
      <c r="D20" s="38"/>
      <c r="E20" s="38"/>
      <c r="F20" s="38"/>
      <c r="G20" s="38"/>
      <c r="H20" s="38"/>
      <c r="I20" s="38"/>
      <c r="J20" s="38"/>
      <c r="K20" s="38"/>
      <c r="L20" s="38"/>
      <c r="M20" s="178"/>
    </row>
    <row r="21" spans="1:22" x14ac:dyDescent="0.3">
      <c r="A21" s="22"/>
      <c r="B21" s="23" t="s">
        <v>321</v>
      </c>
      <c r="C21" s="28"/>
      <c r="D21" s="38"/>
      <c r="E21" s="38"/>
      <c r="F21" s="38"/>
      <c r="G21" s="38"/>
      <c r="H21" s="38"/>
      <c r="I21" s="38"/>
      <c r="J21" s="38"/>
      <c r="K21" s="38"/>
      <c r="L21" s="38"/>
      <c r="M21" s="178"/>
    </row>
    <row r="22" spans="1:22" x14ac:dyDescent="0.3">
      <c r="A22" s="22">
        <v>8</v>
      </c>
      <c r="B22" s="27" t="s">
        <v>312</v>
      </c>
      <c r="C22" s="28"/>
      <c r="D22" s="38">
        <v>88011.460599999991</v>
      </c>
      <c r="E22" s="38">
        <f t="shared" ref="E22:E33" si="5">+D22/$D$77</f>
        <v>693.00362677165344</v>
      </c>
      <c r="F22" s="38"/>
      <c r="G22" s="38">
        <f>+PROFORMA!S22</f>
        <v>103654.2251</v>
      </c>
      <c r="H22" s="38">
        <f t="shared" ref="H22:H33" si="6">+G22/$D$77</f>
        <v>816.17500078740159</v>
      </c>
      <c r="I22" s="38"/>
      <c r="J22" s="243">
        <f t="shared" ref="J22:J34" si="7">+G22-D22</f>
        <v>15642.764500000005</v>
      </c>
      <c r="K22" s="38">
        <f t="shared" ref="K22:K33" si="8">+J22/$D$77</f>
        <v>123.17137401574807</v>
      </c>
      <c r="L22" s="38"/>
      <c r="M22" s="180">
        <v>0.03</v>
      </c>
      <c r="N22" s="178" t="s">
        <v>307</v>
      </c>
    </row>
    <row r="23" spans="1:22" x14ac:dyDescent="0.3">
      <c r="A23" s="22">
        <v>9</v>
      </c>
      <c r="B23" s="27" t="s">
        <v>313</v>
      </c>
      <c r="C23" s="28"/>
      <c r="D23" s="38">
        <v>61873.871600000006</v>
      </c>
      <c r="E23" s="38">
        <f t="shared" si="5"/>
        <v>487.19583937007877</v>
      </c>
      <c r="F23" s="38"/>
      <c r="G23" s="38">
        <f>+PROFORMA!S23</f>
        <v>59070.705999999998</v>
      </c>
      <c r="H23" s="38">
        <f t="shared" si="6"/>
        <v>465.12366929133856</v>
      </c>
      <c r="I23" s="38"/>
      <c r="J23" s="38">
        <f t="shared" si="7"/>
        <v>-2803.1656000000075</v>
      </c>
      <c r="K23" s="38">
        <f t="shared" si="8"/>
        <v>-22.072170078740218</v>
      </c>
      <c r="L23" s="38"/>
      <c r="M23" s="180">
        <v>0.03</v>
      </c>
      <c r="N23" s="178" t="s">
        <v>307</v>
      </c>
    </row>
    <row r="24" spans="1:22" x14ac:dyDescent="0.3">
      <c r="A24" s="22">
        <v>10</v>
      </c>
      <c r="B24" s="27" t="s">
        <v>480</v>
      </c>
      <c r="C24" s="28"/>
      <c r="D24" s="38">
        <v>29015.285400000001</v>
      </c>
      <c r="E24" s="38">
        <f t="shared" si="5"/>
        <v>228.46681417322836</v>
      </c>
      <c r="F24" s="38"/>
      <c r="G24" s="38">
        <f>+PROFORMA!S24</f>
        <v>32334.501600000003</v>
      </c>
      <c r="H24" s="38">
        <f t="shared" si="6"/>
        <v>254.60237480314964</v>
      </c>
      <c r="I24" s="38"/>
      <c r="J24" s="38">
        <f t="shared" si="7"/>
        <v>3319.2162000000026</v>
      </c>
      <c r="K24" s="38">
        <f t="shared" si="8"/>
        <v>26.135560629921279</v>
      </c>
      <c r="L24" s="38"/>
      <c r="M24" s="180">
        <v>0.03</v>
      </c>
      <c r="N24" s="178" t="s">
        <v>307</v>
      </c>
      <c r="R24" s="30"/>
    </row>
    <row r="25" spans="1:22" x14ac:dyDescent="0.3">
      <c r="A25" s="22">
        <v>11</v>
      </c>
      <c r="B25" s="27" t="s">
        <v>483</v>
      </c>
      <c r="C25" s="28"/>
      <c r="D25" s="38">
        <v>66435.082399999999</v>
      </c>
      <c r="E25" s="38">
        <f t="shared" si="5"/>
        <v>523.11088503937003</v>
      </c>
      <c r="F25" s="38"/>
      <c r="G25" s="38">
        <f>+PROFORMA!S25</f>
        <v>64927.419900000008</v>
      </c>
      <c r="H25" s="38">
        <f t="shared" si="6"/>
        <v>511.23952677165363</v>
      </c>
      <c r="I25" s="38"/>
      <c r="J25" s="38">
        <f t="shared" si="7"/>
        <v>-1507.6624999999913</v>
      </c>
      <c r="K25" s="38">
        <f t="shared" si="8"/>
        <v>-11.871358267716467</v>
      </c>
      <c r="L25" s="38"/>
      <c r="M25" s="180">
        <v>0.03</v>
      </c>
      <c r="N25" s="178" t="s">
        <v>307</v>
      </c>
      <c r="R25" s="30"/>
      <c r="S25" s="30"/>
      <c r="T25" s="30"/>
      <c r="U25" s="30"/>
      <c r="V25" s="30"/>
    </row>
    <row r="26" spans="1:22" x14ac:dyDescent="0.3">
      <c r="A26" s="22">
        <v>12</v>
      </c>
      <c r="B26" s="27" t="s">
        <v>141</v>
      </c>
      <c r="C26" s="28"/>
      <c r="D26" s="38">
        <v>68126.373300000021</v>
      </c>
      <c r="E26" s="38">
        <f t="shared" si="5"/>
        <v>536.42813622047265</v>
      </c>
      <c r="F26" s="38"/>
      <c r="G26" s="38">
        <f>+PROFORMA!S26</f>
        <v>66526.6391</v>
      </c>
      <c r="H26" s="38">
        <f t="shared" si="6"/>
        <v>523.83180393700786</v>
      </c>
      <c r="I26" s="38"/>
      <c r="J26" s="38">
        <f t="shared" si="7"/>
        <v>-1599.7342000000208</v>
      </c>
      <c r="K26" s="38">
        <f t="shared" si="8"/>
        <v>-12.596332283464731</v>
      </c>
      <c r="L26" s="38"/>
      <c r="M26" s="180">
        <v>0.03</v>
      </c>
      <c r="N26" s="178" t="s">
        <v>307</v>
      </c>
      <c r="Q26" s="30"/>
      <c r="R26" s="172"/>
      <c r="S26" s="172"/>
      <c r="T26" s="172"/>
      <c r="U26" s="172"/>
      <c r="V26" s="172"/>
    </row>
    <row r="27" spans="1:22" x14ac:dyDescent="0.3">
      <c r="A27" s="22">
        <v>13</v>
      </c>
      <c r="B27" s="27" t="s">
        <v>484</v>
      </c>
      <c r="C27" s="28"/>
      <c r="D27" s="38">
        <v>51694.690600000009</v>
      </c>
      <c r="E27" s="38">
        <f t="shared" si="5"/>
        <v>407.04480787401582</v>
      </c>
      <c r="F27" s="38"/>
      <c r="G27" s="38">
        <f>+PROFORMA!S27</f>
        <v>47022.981399999997</v>
      </c>
      <c r="H27" s="38">
        <f t="shared" si="6"/>
        <v>370.25969606299208</v>
      </c>
      <c r="I27" s="38"/>
      <c r="J27" s="38">
        <f t="shared" si="7"/>
        <v>-4671.7092000000121</v>
      </c>
      <c r="K27" s="38">
        <f t="shared" si="8"/>
        <v>-36.785111811023718</v>
      </c>
      <c r="L27" s="38"/>
      <c r="M27" s="180">
        <v>0.03</v>
      </c>
      <c r="N27" s="178" t="s">
        <v>307</v>
      </c>
      <c r="Q27" s="30"/>
      <c r="R27" s="127"/>
    </row>
    <row r="28" spans="1:22" x14ac:dyDescent="0.3">
      <c r="A28" s="22">
        <v>14</v>
      </c>
      <c r="B28" s="27" t="s">
        <v>117</v>
      </c>
      <c r="C28" s="28"/>
      <c r="D28" s="38">
        <v>78048.486900000018</v>
      </c>
      <c r="E28" s="38">
        <f t="shared" si="5"/>
        <v>614.55501496063005</v>
      </c>
      <c r="F28" s="38"/>
      <c r="G28" s="38">
        <f>+PROFORMA!S28</f>
        <v>77975.562900000004</v>
      </c>
      <c r="H28" s="38">
        <f t="shared" si="6"/>
        <v>613.98081023622046</v>
      </c>
      <c r="I28" s="38"/>
      <c r="J28" s="38">
        <f t="shared" si="7"/>
        <v>-72.924000000013621</v>
      </c>
      <c r="K28" s="38">
        <f t="shared" si="8"/>
        <v>-0.57420472440955606</v>
      </c>
      <c r="L28" s="38"/>
      <c r="M28" s="180">
        <v>0.03</v>
      </c>
      <c r="N28" s="178" t="s">
        <v>307</v>
      </c>
      <c r="Q28" s="30"/>
      <c r="R28" s="127"/>
    </row>
    <row r="29" spans="1:22" x14ac:dyDescent="0.3">
      <c r="A29" s="22">
        <v>15</v>
      </c>
      <c r="B29" s="27" t="s">
        <v>314</v>
      </c>
      <c r="C29" s="28"/>
      <c r="D29" s="38">
        <v>163732.41729408002</v>
      </c>
      <c r="E29" s="38">
        <f t="shared" si="5"/>
        <v>1289.2316322368506</v>
      </c>
      <c r="F29" s="38"/>
      <c r="G29" s="38">
        <f>+PROFORMA!S29</f>
        <v>163732.41729408002</v>
      </c>
      <c r="H29" s="38">
        <f t="shared" si="6"/>
        <v>1289.2316322368506</v>
      </c>
      <c r="I29" s="38"/>
      <c r="J29" s="38">
        <f t="shared" si="7"/>
        <v>0</v>
      </c>
      <c r="K29" s="38">
        <f t="shared" si="8"/>
        <v>0</v>
      </c>
      <c r="L29" s="38"/>
      <c r="M29" s="180">
        <v>0.03</v>
      </c>
      <c r="N29" s="178" t="s">
        <v>494</v>
      </c>
      <c r="O29" s="57"/>
    </row>
    <row r="30" spans="1:22" x14ac:dyDescent="0.3">
      <c r="A30" s="22">
        <v>16</v>
      </c>
      <c r="B30" s="27" t="s">
        <v>315</v>
      </c>
      <c r="C30" s="28"/>
      <c r="D30" s="38">
        <v>160000</v>
      </c>
      <c r="E30" s="38">
        <f t="shared" si="5"/>
        <v>1259.8425196850394</v>
      </c>
      <c r="F30" s="38"/>
      <c r="G30" s="38">
        <f>+PROFORMA!S30</f>
        <v>160000</v>
      </c>
      <c r="H30" s="38">
        <f t="shared" si="6"/>
        <v>1259.8425196850394</v>
      </c>
      <c r="I30" s="38"/>
      <c r="J30" s="38">
        <f t="shared" si="7"/>
        <v>0</v>
      </c>
      <c r="K30" s="38">
        <f t="shared" si="8"/>
        <v>0</v>
      </c>
      <c r="L30" s="38"/>
      <c r="M30" s="180"/>
      <c r="N30" s="178" t="s">
        <v>1027</v>
      </c>
      <c r="O30" s="57"/>
    </row>
    <row r="31" spans="1:22" x14ac:dyDescent="0.3">
      <c r="A31" s="22">
        <v>17</v>
      </c>
      <c r="B31" s="27" t="s">
        <v>134</v>
      </c>
      <c r="C31" s="28"/>
      <c r="D31" s="38">
        <v>61211.669130500013</v>
      </c>
      <c r="E31" s="38">
        <f t="shared" si="5"/>
        <v>481.98164669685048</v>
      </c>
      <c r="F31" s="38"/>
      <c r="G31" s="38">
        <f>+PROFORMA!S31</f>
        <v>60725.889882000003</v>
      </c>
      <c r="H31" s="38">
        <f t="shared" si="6"/>
        <v>478.1566132440945</v>
      </c>
      <c r="I31" s="38"/>
      <c r="J31" s="38">
        <f t="shared" si="7"/>
        <v>-485.77924850001</v>
      </c>
      <c r="K31" s="38">
        <f t="shared" si="8"/>
        <v>-3.8250334527559842</v>
      </c>
      <c r="L31" s="38"/>
      <c r="M31" s="178"/>
      <c r="N31" s="179">
        <v>3.5000000000000003E-2</v>
      </c>
      <c r="O31" s="57"/>
    </row>
    <row r="32" spans="1:22" x14ac:dyDescent="0.3">
      <c r="A32" s="22"/>
      <c r="B32" s="27" t="s">
        <v>316</v>
      </c>
      <c r="C32" s="28"/>
      <c r="D32" s="38">
        <v>38100</v>
      </c>
      <c r="E32" s="38">
        <f t="shared" si="5"/>
        <v>300</v>
      </c>
      <c r="F32" s="38"/>
      <c r="G32" s="38">
        <f>+PROFORMA!S32</f>
        <v>38100</v>
      </c>
      <c r="H32" s="38">
        <f t="shared" si="6"/>
        <v>300</v>
      </c>
      <c r="I32" s="38"/>
      <c r="J32" s="38">
        <f t="shared" si="7"/>
        <v>0</v>
      </c>
      <c r="K32" s="38">
        <f t="shared" si="8"/>
        <v>0</v>
      </c>
      <c r="L32" s="38"/>
      <c r="M32" s="178"/>
      <c r="N32" s="189">
        <v>300</v>
      </c>
    </row>
    <row r="33" spans="1:41" x14ac:dyDescent="0.3">
      <c r="A33" s="22"/>
      <c r="B33" s="26" t="s">
        <v>273</v>
      </c>
      <c r="C33" s="29"/>
      <c r="D33" s="246">
        <v>866249.33722458023</v>
      </c>
      <c r="E33" s="246">
        <f t="shared" si="5"/>
        <v>6820.8609230281909</v>
      </c>
      <c r="F33" s="246"/>
      <c r="G33" s="246">
        <f>+PROFORMA!S33</f>
        <v>874070.34317608003</v>
      </c>
      <c r="H33" s="246">
        <f t="shared" si="6"/>
        <v>6882.4436470557484</v>
      </c>
      <c r="I33" s="246"/>
      <c r="J33" s="246">
        <f t="shared" si="7"/>
        <v>7821.0059514997993</v>
      </c>
      <c r="K33" s="246">
        <f t="shared" si="8"/>
        <v>61.582724027557475</v>
      </c>
      <c r="L33" s="246"/>
      <c r="M33" s="178"/>
      <c r="O33" s="57"/>
    </row>
    <row r="34" spans="1:41" s="36" customFormat="1" ht="13.5" x14ac:dyDescent="0.25">
      <c r="A34" s="32"/>
      <c r="B34" s="33" t="s">
        <v>325</v>
      </c>
      <c r="C34" s="35"/>
      <c r="D34" s="248">
        <v>0.49530959102295358</v>
      </c>
      <c r="E34" s="249"/>
      <c r="F34" s="248"/>
      <c r="G34" s="248">
        <f>+PROFORMA!S34</f>
        <v>0.50377955877812231</v>
      </c>
      <c r="H34" s="249"/>
      <c r="I34" s="249"/>
      <c r="J34" s="248">
        <f t="shared" si="7"/>
        <v>8.469967755168728E-3</v>
      </c>
      <c r="K34" s="249"/>
      <c r="L34" s="248"/>
      <c r="M34" s="181"/>
    </row>
    <row r="35" spans="1:41" ht="5.15" customHeight="1" x14ac:dyDescent="0.3">
      <c r="A35" s="22"/>
      <c r="B35" s="23"/>
      <c r="C35" s="28"/>
      <c r="D35" s="38"/>
      <c r="E35" s="38"/>
      <c r="F35" s="38"/>
      <c r="G35" s="38"/>
      <c r="H35" s="38"/>
      <c r="I35" s="38"/>
      <c r="J35" s="38"/>
      <c r="K35" s="38"/>
      <c r="L35" s="38"/>
      <c r="M35" s="178"/>
    </row>
    <row r="36" spans="1:41" s="239" customFormat="1" ht="18" customHeight="1" thickBot="1" x14ac:dyDescent="0.3">
      <c r="A36" s="236"/>
      <c r="B36" s="237" t="s">
        <v>317</v>
      </c>
      <c r="C36" s="238"/>
      <c r="D36" s="250">
        <v>882655.49507541989</v>
      </c>
      <c r="E36" s="250">
        <f>+D36/$D$77</f>
        <v>6950.0432683103927</v>
      </c>
      <c r="F36" s="250"/>
      <c r="G36" s="250">
        <f>+PROFORMA!S36</f>
        <v>860955.08202391991</v>
      </c>
      <c r="H36" s="250">
        <f>+G36/$D$77</f>
        <v>6779.1738742040934</v>
      </c>
      <c r="I36" s="250"/>
      <c r="J36" s="250">
        <f>+G36-D36</f>
        <v>-21700.413051499985</v>
      </c>
      <c r="K36" s="250">
        <f>+J36/$D$77</f>
        <v>-170.8693941062991</v>
      </c>
      <c r="L36" s="250"/>
      <c r="M36" s="240"/>
    </row>
    <row r="37" spans="1:41" ht="5.15" customHeight="1" thickTop="1" x14ac:dyDescent="0.3">
      <c r="M37" s="178"/>
    </row>
    <row r="38" spans="1:41" ht="15.5" x14ac:dyDescent="0.35">
      <c r="B38" s="62" t="s">
        <v>346</v>
      </c>
      <c r="M38" s="178"/>
      <c r="P38" s="62" t="s">
        <v>347</v>
      </c>
      <c r="W38" s="202">
        <v>2026</v>
      </c>
      <c r="X38" s="203"/>
      <c r="Y38" s="204"/>
      <c r="AA38" s="202">
        <v>2025</v>
      </c>
      <c r="AB38" s="203"/>
      <c r="AC38" s="204"/>
      <c r="AE38" s="202">
        <v>2024</v>
      </c>
      <c r="AF38" s="203"/>
      <c r="AG38" s="204"/>
      <c r="AI38" s="202">
        <v>2023</v>
      </c>
      <c r="AJ38" s="203"/>
      <c r="AK38" s="204"/>
      <c r="AM38" s="202">
        <v>2022</v>
      </c>
      <c r="AN38" s="203"/>
      <c r="AO38" s="204"/>
    </row>
    <row r="39" spans="1:41" x14ac:dyDescent="0.3">
      <c r="B39" s="57"/>
      <c r="M39" s="182"/>
      <c r="N39" s="57"/>
      <c r="R39" s="30" t="s">
        <v>326</v>
      </c>
      <c r="S39" s="30"/>
      <c r="U39" s="25" t="s">
        <v>505</v>
      </c>
    </row>
    <row r="40" spans="1:41" x14ac:dyDescent="0.3">
      <c r="B40" s="57"/>
      <c r="C40" s="46"/>
      <c r="N40" s="57"/>
      <c r="P40" s="25" t="s">
        <v>330</v>
      </c>
      <c r="R40" s="206">
        <v>11000000</v>
      </c>
      <c r="S40" s="127"/>
      <c r="U40" s="197" t="s">
        <v>502</v>
      </c>
      <c r="V40" s="197"/>
      <c r="W40" s="185">
        <f>+(1+AVERAGE(AA44:AE44))*AA40</f>
        <v>9442060.9602190219</v>
      </c>
      <c r="AA40" s="185">
        <v>9143000</v>
      </c>
      <c r="AE40" s="185">
        <v>8958200</v>
      </c>
      <c r="AI40" s="185">
        <v>8574168</v>
      </c>
      <c r="AM40" s="185">
        <v>7794699</v>
      </c>
    </row>
    <row r="41" spans="1:41" x14ac:dyDescent="0.3">
      <c r="B41" s="57"/>
      <c r="M41" s="30"/>
      <c r="N41" s="57"/>
      <c r="P41" s="25" t="s">
        <v>329</v>
      </c>
      <c r="Q41" s="63">
        <v>0.8</v>
      </c>
      <c r="R41" s="127">
        <f>+Q41*R40</f>
        <v>8800000</v>
      </c>
      <c r="S41" s="206"/>
      <c r="U41" s="197" t="s">
        <v>503</v>
      </c>
      <c r="V41" s="197"/>
      <c r="W41" s="185">
        <f>+(1+$AA45)*AA41</f>
        <v>9331612.2658569813</v>
      </c>
      <c r="AA41" s="185">
        <v>9143000</v>
      </c>
      <c r="AE41" s="185">
        <v>8958200</v>
      </c>
      <c r="AI41" s="185">
        <v>9103200</v>
      </c>
      <c r="AM41" s="185">
        <v>8947800</v>
      </c>
    </row>
    <row r="42" spans="1:41" x14ac:dyDescent="0.3">
      <c r="B42" s="58"/>
      <c r="M42" s="64"/>
      <c r="N42" s="57"/>
      <c r="P42" s="25" t="s">
        <v>328</v>
      </c>
      <c r="Q42" s="207">
        <f>+$X$59</f>
        <v>17.741199999999999</v>
      </c>
      <c r="R42" s="127">
        <f>+(Q42/1000)*R41</f>
        <v>156122.56</v>
      </c>
      <c r="S42" s="127"/>
    </row>
    <row r="43" spans="1:41" x14ac:dyDescent="0.3">
      <c r="B43" s="25" t="s">
        <v>343</v>
      </c>
      <c r="M43" s="30"/>
      <c r="N43" s="57"/>
      <c r="P43" s="25" t="s">
        <v>518</v>
      </c>
      <c r="R43" s="127">
        <f>+Y64</f>
        <v>3379.2</v>
      </c>
      <c r="S43" s="206"/>
      <c r="U43" s="25" t="s">
        <v>504</v>
      </c>
    </row>
    <row r="44" spans="1:41" x14ac:dyDescent="0.3">
      <c r="B44" s="255"/>
      <c r="C44" s="252"/>
      <c r="D44" s="252"/>
      <c r="E44" s="251" t="s">
        <v>323</v>
      </c>
      <c r="F44" s="251"/>
      <c r="G44" s="252"/>
      <c r="H44" s="251" t="s">
        <v>323</v>
      </c>
      <c r="I44" s="251"/>
      <c r="J44" s="252"/>
      <c r="K44" s="251" t="s">
        <v>323</v>
      </c>
      <c r="L44" s="48"/>
      <c r="P44" s="25" t="s">
        <v>331</v>
      </c>
      <c r="R44" s="127">
        <f>+SUM(R42:R43)</f>
        <v>159501.76000000001</v>
      </c>
      <c r="S44" s="127"/>
      <c r="U44" s="197" t="s">
        <v>502</v>
      </c>
      <c r="V44" s="197"/>
      <c r="W44" s="56">
        <f>+W40/AA40-1</f>
        <v>3.2709281441432925E-2</v>
      </c>
      <c r="AA44" s="56">
        <f>+AA40/AE40-1</f>
        <v>2.0629144247728437E-2</v>
      </c>
      <c r="AE44" s="56">
        <f>+AE40/AI40-1</f>
        <v>4.4789418635137634E-2</v>
      </c>
      <c r="AI44" s="56">
        <f>+AI40/AM40-1</f>
        <v>9.9999884536914108E-2</v>
      </c>
    </row>
    <row r="45" spans="1:41" x14ac:dyDescent="0.3">
      <c r="B45" s="256" t="s">
        <v>1028</v>
      </c>
      <c r="C45" s="253">
        <v>5.7500000000000002E-2</v>
      </c>
      <c r="D45" s="127">
        <f>+ROUND(D36/$C45,-4)</f>
        <v>15350000</v>
      </c>
      <c r="E45" s="191">
        <f>+ROUND(D45/$G$77,-3)</f>
        <v>121000</v>
      </c>
      <c r="F45" s="191"/>
      <c r="G45" s="127">
        <f>+ROUND(G36/$C45,-4)</f>
        <v>14970000</v>
      </c>
      <c r="H45" s="191">
        <f>+ROUND(G45/$G$77,-3)</f>
        <v>118000</v>
      </c>
      <c r="I45" s="191"/>
      <c r="J45" s="127">
        <f>+G45-D45</f>
        <v>-380000</v>
      </c>
      <c r="K45" s="191">
        <f>+ROUND(J45/$G$77,-3)</f>
        <v>-3000</v>
      </c>
      <c r="L45" s="50"/>
      <c r="P45" s="25" t="s">
        <v>327</v>
      </c>
      <c r="Q45" s="63">
        <v>-0.04</v>
      </c>
      <c r="R45" s="38">
        <f>+Q45*R44</f>
        <v>-6380.0704000000005</v>
      </c>
      <c r="S45" s="38"/>
      <c r="U45" s="197" t="s">
        <v>503</v>
      </c>
      <c r="V45" s="197"/>
      <c r="W45" s="56">
        <f t="shared" ref="W45" si="9">+W41/AA41-1</f>
        <v>2.0629144247728437E-2</v>
      </c>
      <c r="AA45" s="56">
        <f t="shared" ref="AA45" si="10">+AA41/AE41-1</f>
        <v>2.0629144247728437E-2</v>
      </c>
      <c r="AE45" s="56">
        <f>+AE41/AI41-1</f>
        <v>-1.5928464715704416E-2</v>
      </c>
      <c r="AI45" s="56">
        <f>+AI41/AM41-1</f>
        <v>1.7367397572587651E-2</v>
      </c>
    </row>
    <row r="46" spans="1:41" x14ac:dyDescent="0.3">
      <c r="B46" s="256" t="s">
        <v>349</v>
      </c>
      <c r="D46" s="127">
        <v>10500000</v>
      </c>
      <c r="E46" s="191">
        <f t="shared" ref="E46" si="11">+ROUND(D46/$G$77,-3)</f>
        <v>83000</v>
      </c>
      <c r="F46" s="191"/>
      <c r="G46" s="127">
        <v>10500000</v>
      </c>
      <c r="H46" s="191">
        <f t="shared" ref="H46" si="12">+ROUND(G46/$G$77,-3)</f>
        <v>83000</v>
      </c>
      <c r="I46" s="191"/>
      <c r="J46" s="127">
        <f t="shared" ref="J46" si="13">+G46-D46</f>
        <v>0</v>
      </c>
      <c r="K46" s="191">
        <f t="shared" ref="K46" si="14">+ROUND(J46/$G$77,-3)</f>
        <v>0</v>
      </c>
      <c r="L46" s="50"/>
      <c r="P46" s="25" t="s">
        <v>332</v>
      </c>
      <c r="R46" s="127">
        <f>+SUM(R44:R45)</f>
        <v>153121.68960000001</v>
      </c>
      <c r="S46" s="127"/>
    </row>
    <row r="47" spans="1:41" x14ac:dyDescent="0.3">
      <c r="B47" s="256" t="s">
        <v>338</v>
      </c>
      <c r="D47" s="254">
        <f>+D46/D45</f>
        <v>0.68403908794788271</v>
      </c>
      <c r="E47" s="191"/>
      <c r="F47" s="191"/>
      <c r="G47" s="254">
        <f>+G46/G45</f>
        <v>0.70140280561122248</v>
      </c>
      <c r="H47" s="191"/>
      <c r="I47" s="191"/>
      <c r="J47" s="254">
        <f>+G47-D47</f>
        <v>1.7363717663339773E-2</v>
      </c>
      <c r="K47" s="191"/>
      <c r="L47" s="50"/>
      <c r="R47" s="127"/>
      <c r="S47" s="127"/>
    </row>
    <row r="48" spans="1:41" x14ac:dyDescent="0.3">
      <c r="B48" s="256"/>
      <c r="L48" s="50"/>
    </row>
    <row r="49" spans="2:41" x14ac:dyDescent="0.3">
      <c r="B49" s="256" t="s">
        <v>334</v>
      </c>
      <c r="D49" s="30" t="s">
        <v>487</v>
      </c>
      <c r="G49" s="30" t="s">
        <v>487</v>
      </c>
      <c r="J49" s="30"/>
      <c r="L49" s="50"/>
      <c r="W49" s="30" t="s">
        <v>329</v>
      </c>
      <c r="X49" s="30" t="s">
        <v>512</v>
      </c>
      <c r="Y49" s="30" t="s">
        <v>331</v>
      </c>
      <c r="AA49" s="30" t="s">
        <v>329</v>
      </c>
      <c r="AB49" s="30" t="s">
        <v>512</v>
      </c>
      <c r="AC49" s="30" t="s">
        <v>331</v>
      </c>
      <c r="AE49" s="30" t="s">
        <v>329</v>
      </c>
      <c r="AF49" s="30" t="s">
        <v>512</v>
      </c>
      <c r="AG49" s="30" t="s">
        <v>331</v>
      </c>
      <c r="AI49" s="30" t="s">
        <v>329</v>
      </c>
      <c r="AJ49" s="30" t="s">
        <v>512</v>
      </c>
      <c r="AK49" s="30" t="s">
        <v>331</v>
      </c>
      <c r="AM49" s="30" t="s">
        <v>329</v>
      </c>
      <c r="AN49" s="30" t="s">
        <v>512</v>
      </c>
      <c r="AO49" s="30" t="s">
        <v>331</v>
      </c>
    </row>
    <row r="50" spans="2:41" x14ac:dyDescent="0.3">
      <c r="B50" s="256" t="s">
        <v>1050</v>
      </c>
      <c r="D50" s="186">
        <v>45972</v>
      </c>
      <c r="E50" s="186"/>
      <c r="F50" s="186"/>
      <c r="G50" s="186">
        <v>46008</v>
      </c>
      <c r="H50" s="186"/>
      <c r="J50" s="51"/>
      <c r="L50" s="50"/>
      <c r="W50" s="30"/>
      <c r="X50" s="30"/>
      <c r="Y50" s="30"/>
      <c r="AA50" s="30"/>
      <c r="AB50" s="30"/>
      <c r="AC50" s="30"/>
      <c r="AE50" s="30"/>
      <c r="AF50" s="30"/>
      <c r="AG50" s="30"/>
      <c r="AI50" s="30"/>
      <c r="AJ50" s="30"/>
      <c r="AK50" s="30"/>
      <c r="AM50" s="30"/>
      <c r="AN50" s="30"/>
      <c r="AO50" s="30"/>
    </row>
    <row r="51" spans="2:41" x14ac:dyDescent="0.3">
      <c r="B51" s="256" t="s">
        <v>1033</v>
      </c>
      <c r="D51" s="51">
        <v>3.5499999999999997E-2</v>
      </c>
      <c r="G51" s="51">
        <v>3.5430000000000003E-2</v>
      </c>
      <c r="J51" s="51"/>
      <c r="L51" s="50"/>
      <c r="U51" s="25" t="s">
        <v>1011</v>
      </c>
      <c r="W51" s="185">
        <f>+W$40</f>
        <v>9442060.9602190219</v>
      </c>
      <c r="X51" s="200">
        <v>11.1919</v>
      </c>
      <c r="Y51" s="185">
        <f>+(X51/1000)*W51</f>
        <v>105674.60206067529</v>
      </c>
      <c r="AA51" s="185">
        <f>+AA$40</f>
        <v>9143000</v>
      </c>
      <c r="AB51" s="200">
        <v>11.1919</v>
      </c>
      <c r="AC51" s="185">
        <f>+(AB51/1000)*AA51</f>
        <v>102327.54170000002</v>
      </c>
      <c r="AE51" s="185">
        <f>+AE$40</f>
        <v>8958200</v>
      </c>
      <c r="AF51" s="200">
        <v>11.3169</v>
      </c>
      <c r="AG51" s="185">
        <f>+(AF51/1000)*AE51</f>
        <v>101379.05358000001</v>
      </c>
      <c r="AI51" s="185">
        <f>+AI$40</f>
        <v>8574168</v>
      </c>
      <c r="AJ51" s="200">
        <v>11.3169</v>
      </c>
      <c r="AK51" s="185">
        <f>+(AJ51/1000)*AI51</f>
        <v>97033.001839200006</v>
      </c>
      <c r="AM51" s="185">
        <f>+AM$40</f>
        <v>7794699</v>
      </c>
      <c r="AN51" s="200">
        <v>11.3169</v>
      </c>
      <c r="AO51" s="185">
        <f>+(AN51/1000)*AM51</f>
        <v>88211.829113100015</v>
      </c>
    </row>
    <row r="52" spans="2:41" x14ac:dyDescent="0.3">
      <c r="B52" s="256" t="s">
        <v>336</v>
      </c>
      <c r="D52" s="51">
        <v>0.02</v>
      </c>
      <c r="G52" s="51">
        <f>+D52</f>
        <v>0.02</v>
      </c>
      <c r="J52" s="51"/>
      <c r="L52" s="50"/>
      <c r="P52" s="25" t="s">
        <v>1032</v>
      </c>
      <c r="U52" s="25" t="s">
        <v>509</v>
      </c>
      <c r="W52" s="185">
        <f t="shared" ref="W52:W53" si="15">+W$40</f>
        <v>9442060.9602190219</v>
      </c>
      <c r="X52" s="200">
        <v>0.17929999999999999</v>
      </c>
      <c r="Y52" s="185">
        <f t="shared" ref="Y52:Y57" si="16">+(X52/1000)*W52</f>
        <v>1692.9615301672707</v>
      </c>
      <c r="AA52" s="185">
        <f t="shared" ref="AA52:AA53" si="17">+AA$40</f>
        <v>9143000</v>
      </c>
      <c r="AB52" s="200">
        <v>0.17929999999999999</v>
      </c>
      <c r="AC52" s="185">
        <f t="shared" ref="AC52:AC57" si="18">+(AB52/1000)*AA52</f>
        <v>1639.3398999999999</v>
      </c>
      <c r="AE52" s="185">
        <f t="shared" ref="AE52:AE53" si="19">+AE$40</f>
        <v>8958200</v>
      </c>
      <c r="AF52" s="200">
        <v>0.17929999999999999</v>
      </c>
      <c r="AG52" s="185">
        <f t="shared" ref="AG52:AG57" si="20">+(AF52/1000)*AE52</f>
        <v>1606.20526</v>
      </c>
      <c r="AI52" s="185">
        <f t="shared" ref="AI52:AI53" si="21">+AI$40</f>
        <v>8574168</v>
      </c>
      <c r="AJ52" s="200">
        <v>0.17929999999999999</v>
      </c>
      <c r="AK52" s="185">
        <f t="shared" ref="AK52:AK57" si="22">+(AJ52/1000)*AI52</f>
        <v>1537.3483223999999</v>
      </c>
      <c r="AM52" s="185">
        <f t="shared" ref="AM52:AM53" si="23">+AM$40</f>
        <v>7794699</v>
      </c>
      <c r="AN52" s="200">
        <v>0.19739999999999999</v>
      </c>
      <c r="AO52" s="185">
        <f t="shared" ref="AO52:AO56" si="24">+(AN52/1000)*AM52</f>
        <v>1538.6735825999999</v>
      </c>
    </row>
    <row r="53" spans="2:41" x14ac:dyDescent="0.3">
      <c r="B53" s="256" t="s">
        <v>1034</v>
      </c>
      <c r="D53" s="51">
        <f>+SUM(D51:D52)</f>
        <v>5.5499999999999994E-2</v>
      </c>
      <c r="G53" s="51">
        <f>+SUM(G51:G52)</f>
        <v>5.5430000000000007E-2</v>
      </c>
      <c r="J53" s="51"/>
      <c r="L53" s="50"/>
      <c r="P53" s="25" t="s">
        <v>487</v>
      </c>
      <c r="Q53" s="51">
        <v>3.5319999999999997E-2</v>
      </c>
      <c r="U53" s="25" t="s">
        <v>510</v>
      </c>
      <c r="W53" s="185">
        <f t="shared" si="15"/>
        <v>9442060.9602190219</v>
      </c>
      <c r="X53" s="200">
        <v>2.7E-2</v>
      </c>
      <c r="Y53" s="185">
        <f t="shared" si="16"/>
        <v>254.93564592591358</v>
      </c>
      <c r="AA53" s="185">
        <f t="shared" si="17"/>
        <v>9143000</v>
      </c>
      <c r="AB53" s="200">
        <v>2.7E-2</v>
      </c>
      <c r="AC53" s="185">
        <f t="shared" si="18"/>
        <v>246.86099999999999</v>
      </c>
      <c r="AE53" s="185">
        <f t="shared" si="19"/>
        <v>8958200</v>
      </c>
      <c r="AF53" s="200">
        <v>2.8799999999999999E-2</v>
      </c>
      <c r="AG53" s="185">
        <f t="shared" si="20"/>
        <v>257.99615999999997</v>
      </c>
      <c r="AI53" s="185">
        <f t="shared" si="21"/>
        <v>8574168</v>
      </c>
      <c r="AJ53" s="200">
        <v>2.8799999999999999E-2</v>
      </c>
      <c r="AK53" s="185">
        <f t="shared" si="22"/>
        <v>246.9360384</v>
      </c>
      <c r="AM53" s="185">
        <f t="shared" si="23"/>
        <v>7794699</v>
      </c>
      <c r="AN53" s="200">
        <v>3.2000000000000001E-2</v>
      </c>
      <c r="AO53" s="185">
        <f t="shared" si="24"/>
        <v>249.43036799999999</v>
      </c>
    </row>
    <row r="54" spans="2:41" x14ac:dyDescent="0.3">
      <c r="B54" s="256"/>
      <c r="L54" s="50"/>
      <c r="P54" s="25" t="s">
        <v>335</v>
      </c>
      <c r="Q54" s="51">
        <v>3.6990000000000002E-2</v>
      </c>
      <c r="U54" s="25" t="s">
        <v>506</v>
      </c>
      <c r="W54" s="185">
        <f>+W$41</f>
        <v>9331612.2658569813</v>
      </c>
      <c r="X54" s="200">
        <v>0.748</v>
      </c>
      <c r="Y54" s="185">
        <f t="shared" si="16"/>
        <v>6980.0459748610219</v>
      </c>
      <c r="AA54" s="185">
        <f>+AA$41</f>
        <v>9143000</v>
      </c>
      <c r="AB54" s="200">
        <v>0.748</v>
      </c>
      <c r="AC54" s="185">
        <f t="shared" si="18"/>
        <v>6838.9639999999999</v>
      </c>
      <c r="AE54" s="185">
        <f>+AE$41</f>
        <v>8958200</v>
      </c>
      <c r="AF54" s="200">
        <v>0.748</v>
      </c>
      <c r="AG54" s="185">
        <f t="shared" si="20"/>
        <v>6700.7335999999996</v>
      </c>
      <c r="AI54" s="185">
        <f>+AI$41</f>
        <v>9103200</v>
      </c>
      <c r="AJ54" s="200">
        <v>0.748</v>
      </c>
      <c r="AK54" s="185">
        <f t="shared" si="22"/>
        <v>6809.1935999999996</v>
      </c>
      <c r="AM54" s="185">
        <f>+AM$41</f>
        <v>8947800</v>
      </c>
      <c r="AN54" s="200">
        <v>0.748</v>
      </c>
      <c r="AO54" s="185">
        <f t="shared" si="24"/>
        <v>6692.9543999999996</v>
      </c>
    </row>
    <row r="55" spans="2:41" x14ac:dyDescent="0.3">
      <c r="B55" s="256" t="s">
        <v>337</v>
      </c>
      <c r="D55" s="194">
        <f>+D36/(D53*D46)</f>
        <v>1.5146383441877651</v>
      </c>
      <c r="G55" s="194">
        <f>+G36/(G53*G46)</f>
        <v>1.4792661392299506</v>
      </c>
      <c r="J55" s="194">
        <f>+G55-D55</f>
        <v>-3.5372204957814457E-2</v>
      </c>
      <c r="L55" s="50"/>
      <c r="P55" s="25" t="s">
        <v>488</v>
      </c>
      <c r="Q55" s="51">
        <v>3.9039999999999998E-2</v>
      </c>
      <c r="U55" s="25" t="s">
        <v>508</v>
      </c>
      <c r="W55" s="185">
        <f>+W$41</f>
        <v>9331612.2658569813</v>
      </c>
      <c r="X55" s="200">
        <v>1.5</v>
      </c>
      <c r="Y55" s="185">
        <f t="shared" si="16"/>
        <v>13997.418398785472</v>
      </c>
      <c r="AA55" s="185">
        <f>+AA$41</f>
        <v>9143000</v>
      </c>
      <c r="AB55" s="200">
        <v>1.5</v>
      </c>
      <c r="AC55" s="185">
        <f t="shared" si="18"/>
        <v>13714.5</v>
      </c>
      <c r="AE55" s="185">
        <f>+AE$41</f>
        <v>8958200</v>
      </c>
      <c r="AF55" s="200">
        <v>1.5</v>
      </c>
      <c r="AG55" s="185">
        <f t="shared" si="20"/>
        <v>13437.300000000001</v>
      </c>
      <c r="AI55" s="185">
        <f>+AI$41</f>
        <v>9103200</v>
      </c>
      <c r="AJ55" s="200">
        <v>1.5</v>
      </c>
      <c r="AK55" s="185">
        <f t="shared" si="22"/>
        <v>13654.800000000001</v>
      </c>
      <c r="AM55" s="185">
        <f>+AM$41</f>
        <v>8947800</v>
      </c>
      <c r="AN55" s="200">
        <v>1.5</v>
      </c>
      <c r="AO55" s="185">
        <f t="shared" si="24"/>
        <v>13421.7</v>
      </c>
    </row>
    <row r="56" spans="2:41" x14ac:dyDescent="0.3">
      <c r="B56" s="256"/>
      <c r="L56" s="50"/>
      <c r="P56" s="25" t="s">
        <v>489</v>
      </c>
      <c r="Q56" s="51">
        <v>4.1480000000000003E-2</v>
      </c>
      <c r="U56" s="25" t="s">
        <v>507</v>
      </c>
      <c r="W56" s="185">
        <f t="shared" ref="W56:W57" si="25">+W$41</f>
        <v>9331612.2658569813</v>
      </c>
      <c r="X56" s="200">
        <v>3.0950000000000002</v>
      </c>
      <c r="Y56" s="185">
        <f t="shared" si="16"/>
        <v>28881.339962827358</v>
      </c>
      <c r="AA56" s="185">
        <f t="shared" ref="AA56:AA57" si="26">+AA$41</f>
        <v>9143000</v>
      </c>
      <c r="AB56" s="200">
        <v>3.0950000000000002</v>
      </c>
      <c r="AC56" s="185">
        <f t="shared" si="18"/>
        <v>28297.584999999999</v>
      </c>
      <c r="AE56" s="185">
        <f t="shared" ref="AE56:AE57" si="27">+AE$41</f>
        <v>8958200</v>
      </c>
      <c r="AF56" s="200">
        <v>3.0920000000000001</v>
      </c>
      <c r="AG56" s="185">
        <f t="shared" si="20"/>
        <v>27698.754400000002</v>
      </c>
      <c r="AI56" s="185">
        <f t="shared" ref="AI56:AI57" si="28">+AI$41</f>
        <v>9103200</v>
      </c>
      <c r="AJ56" s="200">
        <v>3.1829999999999998</v>
      </c>
      <c r="AK56" s="185">
        <f t="shared" si="22"/>
        <v>28975.485599999996</v>
      </c>
      <c r="AM56" s="185">
        <f t="shared" ref="AM56" si="29">+AM$41</f>
        <v>8947800</v>
      </c>
      <c r="AN56" s="200">
        <v>3.2360000000000002</v>
      </c>
      <c r="AO56" s="185">
        <f t="shared" si="24"/>
        <v>28955.0808</v>
      </c>
    </row>
    <row r="57" spans="2:41" x14ac:dyDescent="0.3">
      <c r="B57" s="256" t="s">
        <v>333</v>
      </c>
      <c r="L57" s="50"/>
      <c r="P57" s="25" t="s">
        <v>490</v>
      </c>
      <c r="Q57" s="183">
        <v>3.7356E-2</v>
      </c>
      <c r="U57" s="25" t="s">
        <v>1012</v>
      </c>
      <c r="W57" s="185">
        <f t="shared" si="25"/>
        <v>9331612.2658569813</v>
      </c>
      <c r="X57" s="200">
        <v>1</v>
      </c>
      <c r="Y57" s="185">
        <f t="shared" si="16"/>
        <v>9331.612265856982</v>
      </c>
      <c r="AA57" s="185">
        <f t="shared" si="26"/>
        <v>9143000</v>
      </c>
      <c r="AB57" s="200">
        <v>1</v>
      </c>
      <c r="AC57" s="185">
        <f t="shared" si="18"/>
        <v>9143</v>
      </c>
      <c r="AE57" s="185">
        <f t="shared" si="27"/>
        <v>8958200</v>
      </c>
      <c r="AF57" s="200">
        <v>1</v>
      </c>
      <c r="AG57" s="185">
        <f t="shared" si="20"/>
        <v>8958.2000000000007</v>
      </c>
      <c r="AI57" s="185">
        <f t="shared" si="28"/>
        <v>9103200</v>
      </c>
      <c r="AJ57" s="200">
        <v>1</v>
      </c>
      <c r="AK57" s="185">
        <f t="shared" si="22"/>
        <v>9103.2000000000007</v>
      </c>
      <c r="AM57" s="185"/>
      <c r="AN57" s="200"/>
      <c r="AO57" s="185"/>
    </row>
    <row r="58" spans="2:41" x14ac:dyDescent="0.3">
      <c r="B58" s="258">
        <v>25</v>
      </c>
      <c r="D58" s="194">
        <f>+D$36/(-PMT(D$53/12,$B58*12,D$46,0,1)*12)</f>
        <v>1.1404737084399097</v>
      </c>
      <c r="G58" s="194">
        <f>+G$36/(-PMT(G$53/12,$B58*12,G$46,0,1)*12)</f>
        <v>1.1131840807658573</v>
      </c>
      <c r="J58" s="194">
        <f t="shared" ref="J58:J59" si="30">+G58-D58</f>
        <v>-2.7289627674052408E-2</v>
      </c>
      <c r="L58" s="50"/>
      <c r="X58" s="200"/>
      <c r="AB58" s="200"/>
      <c r="AF58" s="200"/>
      <c r="AJ58" s="200"/>
      <c r="AN58" s="200"/>
    </row>
    <row r="59" spans="2:41" ht="15.5" x14ac:dyDescent="0.35">
      <c r="B59" s="258">
        <v>30</v>
      </c>
      <c r="D59" s="194">
        <f>+D$36/(-PMT(D$53/12,$B59*12,D$46,0,1)*12)</f>
        <v>1.2326556542464979</v>
      </c>
      <c r="G59" s="194">
        <f>+G$36/(-PMT(G$53/12,$B59*12,G$46,0,1)*12)</f>
        <v>1.2032711715174338</v>
      </c>
      <c r="J59" s="194">
        <f t="shared" si="30"/>
        <v>-2.9384482729064132E-2</v>
      </c>
      <c r="L59" s="50"/>
      <c r="U59" s="198" t="s">
        <v>511</v>
      </c>
      <c r="V59" s="198"/>
      <c r="W59" s="198"/>
      <c r="X59" s="201">
        <f>+SUM(X51:X58)</f>
        <v>17.741199999999999</v>
      </c>
      <c r="Y59" s="199">
        <f>+SUM(Y51:Y58)</f>
        <v>166812.91583909933</v>
      </c>
      <c r="Z59" s="198"/>
      <c r="AA59" s="198"/>
      <c r="AB59" s="201">
        <f>+SUM(AB51:AB58)</f>
        <v>17.741199999999999</v>
      </c>
      <c r="AC59" s="199">
        <f>+SUM(AC51:AC58)</f>
        <v>162207.79160000003</v>
      </c>
      <c r="AD59" s="198"/>
      <c r="AE59" s="198"/>
      <c r="AF59" s="201">
        <f>+SUM(AF51:AF58)</f>
        <v>17.864999999999998</v>
      </c>
      <c r="AG59" s="199">
        <f>+SUM(AG51:AG58)</f>
        <v>160038.24300000002</v>
      </c>
      <c r="AH59" s="198"/>
      <c r="AI59" s="198"/>
      <c r="AJ59" s="201">
        <f>+SUM(AJ51:AJ58)</f>
        <v>17.956</v>
      </c>
      <c r="AK59" s="199">
        <f>+SUM(AK51:AK58)</f>
        <v>157359.96540000002</v>
      </c>
      <c r="AL59" s="198"/>
      <c r="AM59" s="198"/>
      <c r="AN59" s="201">
        <f>+SUM(AN51:AN58)</f>
        <v>17.0303</v>
      </c>
      <c r="AO59" s="199">
        <f>+SUM(AO51:AO58)</f>
        <v>139069.6682637</v>
      </c>
    </row>
    <row r="60" spans="2:41" x14ac:dyDescent="0.3">
      <c r="B60" s="256"/>
      <c r="L60" s="50"/>
    </row>
    <row r="61" spans="2:41" x14ac:dyDescent="0.3">
      <c r="B61" s="256" t="s">
        <v>342</v>
      </c>
      <c r="D61" s="52">
        <f>+D36/D46</f>
        <v>8.4062428102420941E-2</v>
      </c>
      <c r="G61" s="52">
        <f>+G36/G46</f>
        <v>8.1995722097516183E-2</v>
      </c>
      <c r="J61" s="52">
        <f>+G61-D61</f>
        <v>-2.0667060049047586E-3</v>
      </c>
      <c r="L61" s="50"/>
      <c r="U61" s="25" t="s">
        <v>1009</v>
      </c>
      <c r="Y61" s="185">
        <v>0</v>
      </c>
      <c r="AC61" s="185">
        <v>0</v>
      </c>
      <c r="AG61" s="185">
        <v>0</v>
      </c>
      <c r="AK61" s="185">
        <v>0</v>
      </c>
      <c r="AO61" s="185">
        <v>0</v>
      </c>
    </row>
    <row r="62" spans="2:41" x14ac:dyDescent="0.3">
      <c r="B62" s="257"/>
      <c r="C62" s="54"/>
      <c r="D62" s="54"/>
      <c r="E62" s="54"/>
      <c r="F62" s="54"/>
      <c r="G62" s="54"/>
      <c r="H62" s="54"/>
      <c r="I62" s="54"/>
      <c r="J62" s="54"/>
      <c r="K62" s="54"/>
      <c r="L62" s="55"/>
      <c r="U62" s="25" t="s">
        <v>1010</v>
      </c>
      <c r="Y62" s="185">
        <v>3379.2</v>
      </c>
      <c r="AC62" s="185">
        <v>3379.2</v>
      </c>
      <c r="AG62" s="185">
        <v>3379.2</v>
      </c>
      <c r="AK62" s="185">
        <v>3379.2</v>
      </c>
      <c r="AO62" s="185">
        <v>3379.2</v>
      </c>
    </row>
    <row r="64" spans="2:41" ht="15.5" x14ac:dyDescent="0.35">
      <c r="U64" s="198" t="s">
        <v>513</v>
      </c>
      <c r="V64" s="198"/>
      <c r="W64" s="198"/>
      <c r="X64" s="201"/>
      <c r="Y64" s="199">
        <f>+SUM(Y61:Y63)</f>
        <v>3379.2</v>
      </c>
      <c r="Z64" s="198"/>
      <c r="AA64" s="198"/>
      <c r="AB64" s="201"/>
      <c r="AC64" s="199">
        <f>+SUM(AC61:AC63)</f>
        <v>3379.2</v>
      </c>
      <c r="AD64" s="198"/>
      <c r="AE64" s="198"/>
      <c r="AF64" s="201"/>
      <c r="AG64" s="199">
        <f>+SUM(AG61:AG63)</f>
        <v>3379.2</v>
      </c>
      <c r="AH64" s="198"/>
      <c r="AI64" s="198"/>
      <c r="AJ64" s="201"/>
      <c r="AK64" s="199">
        <f>+SUM(AK61:AK63)</f>
        <v>3379.2</v>
      </c>
      <c r="AL64" s="198"/>
      <c r="AM64" s="198"/>
      <c r="AN64" s="201"/>
      <c r="AO64" s="199">
        <f>+SUM(AO61:AO63)</f>
        <v>3379.2</v>
      </c>
    </row>
    <row r="67" spans="4:41" ht="15.5" x14ac:dyDescent="0.35">
      <c r="U67" s="198" t="s">
        <v>514</v>
      </c>
      <c r="V67" s="198"/>
      <c r="W67" s="198"/>
      <c r="X67" s="201"/>
      <c r="Y67" s="199">
        <f>+Y59+Y64</f>
        <v>170192.11583909934</v>
      </c>
      <c r="Z67" s="198"/>
      <c r="AA67" s="198"/>
      <c r="AB67" s="201"/>
      <c r="AC67" s="199">
        <f>+AC59+AC64</f>
        <v>165586.99160000004</v>
      </c>
      <c r="AD67" s="198"/>
      <c r="AE67" s="198"/>
      <c r="AF67" s="201"/>
      <c r="AG67" s="199">
        <f>+AG59+AG64</f>
        <v>163417.44300000003</v>
      </c>
      <c r="AH67" s="198"/>
      <c r="AI67" s="198"/>
      <c r="AJ67" s="201"/>
      <c r="AK67" s="199">
        <f>+AK59+AK64</f>
        <v>160739.16540000003</v>
      </c>
      <c r="AL67" s="198"/>
      <c r="AM67" s="198"/>
      <c r="AN67" s="201"/>
      <c r="AO67" s="199">
        <f>+AO59+AO64</f>
        <v>142448.86826370002</v>
      </c>
    </row>
    <row r="69" spans="4:41" x14ac:dyDescent="0.3">
      <c r="U69" s="25" t="s">
        <v>515</v>
      </c>
      <c r="Y69" s="185">
        <f>+-4%*Y67</f>
        <v>-6807.6846335639739</v>
      </c>
      <c r="AC69" s="185">
        <f>+-4%*AC67</f>
        <v>-6623.4796640000013</v>
      </c>
      <c r="AG69" s="185">
        <f>+-4%*AG67</f>
        <v>-6536.697720000001</v>
      </c>
      <c r="AK69" s="185">
        <f>+-4%*AK67</f>
        <v>-6429.566616000001</v>
      </c>
      <c r="AO69" s="185">
        <f>+-4%*AO67</f>
        <v>-5697.954730548001</v>
      </c>
    </row>
    <row r="71" spans="4:41" ht="15.5" x14ac:dyDescent="0.35">
      <c r="D71" s="188" t="s">
        <v>499</v>
      </c>
      <c r="G71" s="188" t="s">
        <v>499</v>
      </c>
      <c r="J71" s="188" t="s">
        <v>499</v>
      </c>
      <c r="U71" s="198" t="s">
        <v>516</v>
      </c>
      <c r="V71" s="198"/>
      <c r="W71" s="198"/>
      <c r="X71" s="201"/>
      <c r="Y71" s="199">
        <f>+SUM(Y67:Y70)</f>
        <v>163384.43120553537</v>
      </c>
      <c r="Z71" s="198"/>
      <c r="AA71" s="198"/>
      <c r="AB71" s="201"/>
      <c r="AC71" s="199">
        <f>+SUM(AC67:AC70)</f>
        <v>158963.51193600002</v>
      </c>
      <c r="AD71" s="198"/>
      <c r="AE71" s="198"/>
      <c r="AF71" s="201"/>
      <c r="AG71" s="199">
        <f>+SUM(AG67:AG70)</f>
        <v>156880.74528000003</v>
      </c>
      <c r="AH71" s="198"/>
      <c r="AI71" s="198"/>
      <c r="AJ71" s="201"/>
      <c r="AK71" s="199">
        <f>+SUM(AK67:AK70)</f>
        <v>154309.59878400003</v>
      </c>
      <c r="AL71" s="198"/>
      <c r="AM71" s="198"/>
      <c r="AN71" s="201"/>
      <c r="AO71" s="199">
        <f>+SUM(AO67:AO70)</f>
        <v>136750.91353315202</v>
      </c>
    </row>
    <row r="73" spans="4:41" ht="15.5" x14ac:dyDescent="0.35">
      <c r="D73" s="184" t="s">
        <v>1008</v>
      </c>
      <c r="G73" s="184" t="s">
        <v>1008</v>
      </c>
      <c r="J73" s="184" t="s">
        <v>1008</v>
      </c>
      <c r="U73" s="187" t="s">
        <v>517</v>
      </c>
      <c r="V73" s="187"/>
      <c r="W73" s="187"/>
      <c r="X73" s="187"/>
      <c r="Y73" s="205">
        <f>+Y71/AC71-1</f>
        <v>2.7810905884585901E-2</v>
      </c>
      <c r="Z73" s="187"/>
      <c r="AA73" s="187"/>
      <c r="AB73" s="187"/>
      <c r="AC73" s="205">
        <f>+AC71/AG71-1</f>
        <v>1.3276113982520155E-2</v>
      </c>
      <c r="AD73" s="187"/>
      <c r="AE73" s="187"/>
      <c r="AF73" s="187"/>
      <c r="AG73" s="205">
        <f>+AG71/AK71-1</f>
        <v>1.6662258966786858E-2</v>
      </c>
      <c r="AH73" s="187"/>
      <c r="AI73" s="187"/>
      <c r="AJ73" s="187"/>
      <c r="AK73" s="205">
        <f>+AK71/AO71-1</f>
        <v>0.12839903439907419</v>
      </c>
      <c r="AL73" s="187"/>
      <c r="AM73" s="187"/>
      <c r="AN73" s="187"/>
      <c r="AO73" s="187"/>
    </row>
    <row r="75" spans="4:41" x14ac:dyDescent="0.3">
      <c r="D75" s="25">
        <v>8.32</v>
      </c>
      <c r="E75" s="25" t="s">
        <v>495</v>
      </c>
      <c r="G75" s="25">
        <v>8.32</v>
      </c>
      <c r="H75" s="25" t="s">
        <v>495</v>
      </c>
      <c r="J75" s="25">
        <v>8.32</v>
      </c>
      <c r="K75" s="25" t="s">
        <v>495</v>
      </c>
    </row>
    <row r="76" spans="4:41" x14ac:dyDescent="0.3">
      <c r="D76" s="30">
        <v>1963</v>
      </c>
      <c r="E76" s="25" t="s">
        <v>501</v>
      </c>
      <c r="G76" s="30">
        <v>1963</v>
      </c>
      <c r="H76" s="25" t="s">
        <v>501</v>
      </c>
      <c r="J76" s="30">
        <v>1963</v>
      </c>
      <c r="K76" s="25" t="s">
        <v>501</v>
      </c>
    </row>
    <row r="77" spans="4:41" x14ac:dyDescent="0.3">
      <c r="D77" s="30">
        <f>+'RR 11-4-25'!$G$152</f>
        <v>127</v>
      </c>
      <c r="E77" s="25" t="s">
        <v>300</v>
      </c>
      <c r="G77" s="30">
        <f>+'RR 11-4-25'!$G$152</f>
        <v>127</v>
      </c>
      <c r="H77" s="25" t="s">
        <v>300</v>
      </c>
      <c r="J77" s="30">
        <f>+'RR 11-4-25'!$G$152</f>
        <v>127</v>
      </c>
      <c r="K77" s="25" t="s">
        <v>300</v>
      </c>
    </row>
    <row r="78" spans="4:41" x14ac:dyDescent="0.3">
      <c r="D78" s="30" t="s">
        <v>1006</v>
      </c>
      <c r="E78" s="25" t="s">
        <v>496</v>
      </c>
      <c r="G78" s="30" t="s">
        <v>1006</v>
      </c>
      <c r="H78" s="25" t="s">
        <v>496</v>
      </c>
      <c r="J78" s="30" t="s">
        <v>1006</v>
      </c>
      <c r="K78" s="25" t="s">
        <v>496</v>
      </c>
    </row>
    <row r="79" spans="4:41" x14ac:dyDescent="0.3">
      <c r="D79" s="185">
        <v>11370000</v>
      </c>
      <c r="E79" s="25" t="s">
        <v>497</v>
      </c>
      <c r="G79" s="185">
        <v>11370000</v>
      </c>
      <c r="H79" s="25" t="s">
        <v>497</v>
      </c>
      <c r="J79" s="185">
        <v>11370000</v>
      </c>
      <c r="K79" s="25" t="s">
        <v>497</v>
      </c>
    </row>
    <row r="80" spans="4:41" x14ac:dyDescent="0.3">
      <c r="D80" s="186">
        <v>45313</v>
      </c>
      <c r="E80" s="25" t="s">
        <v>498</v>
      </c>
      <c r="G80" s="186">
        <v>45313</v>
      </c>
      <c r="H80" s="25" t="s">
        <v>498</v>
      </c>
      <c r="J80" s="186">
        <v>45313</v>
      </c>
      <c r="K80" s="25" t="s">
        <v>498</v>
      </c>
    </row>
    <row r="81" spans="4:11" x14ac:dyDescent="0.3">
      <c r="D81" s="30" t="s">
        <v>1007</v>
      </c>
      <c r="E81" s="25" t="s">
        <v>416</v>
      </c>
      <c r="G81" s="30" t="s">
        <v>1007</v>
      </c>
      <c r="H81" s="25" t="s">
        <v>416</v>
      </c>
      <c r="J81" s="30" t="s">
        <v>1007</v>
      </c>
      <c r="K81" s="25" t="s">
        <v>416</v>
      </c>
    </row>
  </sheetData>
  <mergeCells count="1">
    <mergeCell ref="M8:M10"/>
  </mergeCells>
  <dataValidations disablePrompts="1" count="3">
    <dataValidation type="list" allowBlank="1" showInputMessage="1" showErrorMessage="1" sqref="J49 G49 D49" xr:uid="{254797F1-BFAE-455E-8630-59253B273EF6}">
      <formula1>$P$53:$P$57</formula1>
    </dataValidation>
    <dataValidation type="list" allowBlank="1" showInputMessage="1" showErrorMessage="1" sqref="N29" xr:uid="{7029804C-181F-4B3E-99E2-90A223CF0D08}">
      <formula1>$R$39:$S$39</formula1>
    </dataValidation>
    <dataValidation type="list" allowBlank="1" showInputMessage="1" showErrorMessage="1" sqref="N17:N18 N15 N22:N28" xr:uid="{727BA3CC-FBC3-4BCD-8663-E37FB372FA8E}">
      <formula1>$C$5:$C$5</formula1>
    </dataValidation>
  </dataValidations>
  <hyperlinks>
    <hyperlink ref="D73" r:id="rId1" xr:uid="{332F2CF9-9441-4E0F-88C2-C61828627116}"/>
    <hyperlink ref="G73" r:id="rId2" xr:uid="{76A76C53-E3DB-4D7F-9945-94DFDEBDF3B1}"/>
    <hyperlink ref="J73" r:id="rId3" xr:uid="{D14F8F0B-CD71-454D-ADDC-093F20D68E26}"/>
  </hyperlinks>
  <pageMargins left="0.7" right="0.7" top="0.75" bottom="0.75" header="0.3" footer="0.3"/>
  <pageSetup scale="55" orientation="landscape" r:id="rId4"/>
  <ignoredErrors>
    <ignoredError sqref="D5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D625B-897C-4008-B90C-FCD6BA9380E8}">
  <sheetPr>
    <pageSetUpPr fitToPage="1"/>
  </sheetPr>
  <dimension ref="A2:AX79"/>
  <sheetViews>
    <sheetView showGridLines="0" topLeftCell="A4" zoomScale="115" zoomScaleNormal="115" workbookViewId="0">
      <pane ySplit="3" topLeftCell="A23" activePane="bottomLeft" state="frozen"/>
      <selection activeCell="A4" sqref="A4"/>
      <selection pane="bottomLeft" activeCell="A13" sqref="A13"/>
    </sheetView>
  </sheetViews>
  <sheetFormatPr defaultColWidth="8.7265625" defaultRowHeight="15" outlineLevelCol="1" x14ac:dyDescent="0.3"/>
  <cols>
    <col min="1" max="1" width="3.54296875" style="25" customWidth="1"/>
    <col min="2" max="2" width="35.54296875" style="25" customWidth="1"/>
    <col min="3" max="3" width="6.453125" style="25" bestFit="1" customWidth="1"/>
    <col min="4" max="4" width="12.54296875" style="25" hidden="1" customWidth="1" outlineLevel="1"/>
    <col min="5" max="5" width="10.54296875" style="25" hidden="1" customWidth="1" outlineLevel="1"/>
    <col min="6" max="6" width="5.54296875" style="25" hidden="1" customWidth="1" outlineLevel="1"/>
    <col min="7" max="7" width="12.54296875" style="25" hidden="1" customWidth="1" outlineLevel="1"/>
    <col min="8" max="8" width="10.54296875" style="25" hidden="1" customWidth="1" outlineLevel="1"/>
    <col min="9" max="9" width="5.54296875" style="25" hidden="1" customWidth="1" outlineLevel="1"/>
    <col min="10" max="10" width="12.54296875" style="25" hidden="1" customWidth="1" outlineLevel="1"/>
    <col min="11" max="11" width="10.54296875" style="25" hidden="1" customWidth="1" outlineLevel="1"/>
    <col min="12" max="12" width="3.54296875" style="25" hidden="1" customWidth="1" outlineLevel="1"/>
    <col min="13" max="13" width="12.54296875" style="25" customWidth="1" collapsed="1"/>
    <col min="14" max="17" width="12.54296875" style="25" customWidth="1"/>
    <col min="18" max="18" width="5.54296875" style="25" customWidth="1"/>
    <col min="19" max="19" width="12.54296875" style="25" customWidth="1"/>
    <col min="20" max="20" width="10.54296875" style="25" customWidth="1"/>
    <col min="21" max="21" width="5.54296875" style="25" customWidth="1"/>
    <col min="22" max="22" width="8.7265625" style="25"/>
    <col min="23" max="23" width="52.1796875" style="25" bestFit="1" customWidth="1"/>
    <col min="24" max="24" width="8.7265625" style="25"/>
    <col min="25" max="25" width="18.1796875" style="25" bestFit="1" customWidth="1"/>
    <col min="26" max="26" width="8.7265625" style="25"/>
    <col min="27" max="28" width="12.54296875" style="25" customWidth="1"/>
    <col min="29" max="29" width="8.7265625" style="25"/>
    <col min="30" max="30" width="27.7265625" style="25" bestFit="1" customWidth="1"/>
    <col min="31" max="31" width="3.54296875" style="25" customWidth="1"/>
    <col min="32" max="32" width="13.81640625" style="25" bestFit="1" customWidth="1"/>
    <col min="33" max="34" width="12.54296875" style="25" customWidth="1"/>
    <col min="35" max="35" width="3.54296875" style="25" customWidth="1"/>
    <col min="36" max="36" width="13.81640625" style="25" bestFit="1" customWidth="1"/>
    <col min="37" max="38" width="12.54296875" style="25" customWidth="1"/>
    <col min="39" max="39" width="3.54296875" style="25" customWidth="1"/>
    <col min="40" max="42" width="12.54296875" style="25" customWidth="1"/>
    <col min="43" max="43" width="3.54296875" style="25" customWidth="1"/>
    <col min="44" max="46" width="12.54296875" style="25" customWidth="1"/>
    <col min="47" max="47" width="3.54296875" style="25" customWidth="1"/>
    <col min="48" max="50" width="12.54296875" style="25" customWidth="1"/>
    <col min="51" max="16384" width="8.7265625" style="25"/>
  </cols>
  <sheetData>
    <row r="2" spans="1:25" ht="22" x14ac:dyDescent="0.4">
      <c r="B2" s="44" t="s">
        <v>1004</v>
      </c>
    </row>
    <row r="3" spans="1:25" ht="17.5" x14ac:dyDescent="0.35">
      <c r="B3" s="43" t="s">
        <v>341</v>
      </c>
    </row>
    <row r="5" spans="1:25" x14ac:dyDescent="0.3">
      <c r="B5" s="39"/>
      <c r="C5" s="39"/>
      <c r="D5" s="45">
        <v>2022</v>
      </c>
      <c r="E5" s="45"/>
      <c r="F5" s="39"/>
      <c r="G5" s="45">
        <v>2023</v>
      </c>
      <c r="H5" s="45"/>
      <c r="I5" s="39"/>
      <c r="J5" s="45">
        <v>2024</v>
      </c>
      <c r="K5" s="45"/>
      <c r="L5" s="40"/>
      <c r="M5" s="196" t="s">
        <v>307</v>
      </c>
      <c r="N5" s="196" t="s">
        <v>482</v>
      </c>
      <c r="O5" s="196" t="s">
        <v>306</v>
      </c>
      <c r="P5" s="196" t="s">
        <v>481</v>
      </c>
      <c r="Q5" s="196" t="s">
        <v>305</v>
      </c>
      <c r="R5" s="40"/>
      <c r="S5" s="45" t="s">
        <v>324</v>
      </c>
      <c r="T5" s="45"/>
      <c r="U5" s="39"/>
      <c r="V5" s="39"/>
      <c r="W5" s="39"/>
    </row>
    <row r="6" spans="1:25" ht="15.5" thickBot="1" x14ac:dyDescent="0.35">
      <c r="B6" s="41"/>
      <c r="C6" s="41"/>
      <c r="D6" s="42" t="s">
        <v>304</v>
      </c>
      <c r="E6" s="42" t="s">
        <v>323</v>
      </c>
      <c r="F6" s="41"/>
      <c r="G6" s="42" t="s">
        <v>304</v>
      </c>
      <c r="H6" s="42" t="s">
        <v>323</v>
      </c>
      <c r="I6" s="41"/>
      <c r="J6" s="42" t="s">
        <v>304</v>
      </c>
      <c r="K6" s="42" t="s">
        <v>323</v>
      </c>
      <c r="L6" s="42"/>
      <c r="M6" s="42"/>
      <c r="N6" s="42"/>
      <c r="O6" s="42"/>
      <c r="P6" s="42"/>
      <c r="Q6" s="42"/>
      <c r="R6" s="42"/>
      <c r="S6" s="42" t="s">
        <v>304</v>
      </c>
      <c r="T6" s="42" t="s">
        <v>323</v>
      </c>
      <c r="U6" s="41"/>
      <c r="V6" s="41"/>
      <c r="W6" s="41" t="s">
        <v>340</v>
      </c>
    </row>
    <row r="7" spans="1:25" x14ac:dyDescent="0.3">
      <c r="B7" s="25" t="s">
        <v>500</v>
      </c>
      <c r="D7" s="173" t="str">
        <f>IFERROR(1-(-D12/D11),"NA")</f>
        <v>NA</v>
      </c>
      <c r="G7" s="173" t="str">
        <f>IFERROR(1-(-G12/G11),"NA")</f>
        <v>NA</v>
      </c>
      <c r="J7" s="173" t="str">
        <f>IFERROR(1-(-J12/J11),"NA")</f>
        <v>NA</v>
      </c>
      <c r="M7" s="173">
        <f t="shared" ref="M7:Q7" si="0">IFERROR(1-(-M12/M11),"NA")</f>
        <v>0.82460882706225236</v>
      </c>
      <c r="N7" s="173">
        <f t="shared" si="0"/>
        <v>0.83204828408949516</v>
      </c>
      <c r="O7" s="173">
        <f t="shared" si="0"/>
        <v>0.9150854197109346</v>
      </c>
      <c r="P7" s="173">
        <f t="shared" si="0"/>
        <v>0.94388776210959913</v>
      </c>
      <c r="Q7" s="173">
        <f t="shared" si="0"/>
        <v>0.93297484362652239</v>
      </c>
      <c r="S7" s="173">
        <f>IFERROR(1-(-S12/S11),"NA")</f>
        <v>0.95</v>
      </c>
    </row>
    <row r="8" spans="1:25" x14ac:dyDescent="0.3">
      <c r="B8" s="25" t="s">
        <v>344</v>
      </c>
      <c r="D8" s="56"/>
      <c r="G8" s="56"/>
      <c r="J8" s="56"/>
      <c r="S8" s="56">
        <f>+'RR 12-16-25'!$H$150</f>
        <v>0.96062992125984248</v>
      </c>
      <c r="V8" s="261" t="s">
        <v>412</v>
      </c>
    </row>
    <row r="9" spans="1:25" ht="5.15" customHeight="1" x14ac:dyDescent="0.3">
      <c r="V9" s="261"/>
    </row>
    <row r="10" spans="1:25" x14ac:dyDescent="0.3">
      <c r="B10" s="25" t="s">
        <v>322</v>
      </c>
      <c r="V10" s="261"/>
    </row>
    <row r="11" spans="1:25" x14ac:dyDescent="0.3">
      <c r="A11" s="22">
        <v>1</v>
      </c>
      <c r="B11" s="27" t="s">
        <v>345</v>
      </c>
      <c r="C11" s="23"/>
      <c r="D11" s="28">
        <f>+SUMIFS('IS 2022'!$V:$V,'IS 2022'!$A:$A,$A11)</f>
        <v>0</v>
      </c>
      <c r="E11" s="28">
        <f>+D11/'RR 11-4-25'!$G$152</f>
        <v>0</v>
      </c>
      <c r="F11" s="23"/>
      <c r="G11" s="28">
        <f>+SUMIFS('IS 2023'!$V:$V,'IS 2023'!$A:$A,$A11)</f>
        <v>0</v>
      </c>
      <c r="H11" s="28">
        <f>+G11/'RR 11-4-25'!$G$152</f>
        <v>0</v>
      </c>
      <c r="I11" s="23"/>
      <c r="J11" s="28">
        <f>+SUMIFS('IS 2024'!$V:$V,'IS 2024'!$A:$A,$A11)</f>
        <v>0</v>
      </c>
      <c r="K11" s="28">
        <f>+J11/'RR 11-4-25'!$G$152</f>
        <v>0</v>
      </c>
      <c r="L11" s="28"/>
      <c r="M11" s="28">
        <f>+SUMIFS('TTM Nov-25'!U:U,'TTM Nov-25'!$A:$A,$A11)</f>
        <v>1617029.04</v>
      </c>
      <c r="N11" s="28">
        <f>+SUMIFS('TTM Nov-25'!T:T,'TTM Nov-25'!$A:$A,$A11)</f>
        <v>1584657.82</v>
      </c>
      <c r="O11" s="28">
        <f>+SUMIFS('TTM Nov-25'!S:S,'TTM Nov-25'!$A:$A,$A11)</f>
        <v>1481992.8399999999</v>
      </c>
      <c r="P11" s="28">
        <f>+SUMIFS('TTM Nov-25'!R:R,'TTM Nov-25'!$A:$A,$A11)</f>
        <v>1502837.9400000002</v>
      </c>
      <c r="Q11" s="28">
        <f>+SUMIFS('TTM Nov-25'!Q:Q,'TTM Nov-25'!$A:$A,$A11)</f>
        <v>1560859.3199999998</v>
      </c>
      <c r="R11" s="28"/>
      <c r="S11" s="28">
        <f>+'RR 12-16-25'!$K$152*12</f>
        <v>1655436</v>
      </c>
      <c r="T11" s="28">
        <f>+S11/'RR 11-4-25'!$G$152</f>
        <v>13034.929133858268</v>
      </c>
      <c r="V11" s="178"/>
      <c r="W11" s="25" t="s">
        <v>1003</v>
      </c>
      <c r="X11" s="209"/>
      <c r="Y11" s="56"/>
    </row>
    <row r="12" spans="1:25" x14ac:dyDescent="0.3">
      <c r="A12" s="22">
        <v>2</v>
      </c>
      <c r="B12" s="27" t="s">
        <v>308</v>
      </c>
      <c r="C12" s="23"/>
      <c r="D12" s="28">
        <f>+SUMIFS('IS 2022'!$V:$V,'IS 2022'!$A:$A,$A12)</f>
        <v>0</v>
      </c>
      <c r="E12" s="28">
        <f>+D12/'RR 11-4-25'!$G$152</f>
        <v>0</v>
      </c>
      <c r="F12" s="23"/>
      <c r="G12" s="28">
        <f>+SUMIFS('IS 2023'!$V:$V,'IS 2023'!$A:$A,$A12)</f>
        <v>0</v>
      </c>
      <c r="H12" s="28">
        <f>+G12/'RR 11-4-25'!$G$152</f>
        <v>0</v>
      </c>
      <c r="I12" s="23"/>
      <c r="J12" s="28">
        <f>+SUMIFS('IS 2024'!$V:$V,'IS 2024'!$A:$A,$A12)</f>
        <v>0</v>
      </c>
      <c r="K12" s="28">
        <f>+J12/'RR 11-4-25'!$G$152</f>
        <v>0</v>
      </c>
      <c r="L12" s="28"/>
      <c r="M12" s="38">
        <f>+SUMIFS('TTM Nov-25'!U:U,'TTM Nov-25'!$A:$A,$A12)</f>
        <v>-283612.62000000005</v>
      </c>
      <c r="N12" s="38">
        <f>+SUMIFS('TTM Nov-25'!T:T,'TTM Nov-25'!$A:$A,$A12)</f>
        <v>-266146</v>
      </c>
      <c r="O12" s="38">
        <f>+SUMIFS('TTM Nov-25'!S:S,'TTM Nov-25'!$A:$A,$A12)</f>
        <v>-125842.79999999999</v>
      </c>
      <c r="P12" s="38">
        <f>+SUMIFS('TTM Nov-25'!R:R,'TTM Nov-25'!$A:$A,$A12)</f>
        <v>-84327.599999999991</v>
      </c>
      <c r="Q12" s="38">
        <f>+SUMIFS('TTM Nov-25'!Q:Q,'TTM Nov-25'!$A:$A,$A12)</f>
        <v>-104616.84</v>
      </c>
      <c r="R12" s="38"/>
      <c r="S12" s="38">
        <f>+-W12*S11</f>
        <v>-82771.8</v>
      </c>
      <c r="T12" s="28">
        <f>+S12/'RR 11-4-25'!$G$152</f>
        <v>-651.7464566929134</v>
      </c>
      <c r="V12" s="178"/>
      <c r="W12" s="177">
        <v>0.05</v>
      </c>
      <c r="X12" s="57"/>
    </row>
    <row r="13" spans="1:25" x14ac:dyDescent="0.3">
      <c r="A13" s="22">
        <v>3</v>
      </c>
      <c r="B13" s="27" t="s">
        <v>309</v>
      </c>
      <c r="C13" s="23"/>
      <c r="D13" s="28">
        <f>+SUMIFS('IS 2022'!$V:$V,'IS 2022'!$A:$A,$A13)</f>
        <v>0</v>
      </c>
      <c r="E13" s="28">
        <f>+D13/'RR 11-4-25'!$G$152</f>
        <v>0</v>
      </c>
      <c r="F13" s="23"/>
      <c r="G13" s="28">
        <f>+SUMIFS('IS 2023'!$V:$V,'IS 2023'!$A:$A,$A13)</f>
        <v>0</v>
      </c>
      <c r="H13" s="28">
        <f>+G13/'RR 11-4-25'!$G$152</f>
        <v>0</v>
      </c>
      <c r="I13" s="23"/>
      <c r="J13" s="28">
        <f>+SUMIFS('IS 2024'!$V:$V,'IS 2024'!$A:$A,$A13)</f>
        <v>0</v>
      </c>
      <c r="K13" s="28">
        <f>+J13/'RR 11-4-25'!$G$152</f>
        <v>0</v>
      </c>
      <c r="L13" s="28"/>
      <c r="M13" s="38">
        <f>+SUMIFS('TTM Nov-25'!U:U,'TTM Nov-25'!$A:$A,$A13)</f>
        <v>-1730</v>
      </c>
      <c r="N13" s="38">
        <f>+SUMIFS('TTM Nov-25'!T:T,'TTM Nov-25'!$A:$A,$A13)</f>
        <v>-3460</v>
      </c>
      <c r="O13" s="38">
        <f>+SUMIFS('TTM Nov-25'!S:S,'TTM Nov-25'!$A:$A,$A13)</f>
        <v>-4520</v>
      </c>
      <c r="P13" s="38">
        <f>+SUMIFS('TTM Nov-25'!R:R,'TTM Nov-25'!$A:$A,$A13)</f>
        <v>-4320</v>
      </c>
      <c r="Q13" s="38">
        <f>+SUMIFS('TTM Nov-25'!Q:Q,'TTM Nov-25'!$A:$A,$A13)</f>
        <v>-3720</v>
      </c>
      <c r="R13" s="38"/>
      <c r="S13" s="38">
        <f>+-W13*S10</f>
        <v>0</v>
      </c>
      <c r="T13" s="28">
        <f>+S13/'RR 11-4-25'!$G$152</f>
        <v>0</v>
      </c>
      <c r="V13" s="178"/>
      <c r="W13" s="177">
        <v>0</v>
      </c>
      <c r="X13" s="57"/>
    </row>
    <row r="14" spans="1:25" x14ac:dyDescent="0.3">
      <c r="A14" s="22">
        <v>4</v>
      </c>
      <c r="B14" s="27" t="s">
        <v>310</v>
      </c>
      <c r="C14" s="23"/>
      <c r="D14" s="28">
        <f>+SUMIFS('IS 2022'!$V:$V,'IS 2022'!$A:$A,$A14)</f>
        <v>0</v>
      </c>
      <c r="E14" s="28">
        <f>+D14/'RR 11-4-25'!$G$152</f>
        <v>0</v>
      </c>
      <c r="F14" s="23"/>
      <c r="G14" s="28">
        <f>+SUMIFS('IS 2023'!$V:$V,'IS 2023'!$A:$A,$A14)</f>
        <v>0</v>
      </c>
      <c r="H14" s="28">
        <f>+G14/'RR 11-4-25'!$G$152</f>
        <v>0</v>
      </c>
      <c r="I14" s="23"/>
      <c r="J14" s="28">
        <f>+SUMIFS('IS 2024'!$V:$V,'IS 2024'!$A:$A,$A14)</f>
        <v>0</v>
      </c>
      <c r="K14" s="28">
        <f>+J14/'RR 11-4-25'!$G$152</f>
        <v>0</v>
      </c>
      <c r="L14" s="28"/>
      <c r="M14" s="38">
        <f>+SUMIFS('TTM Nov-25'!U:U,'TTM Nov-25'!$A:$A,$A14)</f>
        <v>-103089.13</v>
      </c>
      <c r="N14" s="38">
        <f>+SUMIFS('TTM Nov-25'!T:T,'TTM Nov-25'!$A:$A,$A14)</f>
        <v>-64606.52</v>
      </c>
      <c r="O14" s="38">
        <f>+SUMIFS('TTM Nov-25'!S:S,'TTM Nov-25'!$A:$A,$A14)</f>
        <v>-113341.04</v>
      </c>
      <c r="P14" s="38">
        <f>+SUMIFS('TTM Nov-25'!R:R,'TTM Nov-25'!$A:$A,$A14)</f>
        <v>-70044.42</v>
      </c>
      <c r="Q14" s="38">
        <f>+SUMIFS('TTM Nov-25'!Q:Q,'TTM Nov-25'!$A:$A,$A14)</f>
        <v>0</v>
      </c>
      <c r="R14" s="38"/>
      <c r="S14" s="38">
        <f>+-W14*S11</f>
        <v>-49663.08</v>
      </c>
      <c r="T14" s="28">
        <f>+S14/'RR 11-4-25'!$G$152</f>
        <v>-391.04787401574805</v>
      </c>
      <c r="V14" s="178"/>
      <c r="W14" s="177">
        <v>0.03</v>
      </c>
      <c r="X14" s="57"/>
    </row>
    <row r="15" spans="1:25" x14ac:dyDescent="0.3">
      <c r="A15" s="22">
        <v>5</v>
      </c>
      <c r="B15" s="27" t="s">
        <v>318</v>
      </c>
      <c r="C15" s="23"/>
      <c r="D15" s="28">
        <f>+SUMIFS('IS 2022'!$V:$V,'IS 2022'!$A:$A,$A15)</f>
        <v>0</v>
      </c>
      <c r="E15" s="28">
        <f>+D15/'RR 11-4-25'!$G$152</f>
        <v>0</v>
      </c>
      <c r="F15" s="23"/>
      <c r="G15" s="28">
        <f>+SUMIFS('IS 2023'!$V:$V,'IS 2023'!$A:$A,$A15)</f>
        <v>0</v>
      </c>
      <c r="H15" s="28">
        <f>+G15/'RR 11-4-25'!$G$152</f>
        <v>0</v>
      </c>
      <c r="I15" s="23"/>
      <c r="J15" s="28">
        <f>+SUMIFS('IS 2024'!$V:$V,'IS 2024'!$A:$A,$A15)</f>
        <v>0</v>
      </c>
      <c r="K15" s="28">
        <f>+J15/'RR 11-4-25'!$G$152</f>
        <v>0</v>
      </c>
      <c r="L15" s="28"/>
      <c r="M15" s="38">
        <f>+SUMIFS('TTM Nov-25'!U:U,'TTM Nov-25'!$A:$A,$A15)</f>
        <v>0</v>
      </c>
      <c r="N15" s="38">
        <f>+SUMIFS('TTM Nov-25'!T:T,'TTM Nov-25'!$A:$A,$A15)</f>
        <v>0</v>
      </c>
      <c r="O15" s="38">
        <f>+SUMIFS('TTM Nov-25'!S:S,'TTM Nov-25'!$A:$A,$A15)</f>
        <v>0</v>
      </c>
      <c r="P15" s="38">
        <f>+SUMIFS('TTM Nov-25'!R:R,'TTM Nov-25'!$A:$A,$A15)</f>
        <v>0</v>
      </c>
      <c r="Q15" s="38">
        <f>+SUMIFS('TTM Nov-25'!Q:Q,'TTM Nov-25'!$A:$A,$A15)</f>
        <v>0</v>
      </c>
      <c r="R15" s="38"/>
      <c r="S15" s="38">
        <f>+SUMIFS($M15:$Q15,$M$5:$Q$5,$W15)*(1+$V15)</f>
        <v>0</v>
      </c>
      <c r="T15" s="28">
        <f>+S15/'RR 11-4-25'!$G$152</f>
        <v>0</v>
      </c>
      <c r="V15" s="180"/>
      <c r="W15" s="178" t="s">
        <v>307</v>
      </c>
      <c r="X15" s="57"/>
    </row>
    <row r="16" spans="1:25" x14ac:dyDescent="0.3">
      <c r="A16" s="22"/>
      <c r="B16" s="26" t="s">
        <v>27</v>
      </c>
      <c r="C16" s="24"/>
      <c r="D16" s="29">
        <f>+SUM(D11:D15)</f>
        <v>0</v>
      </c>
      <c r="E16" s="29">
        <f>+D16/'RR 11-4-25'!$G$152</f>
        <v>0</v>
      </c>
      <c r="F16" s="24"/>
      <c r="G16" s="29">
        <f>+SUM(G11:G15)</f>
        <v>0</v>
      </c>
      <c r="H16" s="29">
        <f>+G16/'RR 11-4-25'!$G$152</f>
        <v>0</v>
      </c>
      <c r="I16" s="24"/>
      <c r="J16" s="29">
        <f>+SUM(J11:J15)</f>
        <v>0</v>
      </c>
      <c r="K16" s="29">
        <f>+J16/'RR 11-4-25'!$G$152</f>
        <v>0</v>
      </c>
      <c r="L16" s="29"/>
      <c r="M16" s="246">
        <f t="shared" ref="M16:Q16" si="1">+SUM(M11:M15)</f>
        <v>1228597.29</v>
      </c>
      <c r="N16" s="246">
        <f t="shared" ref="N16" si="2">+SUM(N11:N15)</f>
        <v>1250445.3</v>
      </c>
      <c r="O16" s="246">
        <f t="shared" si="1"/>
        <v>1238288.9999999998</v>
      </c>
      <c r="P16" s="246">
        <f t="shared" ref="P16" si="3">+SUM(P11:P15)</f>
        <v>1344145.9200000002</v>
      </c>
      <c r="Q16" s="246">
        <f t="shared" si="1"/>
        <v>1452522.4799999997</v>
      </c>
      <c r="R16" s="246"/>
      <c r="S16" s="246">
        <f>+SUM(S11:S15)</f>
        <v>1523001.1199999999</v>
      </c>
      <c r="T16" s="29">
        <f>+S16/'RR 11-4-25'!$G$152</f>
        <v>11992.134803149605</v>
      </c>
      <c r="V16" s="178"/>
    </row>
    <row r="17" spans="1:31" x14ac:dyDescent="0.3">
      <c r="A17" s="22">
        <v>6</v>
      </c>
      <c r="B17" s="27" t="s">
        <v>319</v>
      </c>
      <c r="C17" s="23"/>
      <c r="D17" s="28">
        <f>+SUMIFS('IS 2022'!$V:$V,'IS 2022'!$A:$A,$A17)</f>
        <v>0</v>
      </c>
      <c r="E17" s="28">
        <f>+D17/'RR 11-4-25'!$G$152</f>
        <v>0</v>
      </c>
      <c r="F17" s="23"/>
      <c r="G17" s="28">
        <f>+SUMIFS('IS 2023'!$V:$V,'IS 2023'!$A:$A,$A17)</f>
        <v>0</v>
      </c>
      <c r="H17" s="28">
        <f>+G17/'RR 11-4-25'!$G$152</f>
        <v>0</v>
      </c>
      <c r="I17" s="23"/>
      <c r="J17" s="28">
        <f>+SUMIFS('IS 2024'!$V:$V,'IS 2024'!$A:$A,$A17)</f>
        <v>0</v>
      </c>
      <c r="K17" s="28">
        <f>+J17/'RR 11-4-25'!$G$152</f>
        <v>0</v>
      </c>
      <c r="L17" s="28"/>
      <c r="M17" s="28">
        <f>+SUMIFS('TTM Nov-25'!U:U,'TTM Nov-25'!$A:$A,$A17)</f>
        <v>84585.010000000009</v>
      </c>
      <c r="N17" s="28">
        <f>+SUMIFS('TTM Nov-25'!T:T,'TTM Nov-25'!$A:$A,$A17)</f>
        <v>82450.02</v>
      </c>
      <c r="O17" s="28">
        <f>+SUMIFS('TTM Nov-25'!S:S,'TTM Nov-25'!$A:$A,$A17)</f>
        <v>90137.280000000013</v>
      </c>
      <c r="P17" s="28">
        <f>+SUMIFS('TTM Nov-25'!R:R,'TTM Nov-25'!$A:$A,$A17)</f>
        <v>93177.96</v>
      </c>
      <c r="Q17" s="28">
        <f>+SUMIFS('TTM Nov-25'!Q:Q,'TTM Nov-25'!$A:$A,$A17)</f>
        <v>93227.520000000004</v>
      </c>
      <c r="R17" s="28"/>
      <c r="S17" s="28">
        <f>+SUMIFS($M17:$Q17,$M$5:$Q$5,$W17)*(1+$V17)</f>
        <v>87122.560300000012</v>
      </c>
      <c r="T17" s="28">
        <f>+S17/'RR 11-4-25'!$G$152</f>
        <v>686.00441181102372</v>
      </c>
      <c r="V17" s="180">
        <v>0.03</v>
      </c>
      <c r="W17" s="178" t="s">
        <v>307</v>
      </c>
      <c r="X17" s="57"/>
    </row>
    <row r="18" spans="1:31" x14ac:dyDescent="0.3">
      <c r="A18" s="22">
        <v>7</v>
      </c>
      <c r="B18" s="27" t="s">
        <v>320</v>
      </c>
      <c r="C18" s="23"/>
      <c r="D18" s="28">
        <f>+SUMIFS('IS 2022'!$V:$V,'IS 2022'!$A:$A,$A18)</f>
        <v>0</v>
      </c>
      <c r="E18" s="28">
        <f>+D18/'RR 11-4-25'!$G$152</f>
        <v>0</v>
      </c>
      <c r="F18" s="23"/>
      <c r="G18" s="28">
        <f>+SUMIFS('IS 2023'!$V:$V,'IS 2023'!$A:$A,$A18)</f>
        <v>0</v>
      </c>
      <c r="H18" s="28">
        <f>+G18/'RR 11-4-25'!$G$152</f>
        <v>0</v>
      </c>
      <c r="I18" s="23"/>
      <c r="J18" s="28">
        <f>+SUMIFS('IS 2024'!$V:$V,'IS 2024'!$A:$A,$A18)</f>
        <v>0</v>
      </c>
      <c r="K18" s="28">
        <f>+J18/'RR 11-4-25'!$G$152</f>
        <v>0</v>
      </c>
      <c r="L18" s="28"/>
      <c r="M18" s="28">
        <f>+SUMIFS('TTM Nov-25'!U:U,'TTM Nov-25'!$A:$A,$A18)</f>
        <v>121263.83000000002</v>
      </c>
      <c r="N18" s="28">
        <f>+SUMIFS('TTM Nov-25'!T:T,'TTM Nov-25'!$A:$A,$A18)</f>
        <v>91409.54</v>
      </c>
      <c r="O18" s="28">
        <f>+SUMIFS('TTM Nov-25'!S:S,'TTM Nov-25'!$A:$A,$A18)</f>
        <v>88093.559999999983</v>
      </c>
      <c r="P18" s="28">
        <f>+SUMIFS('TTM Nov-25'!R:R,'TTM Nov-25'!$A:$A,$A18)</f>
        <v>95491.5</v>
      </c>
      <c r="Q18" s="28">
        <f>+SUMIFS('TTM Nov-25'!Q:Q,'TTM Nov-25'!$A:$A,$A18)</f>
        <v>116246.75999999998</v>
      </c>
      <c r="R18" s="28"/>
      <c r="S18" s="243">
        <f>+SUMIFS($M18:$Q18,$M$5:$Q$5,$W18)*(1+$V18)</f>
        <v>124901.74490000002</v>
      </c>
      <c r="T18" s="28">
        <f>+S18/'RR 11-4-25'!$G$152</f>
        <v>983.4783062992127</v>
      </c>
      <c r="V18" s="180">
        <v>0.03</v>
      </c>
      <c r="W18" s="178" t="s">
        <v>307</v>
      </c>
      <c r="X18" s="57"/>
    </row>
    <row r="19" spans="1:31" x14ac:dyDescent="0.3">
      <c r="A19" s="22"/>
      <c r="B19" s="26" t="s">
        <v>311</v>
      </c>
      <c r="C19" s="24"/>
      <c r="D19" s="29">
        <f>+SUM(D16:D18)</f>
        <v>0</v>
      </c>
      <c r="E19" s="29">
        <f>+D19/'RR 11-4-25'!$G$152</f>
        <v>0</v>
      </c>
      <c r="F19" s="24"/>
      <c r="G19" s="29">
        <f>+SUM(G16:G18)</f>
        <v>0</v>
      </c>
      <c r="H19" s="29">
        <f>+G19/'RR 11-4-25'!$G$152</f>
        <v>0</v>
      </c>
      <c r="I19" s="24"/>
      <c r="J19" s="29">
        <f>+SUM(J16:J18)</f>
        <v>0</v>
      </c>
      <c r="K19" s="29">
        <f>+J19/'RR 11-4-25'!$G$152</f>
        <v>0</v>
      </c>
      <c r="L19" s="29"/>
      <c r="M19" s="29">
        <f t="shared" ref="M19:Q19" si="4">+SUM(M16:M18)</f>
        <v>1434446.1300000001</v>
      </c>
      <c r="N19" s="29">
        <f t="shared" ref="N19" si="5">+SUM(N16:N18)</f>
        <v>1424304.86</v>
      </c>
      <c r="O19" s="29">
        <f t="shared" si="4"/>
        <v>1416519.8399999999</v>
      </c>
      <c r="P19" s="29">
        <f t="shared" ref="P19" si="6">+SUM(P16:P18)</f>
        <v>1532815.3800000001</v>
      </c>
      <c r="Q19" s="29">
        <f t="shared" si="4"/>
        <v>1661996.7599999998</v>
      </c>
      <c r="R19" s="29"/>
      <c r="S19" s="29">
        <f>+SUM(S16:S18)</f>
        <v>1735025.4251999999</v>
      </c>
      <c r="T19" s="29">
        <f>+S19/'RR 11-4-25'!$G$152</f>
        <v>13661.617521259843</v>
      </c>
      <c r="V19" s="178"/>
    </row>
    <row r="20" spans="1:31" ht="5.15" customHeight="1" x14ac:dyDescent="0.3">
      <c r="A20" s="22"/>
      <c r="B20" s="23"/>
      <c r="C20" s="23"/>
      <c r="D20" s="28"/>
      <c r="E20" s="28"/>
      <c r="F20" s="23"/>
      <c r="G20" s="28"/>
      <c r="H20" s="28"/>
      <c r="I20" s="23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V20" s="178"/>
    </row>
    <row r="21" spans="1:31" x14ac:dyDescent="0.3">
      <c r="A21" s="22"/>
      <c r="B21" s="23" t="s">
        <v>321</v>
      </c>
      <c r="C21" s="23"/>
      <c r="D21" s="28"/>
      <c r="E21" s="28"/>
      <c r="F21" s="23"/>
      <c r="G21" s="28"/>
      <c r="H21" s="28"/>
      <c r="I21" s="23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V21" s="178"/>
    </row>
    <row r="22" spans="1:31" x14ac:dyDescent="0.3">
      <c r="A22" s="22">
        <v>8</v>
      </c>
      <c r="B22" s="27" t="s">
        <v>312</v>
      </c>
      <c r="C22" s="23"/>
      <c r="D22" s="28">
        <f>+SUMIFS('IS 2022'!$V:$V,'IS 2022'!$A:$A,$A22)</f>
        <v>0</v>
      </c>
      <c r="E22" s="28">
        <f>+D22/'RR 11-4-25'!$G$152</f>
        <v>0</v>
      </c>
      <c r="F22" s="23"/>
      <c r="G22" s="28">
        <f>+SUMIFS('IS 2023'!$V:$V,'IS 2023'!$A:$A,$A22)</f>
        <v>0</v>
      </c>
      <c r="H22" s="28">
        <f>+G22/'RR 11-4-25'!$G$152</f>
        <v>0</v>
      </c>
      <c r="I22" s="23"/>
      <c r="J22" s="28">
        <f>+SUMIFS('IS 2024'!$V:$V,'IS 2024'!$A:$A,$A22)</f>
        <v>0</v>
      </c>
      <c r="K22" s="28">
        <f>+J22/'RR 11-4-25'!$G$152</f>
        <v>0</v>
      </c>
      <c r="L22" s="28"/>
      <c r="M22" s="28">
        <f>+SUMIFS('TTM Nov-25'!U:U,'TTM Nov-25'!$A:$A,$A22)</f>
        <v>100635.17</v>
      </c>
      <c r="N22" s="28">
        <f>+SUMIFS('TTM Nov-25'!T:T,'TTM Nov-25'!$A:$A,$A22)</f>
        <v>186164.24</v>
      </c>
      <c r="O22" s="28">
        <f>+SUMIFS('TTM Nov-25'!S:S,'TTM Nov-25'!$A:$A,$A22)</f>
        <v>158930.56</v>
      </c>
      <c r="P22" s="28">
        <f>+SUMIFS('TTM Nov-25'!R:R,'TTM Nov-25'!$A:$A,$A22)</f>
        <v>163955.64000000001</v>
      </c>
      <c r="Q22" s="28">
        <f>+SUMIFS('TTM Nov-25'!Q:Q,'TTM Nov-25'!$A:$A,$A22)</f>
        <v>146188.08000000002</v>
      </c>
      <c r="R22" s="28"/>
      <c r="S22" s="28">
        <f>+SUMIFS($M22:$Q22,$M$5:$Q$5,$W22)*(1+$V22)</f>
        <v>103654.2251</v>
      </c>
      <c r="T22" s="28">
        <f>+S22/'RR 11-4-25'!$G$152</f>
        <v>816.17500078740159</v>
      </c>
      <c r="V22" s="180">
        <v>0.03</v>
      </c>
      <c r="W22" s="178" t="s">
        <v>307</v>
      </c>
    </row>
    <row r="23" spans="1:31" x14ac:dyDescent="0.3">
      <c r="A23" s="22">
        <v>9</v>
      </c>
      <c r="B23" s="27" t="s">
        <v>313</v>
      </c>
      <c r="C23" s="23"/>
      <c r="D23" s="28">
        <f>+SUMIFS('IS 2022'!$V:$V,'IS 2022'!$A:$A,$A23)</f>
        <v>0</v>
      </c>
      <c r="E23" s="28">
        <f>+D23/'RR 11-4-25'!$G$152</f>
        <v>0</v>
      </c>
      <c r="F23" s="23"/>
      <c r="G23" s="28">
        <f>+SUMIFS('IS 2023'!$V:$V,'IS 2023'!$A:$A,$A23)</f>
        <v>0</v>
      </c>
      <c r="H23" s="28">
        <f>+G23/'RR 11-4-25'!$G$152</f>
        <v>0</v>
      </c>
      <c r="I23" s="23"/>
      <c r="J23" s="28">
        <f>+SUMIFS('IS 2024'!$V:$V,'IS 2024'!$A:$A,$A23)</f>
        <v>0</v>
      </c>
      <c r="K23" s="28">
        <f>+J23/'RR 11-4-25'!$G$152</f>
        <v>0</v>
      </c>
      <c r="L23" s="28"/>
      <c r="M23" s="28">
        <f>+SUMIFS('TTM Nov-25'!U:U,'TTM Nov-25'!$A:$A,$A23)</f>
        <v>57350.2</v>
      </c>
      <c r="N23" s="28">
        <f>+SUMIFS('TTM Nov-25'!T:T,'TTM Nov-25'!$A:$A,$A23)</f>
        <v>42387.039999999994</v>
      </c>
      <c r="O23" s="28">
        <f>+SUMIFS('TTM Nov-25'!S:S,'TTM Nov-25'!$A:$A,$A23)</f>
        <v>25765.200000000001</v>
      </c>
      <c r="P23" s="28">
        <f>+SUMIFS('TTM Nov-25'!R:R,'TTM Nov-25'!$A:$A,$A23)</f>
        <v>27994.199999999997</v>
      </c>
      <c r="Q23" s="28">
        <f>+SUMIFS('TTM Nov-25'!Q:Q,'TTM Nov-25'!$A:$A,$A23)</f>
        <v>21189.119999999999</v>
      </c>
      <c r="R23" s="28"/>
      <c r="S23" s="28">
        <f>+SUMIFS($M23:$Q23,$M$5:$Q$5,$W23)*(1+$V23)</f>
        <v>59070.705999999998</v>
      </c>
      <c r="T23" s="28">
        <f>+S23/'RR 11-4-25'!$G$152</f>
        <v>465.12366929133856</v>
      </c>
      <c r="V23" s="180">
        <v>0.03</v>
      </c>
      <c r="W23" s="178" t="s">
        <v>307</v>
      </c>
    </row>
    <row r="24" spans="1:31" x14ac:dyDescent="0.3">
      <c r="A24" s="22">
        <v>10</v>
      </c>
      <c r="B24" s="27" t="s">
        <v>480</v>
      </c>
      <c r="C24" s="23"/>
      <c r="D24" s="28">
        <f>+SUMIFS('IS 2022'!$V:$V,'IS 2022'!$A:$A,$A24)</f>
        <v>0</v>
      </c>
      <c r="E24" s="28">
        <f>+D24/'RR 11-4-25'!$G$152</f>
        <v>0</v>
      </c>
      <c r="F24" s="23"/>
      <c r="G24" s="28">
        <f>+SUMIFS('IS 2023'!$V:$V,'IS 2023'!$A:$A,$A24)</f>
        <v>0</v>
      </c>
      <c r="H24" s="28">
        <f>+G24/'RR 11-4-25'!$G$152</f>
        <v>0</v>
      </c>
      <c r="I24" s="23"/>
      <c r="J24" s="28">
        <f>+SUMIFS('IS 2024'!$V:$V,'IS 2024'!$A:$A,$A24)</f>
        <v>0</v>
      </c>
      <c r="K24" s="28">
        <f>+J24/'RR 11-4-25'!$G$152</f>
        <v>0</v>
      </c>
      <c r="L24" s="28"/>
      <c r="M24" s="28">
        <f>+SUMIFS('TTM Nov-25'!U:U,'TTM Nov-25'!$A:$A,$A24)</f>
        <v>31392.720000000001</v>
      </c>
      <c r="N24" s="28">
        <f>+SUMIFS('TTM Nov-25'!T:T,'TTM Nov-25'!$A:$A,$A24)</f>
        <v>51515.14</v>
      </c>
      <c r="O24" s="28">
        <f>+SUMIFS('TTM Nov-25'!S:S,'TTM Nov-25'!$A:$A,$A24)</f>
        <v>47359.68</v>
      </c>
      <c r="P24" s="28">
        <f>+SUMIFS('TTM Nov-25'!R:R,'TTM Nov-25'!$A:$A,$A24)</f>
        <v>44658</v>
      </c>
      <c r="Q24" s="28">
        <f>+SUMIFS('TTM Nov-25'!Q:Q,'TTM Nov-25'!$A:$A,$A24)</f>
        <v>45744</v>
      </c>
      <c r="R24" s="28"/>
      <c r="S24" s="28">
        <f>+SUMIFS($M24:$Q24,$M$5:$Q$5,$W24)*(1+$V24)</f>
        <v>32334.501600000003</v>
      </c>
      <c r="T24" s="28">
        <f>+S24/'RR 11-4-25'!$G$152</f>
        <v>254.60237480314964</v>
      </c>
      <c r="V24" s="180">
        <v>0.03</v>
      </c>
      <c r="W24" s="178" t="s">
        <v>307</v>
      </c>
      <c r="AA24" s="30"/>
    </row>
    <row r="25" spans="1:31" x14ac:dyDescent="0.3">
      <c r="A25" s="22">
        <v>11</v>
      </c>
      <c r="B25" s="27" t="s">
        <v>483</v>
      </c>
      <c r="C25" s="23"/>
      <c r="D25" s="28">
        <f>+SUMIFS('IS 2022'!$V:$V,'IS 2022'!$A:$A,$A25)</f>
        <v>0</v>
      </c>
      <c r="E25" s="28">
        <f>+D25/'RR 11-4-25'!$G$152</f>
        <v>0</v>
      </c>
      <c r="F25" s="23"/>
      <c r="G25" s="28">
        <f>+SUMIFS('IS 2023'!$V:$V,'IS 2023'!$A:$A,$A25)</f>
        <v>0</v>
      </c>
      <c r="H25" s="28">
        <f>+G25/'RR 11-4-25'!$G$152</f>
        <v>0</v>
      </c>
      <c r="I25" s="23"/>
      <c r="J25" s="28">
        <f>+SUMIFS('IS 2024'!$V:$V,'IS 2024'!$A:$A,$A25)</f>
        <v>0</v>
      </c>
      <c r="K25" s="28">
        <f>+J25/'RR 11-4-25'!$G$152</f>
        <v>0</v>
      </c>
      <c r="L25" s="28"/>
      <c r="M25" s="28">
        <f>+SUMIFS('TTM Nov-25'!U:U,'TTM Nov-25'!$A:$A,$A25)</f>
        <v>63036.330000000009</v>
      </c>
      <c r="N25" s="28">
        <f>+SUMIFS('TTM Nov-25'!T:T,'TTM Nov-25'!$A:$A,$A25)</f>
        <v>57352.920000000006</v>
      </c>
      <c r="O25" s="28">
        <f>+SUMIFS('TTM Nov-25'!S:S,'TTM Nov-25'!$A:$A,$A25)</f>
        <v>68108.679999999993</v>
      </c>
      <c r="P25" s="28">
        <f>+SUMIFS('TTM Nov-25'!R:R,'TTM Nov-25'!$A:$A,$A25)</f>
        <v>70273.200000000012</v>
      </c>
      <c r="Q25" s="28">
        <f>+SUMIFS('TTM Nov-25'!Q:Q,'TTM Nov-25'!$A:$A,$A25)</f>
        <v>80229.600000000006</v>
      </c>
      <c r="R25" s="28"/>
      <c r="S25" s="28">
        <f t="shared" ref="S25:S28" si="7">+SUMIFS($M25:$Q25,$M$5:$Q$5,$W25)*(1+$V25)</f>
        <v>64927.419900000008</v>
      </c>
      <c r="T25" s="28">
        <f>+S25/'RR 11-4-25'!$G$152</f>
        <v>511.23952677165363</v>
      </c>
      <c r="V25" s="180">
        <v>0.03</v>
      </c>
      <c r="W25" s="178" t="s">
        <v>307</v>
      </c>
      <c r="AA25" s="30"/>
      <c r="AB25" s="30"/>
      <c r="AC25" s="30"/>
      <c r="AD25" s="30"/>
      <c r="AE25" s="30"/>
    </row>
    <row r="26" spans="1:31" x14ac:dyDescent="0.3">
      <c r="A26" s="22">
        <v>12</v>
      </c>
      <c r="B26" s="27" t="s">
        <v>141</v>
      </c>
      <c r="C26" s="23"/>
      <c r="D26" s="28">
        <f>+SUMIFS('IS 2022'!$V:$V,'IS 2022'!$A:$A,$A26)</f>
        <v>0</v>
      </c>
      <c r="E26" s="28">
        <f>+D26/'RR 11-4-25'!$G$152</f>
        <v>0</v>
      </c>
      <c r="F26" s="23"/>
      <c r="G26" s="28">
        <f>+SUMIFS('IS 2023'!$V:$V,'IS 2023'!$A:$A,$A26)</f>
        <v>0</v>
      </c>
      <c r="H26" s="28">
        <f>+G26/'RR 11-4-25'!$G$152</f>
        <v>0</v>
      </c>
      <c r="I26" s="23"/>
      <c r="J26" s="28">
        <f>+SUMIFS('IS 2024'!$V:$V,'IS 2024'!$A:$A,$A26)</f>
        <v>0</v>
      </c>
      <c r="K26" s="28">
        <f>+J26/'RR 11-4-25'!$G$152</f>
        <v>0</v>
      </c>
      <c r="L26" s="28"/>
      <c r="M26" s="28">
        <f>+SUMIFS('TTM Nov-25'!U:U,'TTM Nov-25'!$A:$A,$A26)</f>
        <v>64588.97</v>
      </c>
      <c r="N26" s="28">
        <f>+SUMIFS('TTM Nov-25'!T:T,'TTM Nov-25'!$A:$A,$A26)</f>
        <v>64074.820000000007</v>
      </c>
      <c r="O26" s="28">
        <f>+SUMIFS('TTM Nov-25'!S:S,'TTM Nov-25'!$A:$A,$A26)</f>
        <v>70707.72</v>
      </c>
      <c r="P26" s="28">
        <f>+SUMIFS('TTM Nov-25'!R:R,'TTM Nov-25'!$A:$A,$A26)</f>
        <v>76203.42</v>
      </c>
      <c r="Q26" s="28">
        <f>+SUMIFS('TTM Nov-25'!Q:Q,'TTM Nov-25'!$A:$A,$A26)</f>
        <v>88183.200000000012</v>
      </c>
      <c r="R26" s="28"/>
      <c r="S26" s="28">
        <f t="shared" si="7"/>
        <v>66526.6391</v>
      </c>
      <c r="T26" s="28">
        <f>+S26/'RR 11-4-25'!$G$152</f>
        <v>523.83180393700786</v>
      </c>
      <c r="V26" s="180">
        <v>0.03</v>
      </c>
      <c r="W26" s="178" t="s">
        <v>307</v>
      </c>
      <c r="Z26" s="30"/>
      <c r="AA26" s="172"/>
      <c r="AB26" s="172"/>
      <c r="AC26" s="172"/>
      <c r="AD26" s="172"/>
      <c r="AE26" s="172"/>
    </row>
    <row r="27" spans="1:31" x14ac:dyDescent="0.3">
      <c r="A27" s="22">
        <v>13</v>
      </c>
      <c r="B27" s="27" t="s">
        <v>484</v>
      </c>
      <c r="C27" s="23"/>
      <c r="D27" s="28">
        <f>+SUMIFS('IS 2022'!$V:$V,'IS 2022'!$A:$A,$A27)</f>
        <v>0</v>
      </c>
      <c r="E27" s="28">
        <f>+D27/'RR 11-4-25'!$G$152</f>
        <v>0</v>
      </c>
      <c r="F27" s="23"/>
      <c r="G27" s="28">
        <f>+SUMIFS('IS 2023'!$V:$V,'IS 2023'!$A:$A,$A27)</f>
        <v>0</v>
      </c>
      <c r="H27" s="28">
        <f>+G27/'RR 11-4-25'!$G$152</f>
        <v>0</v>
      </c>
      <c r="I27" s="23"/>
      <c r="J27" s="28">
        <f>+SUMIFS('IS 2024'!$V:$V,'IS 2024'!$A:$A,$A27)</f>
        <v>0</v>
      </c>
      <c r="K27" s="28">
        <f>+J27/'RR 11-4-25'!$G$152</f>
        <v>0</v>
      </c>
      <c r="L27" s="28"/>
      <c r="M27" s="28">
        <f>+SUMIFS('TTM Nov-25'!U:U,'TTM Nov-25'!$A:$A,$A27)</f>
        <v>45653.38</v>
      </c>
      <c r="N27" s="28">
        <f>+SUMIFS('TTM Nov-25'!T:T,'TTM Nov-25'!$A:$A,$A27)</f>
        <v>32028.480000000003</v>
      </c>
      <c r="O27" s="28">
        <f>+SUMIFS('TTM Nov-25'!S:S,'TTM Nov-25'!$A:$A,$A27)</f>
        <v>50841.759999999995</v>
      </c>
      <c r="P27" s="28">
        <f>+SUMIFS('TTM Nov-25'!R:R,'TTM Nov-25'!$A:$A,$A27)</f>
        <v>24147.96</v>
      </c>
      <c r="Q27" s="28">
        <f>+SUMIFS('TTM Nov-25'!Q:Q,'TTM Nov-25'!$A:$A,$A27)</f>
        <v>15101.52</v>
      </c>
      <c r="R27" s="28"/>
      <c r="S27" s="28">
        <f t="shared" si="7"/>
        <v>47022.981399999997</v>
      </c>
      <c r="T27" s="28">
        <f>+S27/'RR 11-4-25'!$G$152</f>
        <v>370.25969606299208</v>
      </c>
      <c r="V27" s="180">
        <v>0.03</v>
      </c>
      <c r="W27" s="178" t="s">
        <v>307</v>
      </c>
      <c r="Z27" s="30"/>
      <c r="AA27" s="127"/>
    </row>
    <row r="28" spans="1:31" x14ac:dyDescent="0.3">
      <c r="A28" s="22">
        <v>14</v>
      </c>
      <c r="B28" s="27" t="s">
        <v>117</v>
      </c>
      <c r="C28" s="23"/>
      <c r="D28" s="28">
        <f>+SUMIFS('IS 2022'!$V:$V,'IS 2022'!$A:$A,$A28)</f>
        <v>0</v>
      </c>
      <c r="E28" s="28">
        <f>+D28/'RR 11-4-25'!$G$152</f>
        <v>0</v>
      </c>
      <c r="F28" s="23"/>
      <c r="G28" s="28">
        <f>+SUMIFS('IS 2023'!$V:$V,'IS 2023'!$A:$A,$A28)</f>
        <v>0</v>
      </c>
      <c r="H28" s="28">
        <f>+G28/'RR 11-4-25'!$G$152</f>
        <v>0</v>
      </c>
      <c r="I28" s="23"/>
      <c r="J28" s="28">
        <f>+SUMIFS('IS 2024'!$V:$V,'IS 2024'!$A:$A,$A28)</f>
        <v>0</v>
      </c>
      <c r="K28" s="28">
        <f>+J28/'RR 11-4-25'!$G$152</f>
        <v>0</v>
      </c>
      <c r="L28" s="28"/>
      <c r="M28" s="28">
        <f>+SUMIFS('TTM Nov-25'!U:U,'TTM Nov-25'!$A:$A,$A28)</f>
        <v>75704.430000000008</v>
      </c>
      <c r="N28" s="28">
        <f>+SUMIFS('TTM Nov-25'!T:T,'TTM Nov-25'!$A:$A,$A28)</f>
        <v>79541.56</v>
      </c>
      <c r="O28" s="28">
        <f>+SUMIFS('TTM Nov-25'!S:S,'TTM Nov-25'!$A:$A,$A28)</f>
        <v>76849.039999999994</v>
      </c>
      <c r="P28" s="28">
        <f>+SUMIFS('TTM Nov-25'!R:R,'TTM Nov-25'!$A:$A,$A28)</f>
        <v>73728</v>
      </c>
      <c r="Q28" s="28">
        <f>+SUMIFS('TTM Nov-25'!Q:Q,'TTM Nov-25'!$A:$A,$A28)</f>
        <v>75841.440000000002</v>
      </c>
      <c r="R28" s="28"/>
      <c r="S28" s="28">
        <f t="shared" si="7"/>
        <v>77975.562900000004</v>
      </c>
      <c r="T28" s="28">
        <f>+S28/'RR 11-4-25'!$G$152</f>
        <v>613.98081023622046</v>
      </c>
      <c r="V28" s="180">
        <v>0.03</v>
      </c>
      <c r="W28" s="178" t="s">
        <v>307</v>
      </c>
      <c r="Z28" s="30"/>
      <c r="AA28" s="127"/>
    </row>
    <row r="29" spans="1:31" x14ac:dyDescent="0.3">
      <c r="A29" s="22">
        <v>15</v>
      </c>
      <c r="B29" s="27" t="s">
        <v>314</v>
      </c>
      <c r="C29" s="23"/>
      <c r="D29" s="28">
        <f>+SUMIFS('IS 2022'!$V:$V,'IS 2022'!$A:$A,$A29)</f>
        <v>0</v>
      </c>
      <c r="E29" s="28">
        <f>+D29/'RR 11-4-25'!$G$152</f>
        <v>0</v>
      </c>
      <c r="F29" s="23"/>
      <c r="G29" s="28">
        <f>+SUMIFS('IS 2023'!$V:$V,'IS 2023'!$A:$A,$A29)</f>
        <v>0</v>
      </c>
      <c r="H29" s="28">
        <f>+G29/'RR 11-4-25'!$G$152</f>
        <v>0</v>
      </c>
      <c r="I29" s="23"/>
      <c r="J29" s="28">
        <f>+SUMIFS('IS 2024'!$V:$V,'IS 2024'!$A:$A,$A29)</f>
        <v>0</v>
      </c>
      <c r="K29" s="28">
        <f>+J29/'RR 11-4-25'!$G$152</f>
        <v>0</v>
      </c>
      <c r="L29" s="28"/>
      <c r="M29" s="28">
        <f>+SUMIFS('TTM Nov-25'!U:U,'TTM Nov-25'!$A:$A,$A29)</f>
        <v>164042.76</v>
      </c>
      <c r="N29" s="28">
        <f>+SUMIFS('TTM Nov-25'!T:T,'TTM Nov-25'!$A:$A,$A29)</f>
        <v>165073.19999999998</v>
      </c>
      <c r="O29" s="28">
        <f>+SUMIFS('TTM Nov-25'!S:S,'TTM Nov-25'!$A:$A,$A29)</f>
        <v>158173.16</v>
      </c>
      <c r="P29" s="28">
        <f>+SUMIFS('TTM Nov-25'!R:R,'TTM Nov-25'!$A:$A,$A29)</f>
        <v>143126.88</v>
      </c>
      <c r="Q29" s="28">
        <f>+SUMIFS('TTM Nov-25'!Q:Q,'TTM Nov-25'!$A:$A,$A29)</f>
        <v>97988.040000000008</v>
      </c>
      <c r="R29" s="28"/>
      <c r="S29" s="28">
        <f>+IF($W29=AA$39,$AA$46,(1+$V29)*$AL$69)</f>
        <v>163732.41729408002</v>
      </c>
      <c r="T29" s="28">
        <f>+S29/'RR 11-4-25'!$G$152</f>
        <v>1289.2316322368506</v>
      </c>
      <c r="V29" s="180">
        <v>0.03</v>
      </c>
      <c r="W29" s="178" t="s">
        <v>494</v>
      </c>
      <c r="X29" s="57"/>
    </row>
    <row r="30" spans="1:31" x14ac:dyDescent="0.3">
      <c r="A30" s="22">
        <v>16</v>
      </c>
      <c r="B30" s="27" t="s">
        <v>315</v>
      </c>
      <c r="C30" s="23"/>
      <c r="D30" s="28">
        <f>+SUMIFS('IS 2022'!$V:$V,'IS 2022'!$A:$A,$A30)</f>
        <v>0</v>
      </c>
      <c r="E30" s="28">
        <f>+D30/'RR 11-4-25'!$G$152</f>
        <v>0</v>
      </c>
      <c r="F30" s="23"/>
      <c r="G30" s="28">
        <f>+SUMIFS('IS 2023'!$V:$V,'IS 2023'!$A:$A,$A30)</f>
        <v>0</v>
      </c>
      <c r="H30" s="28">
        <f>+G30/'RR 11-4-25'!$G$152</f>
        <v>0</v>
      </c>
      <c r="I30" s="23"/>
      <c r="J30" s="28">
        <f>+SUMIFS('IS 2024'!$V:$V,'IS 2024'!$A:$A,$A30)</f>
        <v>0</v>
      </c>
      <c r="K30" s="28">
        <f>+J30/'RR 11-4-25'!$G$152</f>
        <v>0</v>
      </c>
      <c r="L30" s="28"/>
      <c r="M30" s="28">
        <f>+SUMIFS('TTM Nov-25'!U:U,'TTM Nov-25'!$A:$A,$A30)</f>
        <v>206902.04</v>
      </c>
      <c r="N30" s="28">
        <f>+SUMIFS('TTM Nov-25'!T:T,'TTM Nov-25'!$A:$A,$A30)</f>
        <v>228812.92</v>
      </c>
      <c r="O30" s="28">
        <f>+SUMIFS('TTM Nov-25'!S:S,'TTM Nov-25'!$A:$A,$A30)</f>
        <v>244238.27999999997</v>
      </c>
      <c r="P30" s="28">
        <f>+SUMIFS('TTM Nov-25'!R:R,'TTM Nov-25'!$A:$A,$A30)</f>
        <v>244238.27999999997</v>
      </c>
      <c r="Q30" s="28">
        <f>+SUMIFS('TTM Nov-25'!Q:Q,'TTM Nov-25'!$A:$A,$A30)</f>
        <v>244238.27999999997</v>
      </c>
      <c r="R30" s="28"/>
      <c r="S30" s="242">
        <v>160000</v>
      </c>
      <c r="T30" s="28">
        <f>+S30/'RR 11-4-25'!$G$152</f>
        <v>1259.8425196850394</v>
      </c>
      <c r="V30" s="180"/>
      <c r="W30" s="178" t="s">
        <v>1027</v>
      </c>
      <c r="X30" s="57"/>
    </row>
    <row r="31" spans="1:31" x14ac:dyDescent="0.3">
      <c r="A31" s="22">
        <v>17</v>
      </c>
      <c r="B31" s="27" t="s">
        <v>134</v>
      </c>
      <c r="C31" s="23"/>
      <c r="D31" s="28">
        <f>+SUMIFS('IS 2022'!$V:$V,'IS 2022'!$A:$A,$A31)</f>
        <v>0</v>
      </c>
      <c r="E31" s="28">
        <f>+D31/'RR 11-4-25'!$G$152</f>
        <v>0</v>
      </c>
      <c r="F31" s="23"/>
      <c r="G31" s="28">
        <f>+SUMIFS('IS 2023'!$V:$V,'IS 2023'!$A:$A,$A31)</f>
        <v>0</v>
      </c>
      <c r="H31" s="28">
        <f>+G31/'RR 11-4-25'!$G$152</f>
        <v>0</v>
      </c>
      <c r="I31" s="23"/>
      <c r="J31" s="28">
        <f>+SUMIFS('IS 2024'!$V:$V,'IS 2024'!$A:$A,$A31)</f>
        <v>0</v>
      </c>
      <c r="K31" s="28">
        <f>+J31/'RR 11-4-25'!$G$152</f>
        <v>0</v>
      </c>
      <c r="L31" s="28"/>
      <c r="M31" s="28">
        <f>+SUMIFS('TTM Nov-25'!U:U,'TTM Nov-25'!$A:$A,$A31)</f>
        <v>121532.18</v>
      </c>
      <c r="N31" s="28">
        <f>+SUMIFS('TTM Nov-25'!T:T,'TTM Nov-25'!$A:$A,$A31)</f>
        <v>54000</v>
      </c>
      <c r="O31" s="28">
        <f>+SUMIFS('TTM Nov-25'!S:S,'TTM Nov-25'!$A:$A,$A31)</f>
        <v>54000</v>
      </c>
      <c r="P31" s="28">
        <f>+SUMIFS('TTM Nov-25'!R:R,'TTM Nov-25'!$A:$A,$A31)</f>
        <v>54000</v>
      </c>
      <c r="Q31" s="28">
        <f>+SUMIFS('TTM Nov-25'!Q:Q,'TTM Nov-25'!$A:$A,$A31)</f>
        <v>54000</v>
      </c>
      <c r="R31" s="28"/>
      <c r="S31" s="28">
        <f>+W31*S19</f>
        <v>60725.889882000003</v>
      </c>
      <c r="T31" s="28">
        <f>+S31/'RR 11-4-25'!$G$152</f>
        <v>478.1566132440945</v>
      </c>
      <c r="V31" s="178"/>
      <c r="W31" s="179">
        <v>3.5000000000000003E-2</v>
      </c>
      <c r="X31" s="57"/>
    </row>
    <row r="32" spans="1:31" x14ac:dyDescent="0.3">
      <c r="A32" s="22"/>
      <c r="B32" s="27" t="s">
        <v>316</v>
      </c>
      <c r="C32" s="23"/>
      <c r="D32" s="28">
        <f>+SUMIFS('IS 2022'!$V:$V,'IS 2022'!$A:$A,$A32)</f>
        <v>0</v>
      </c>
      <c r="E32" s="28">
        <f>+D32/'RR 11-4-25'!$G$152</f>
        <v>0</v>
      </c>
      <c r="F32" s="23"/>
      <c r="G32" s="28">
        <f>+SUMIFS('IS 2023'!$V:$V,'IS 2023'!$A:$A,$A32)</f>
        <v>0</v>
      </c>
      <c r="H32" s="28">
        <f>+G32/'RR 11-4-25'!$G$152</f>
        <v>0</v>
      </c>
      <c r="I32" s="23"/>
      <c r="J32" s="28">
        <f>+SUMIFS('IS 2024'!$V:$V,'IS 2024'!$A:$A,$A32)</f>
        <v>0</v>
      </c>
      <c r="K32" s="28">
        <f>+J32/'RR 11-4-25'!$G$152</f>
        <v>0</v>
      </c>
      <c r="L32" s="28"/>
      <c r="M32" s="28"/>
      <c r="N32" s="28"/>
      <c r="O32" s="28"/>
      <c r="P32" s="28"/>
      <c r="Q32" s="28"/>
      <c r="R32" s="28"/>
      <c r="S32" s="28">
        <f>+$W32*'RR 11-4-25'!$G$152</f>
        <v>38100</v>
      </c>
      <c r="T32" s="28">
        <f>+S32/'RR 11-4-25'!$G$152</f>
        <v>300</v>
      </c>
      <c r="V32" s="178"/>
      <c r="W32" s="189">
        <v>300</v>
      </c>
    </row>
    <row r="33" spans="1:50" x14ac:dyDescent="0.3">
      <c r="A33" s="22"/>
      <c r="B33" s="26" t="s">
        <v>273</v>
      </c>
      <c r="C33" s="24"/>
      <c r="D33" s="29">
        <f>+SUM(D22:D32)</f>
        <v>0</v>
      </c>
      <c r="E33" s="29">
        <f>+D33/'RR 11-4-25'!$G$152</f>
        <v>0</v>
      </c>
      <c r="F33" s="24"/>
      <c r="G33" s="29">
        <f>+SUM(G22:G32)</f>
        <v>0</v>
      </c>
      <c r="H33" s="29">
        <f>+G33/'RR 11-4-25'!$G$152</f>
        <v>0</v>
      </c>
      <c r="I33" s="24"/>
      <c r="J33" s="29">
        <f>+SUM(J22:J32)</f>
        <v>0</v>
      </c>
      <c r="K33" s="29">
        <f>+J33/'RR 11-4-25'!$G$152</f>
        <v>0</v>
      </c>
      <c r="L33" s="29"/>
      <c r="M33" s="29">
        <f t="shared" ref="M33:Q33" si="8">+SUM(M22:M32)</f>
        <v>930838.17999999993</v>
      </c>
      <c r="N33" s="29">
        <f t="shared" ref="N33" si="9">+SUM(N22:N32)</f>
        <v>960950.32</v>
      </c>
      <c r="O33" s="29">
        <f t="shared" si="8"/>
        <v>954974.07999999984</v>
      </c>
      <c r="P33" s="29">
        <f t="shared" ref="P33" si="10">+SUM(P22:P32)</f>
        <v>922325.58000000007</v>
      </c>
      <c r="Q33" s="29">
        <f t="shared" si="8"/>
        <v>868703.28</v>
      </c>
      <c r="R33" s="29"/>
      <c r="S33" s="29">
        <f>+SUM(S22:S32)</f>
        <v>874070.34317608003</v>
      </c>
      <c r="T33" s="29">
        <f>+S33/'RR 11-4-25'!$G$152</f>
        <v>6882.4436470557484</v>
      </c>
      <c r="V33" s="178"/>
      <c r="X33" s="57"/>
    </row>
    <row r="34" spans="1:50" s="36" customFormat="1" ht="13.5" x14ac:dyDescent="0.25">
      <c r="A34" s="32"/>
      <c r="B34" s="33" t="s">
        <v>325</v>
      </c>
      <c r="C34" s="34"/>
      <c r="D34" s="174" t="str">
        <f>+IFERROR(D33/D19,"NA")</f>
        <v>NA</v>
      </c>
      <c r="E34" s="35"/>
      <c r="F34" s="34"/>
      <c r="G34" s="174" t="str">
        <f>+IFERROR(G33/G19,"NA")</f>
        <v>NA</v>
      </c>
      <c r="H34" s="35"/>
      <c r="I34" s="34"/>
      <c r="J34" s="174" t="str">
        <f>+IFERROR(J33/J19,"NA")</f>
        <v>NA</v>
      </c>
      <c r="K34" s="35"/>
      <c r="L34" s="35"/>
      <c r="M34" s="35"/>
      <c r="N34" s="35"/>
      <c r="O34" s="35"/>
      <c r="P34" s="35"/>
      <c r="Q34" s="35"/>
      <c r="R34" s="35"/>
      <c r="S34" s="37">
        <f>+S33/S19</f>
        <v>0.50377955877812231</v>
      </c>
      <c r="T34" s="35"/>
      <c r="V34" s="181"/>
    </row>
    <row r="35" spans="1:50" ht="5.15" customHeight="1" x14ac:dyDescent="0.3">
      <c r="A35" s="22"/>
      <c r="B35" s="23"/>
      <c r="C35" s="23"/>
      <c r="D35" s="28"/>
      <c r="E35" s="28"/>
      <c r="F35" s="23"/>
      <c r="G35" s="28"/>
      <c r="H35" s="28"/>
      <c r="I35" s="23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V35" s="178"/>
    </row>
    <row r="36" spans="1:50" s="239" customFormat="1" ht="18" customHeight="1" thickBot="1" x14ac:dyDescent="0.3">
      <c r="A36" s="236"/>
      <c r="B36" s="237" t="s">
        <v>317</v>
      </c>
      <c r="C36" s="237"/>
      <c r="D36" s="238">
        <f>+D19-D33</f>
        <v>0</v>
      </c>
      <c r="E36" s="238">
        <f t="shared" ref="E36" si="11">+E19-E33</f>
        <v>0</v>
      </c>
      <c r="F36" s="237"/>
      <c r="G36" s="238">
        <f>+G19-G33</f>
        <v>0</v>
      </c>
      <c r="H36" s="238">
        <f t="shared" ref="H36" si="12">+H19-H33</f>
        <v>0</v>
      </c>
      <c r="I36" s="237"/>
      <c r="J36" s="238">
        <f>+J19-J33</f>
        <v>0</v>
      </c>
      <c r="K36" s="238">
        <f t="shared" ref="K36" si="13">+K19-K33</f>
        <v>0</v>
      </c>
      <c r="L36" s="238"/>
      <c r="M36" s="238">
        <f t="shared" ref="M36:Q36" si="14">+M19-M33</f>
        <v>503607.95000000019</v>
      </c>
      <c r="N36" s="238">
        <f t="shared" ref="N36" si="15">+N19-N33</f>
        <v>463354.54000000015</v>
      </c>
      <c r="O36" s="238">
        <f t="shared" si="14"/>
        <v>461545.76</v>
      </c>
      <c r="P36" s="238">
        <f t="shared" ref="P36" si="16">+P19-P33</f>
        <v>610489.80000000005</v>
      </c>
      <c r="Q36" s="238">
        <f t="shared" si="14"/>
        <v>793293.47999999975</v>
      </c>
      <c r="R36" s="238"/>
      <c r="S36" s="238">
        <f>+S19-S33</f>
        <v>860955.08202391991</v>
      </c>
      <c r="T36" s="238">
        <f t="shared" ref="T36" si="17">+T19-T33</f>
        <v>6779.1738742040943</v>
      </c>
      <c r="V36" s="240"/>
    </row>
    <row r="37" spans="1:50" ht="5.15" customHeight="1" thickTop="1" x14ac:dyDescent="0.3">
      <c r="V37" s="178"/>
    </row>
    <row r="38" spans="1:50" ht="15.5" x14ac:dyDescent="0.35">
      <c r="B38" s="62" t="s">
        <v>346</v>
      </c>
      <c r="V38" s="178"/>
      <c r="Y38" s="62" t="s">
        <v>347</v>
      </c>
      <c r="AF38" s="202">
        <v>2026</v>
      </c>
      <c r="AG38" s="203"/>
      <c r="AH38" s="204"/>
      <c r="AJ38" s="202">
        <v>2025</v>
      </c>
      <c r="AK38" s="203"/>
      <c r="AL38" s="204"/>
      <c r="AN38" s="202">
        <v>2024</v>
      </c>
      <c r="AO38" s="203"/>
      <c r="AP38" s="204"/>
      <c r="AR38" s="202">
        <v>2023</v>
      </c>
      <c r="AS38" s="203"/>
      <c r="AT38" s="204"/>
      <c r="AV38" s="202">
        <v>2022</v>
      </c>
      <c r="AW38" s="203"/>
      <c r="AX38" s="204"/>
    </row>
    <row r="39" spans="1:50" x14ac:dyDescent="0.3">
      <c r="B39" s="57"/>
      <c r="V39" s="182"/>
      <c r="W39" s="57"/>
      <c r="AA39" s="30" t="s">
        <v>326</v>
      </c>
      <c r="AB39" s="30"/>
      <c r="AD39" s="25" t="s">
        <v>505</v>
      </c>
    </row>
    <row r="40" spans="1:50" x14ac:dyDescent="0.3">
      <c r="B40" s="57"/>
      <c r="G40" s="46"/>
      <c r="M40" s="46"/>
      <c r="N40" s="46"/>
      <c r="O40" s="46"/>
      <c r="P40" s="46"/>
      <c r="Q40" s="46"/>
      <c r="W40" s="57"/>
      <c r="Y40" s="25" t="s">
        <v>330</v>
      </c>
      <c r="AA40" s="206">
        <v>11000000</v>
      </c>
      <c r="AB40" s="127"/>
      <c r="AD40" s="197" t="s">
        <v>502</v>
      </c>
      <c r="AE40" s="197"/>
      <c r="AF40" s="185">
        <f>+(1+AVERAGE(AJ44:AN44))*AJ40</f>
        <v>9442060.9602190219</v>
      </c>
      <c r="AJ40" s="185">
        <v>9143000</v>
      </c>
      <c r="AN40" s="185">
        <v>8958200</v>
      </c>
      <c r="AR40" s="185">
        <v>8574168</v>
      </c>
      <c r="AV40" s="185">
        <v>7794699</v>
      </c>
    </row>
    <row r="41" spans="1:50" x14ac:dyDescent="0.3">
      <c r="B41" s="57"/>
      <c r="G41" s="46"/>
      <c r="V41" s="30"/>
      <c r="W41" s="57"/>
      <c r="Y41" s="25" t="s">
        <v>329</v>
      </c>
      <c r="Z41" s="63">
        <v>0.8</v>
      </c>
      <c r="AA41" s="127">
        <f>+Z41*AA40</f>
        <v>8800000</v>
      </c>
      <c r="AB41" s="206"/>
      <c r="AD41" s="197" t="s">
        <v>503</v>
      </c>
      <c r="AE41" s="197"/>
      <c r="AF41" s="185">
        <f>+(1+$AJ45)*AJ41</f>
        <v>9331612.2658569813</v>
      </c>
      <c r="AJ41" s="185">
        <v>9143000</v>
      </c>
      <c r="AN41" s="185">
        <v>8958200</v>
      </c>
      <c r="AR41" s="185">
        <v>9103200</v>
      </c>
      <c r="AV41" s="185">
        <v>8947800</v>
      </c>
    </row>
    <row r="42" spans="1:50" x14ac:dyDescent="0.3">
      <c r="B42" s="58"/>
      <c r="G42" s="46"/>
      <c r="V42" s="64"/>
      <c r="W42" s="57"/>
      <c r="Y42" s="25" t="s">
        <v>328</v>
      </c>
      <c r="Z42" s="207">
        <f>+$AG$57</f>
        <v>17.741199999999999</v>
      </c>
      <c r="AA42" s="127">
        <f>+(Z42/1000)*AA41</f>
        <v>156122.56</v>
      </c>
      <c r="AB42" s="127"/>
    </row>
    <row r="43" spans="1:50" x14ac:dyDescent="0.3">
      <c r="P43" s="25" t="s">
        <v>343</v>
      </c>
      <c r="V43" s="30"/>
      <c r="W43" s="57"/>
      <c r="Y43" s="25" t="s">
        <v>518</v>
      </c>
      <c r="AA43" s="127">
        <f>+AH62</f>
        <v>3379.2</v>
      </c>
      <c r="AB43" s="206"/>
      <c r="AD43" s="25" t="s">
        <v>504</v>
      </c>
    </row>
    <row r="44" spans="1:50" x14ac:dyDescent="0.3">
      <c r="D44" s="176"/>
      <c r="E44" s="176"/>
      <c r="F44" s="176"/>
      <c r="G44" s="176"/>
      <c r="H44" s="176"/>
      <c r="I44" s="176"/>
      <c r="J44" s="176"/>
      <c r="K44" s="176"/>
      <c r="L44" s="176"/>
      <c r="O44" s="47"/>
      <c r="P44" s="176"/>
      <c r="Q44" s="176"/>
      <c r="R44" s="176"/>
      <c r="S44" s="176"/>
      <c r="T44" s="190" t="s">
        <v>323</v>
      </c>
      <c r="U44" s="48"/>
      <c r="Y44" s="25" t="s">
        <v>331</v>
      </c>
      <c r="AA44" s="127">
        <f>+SUM(AA42:AA43)</f>
        <v>159501.76000000001</v>
      </c>
      <c r="AB44" s="127"/>
      <c r="AD44" s="197" t="s">
        <v>502</v>
      </c>
      <c r="AE44" s="197"/>
      <c r="AF44" s="56">
        <f>+AF40/AJ40-1</f>
        <v>3.2709281441432925E-2</v>
      </c>
      <c r="AJ44" s="56">
        <f>+AJ40/AN40-1</f>
        <v>2.0629144247728437E-2</v>
      </c>
      <c r="AN44" s="56">
        <f>+AN40/AR40-1</f>
        <v>4.4789418635137634E-2</v>
      </c>
      <c r="AR44" s="56">
        <f>+AR40/AV40-1</f>
        <v>9.9999884536914108E-2</v>
      </c>
    </row>
    <row r="45" spans="1:50" x14ac:dyDescent="0.3">
      <c r="O45" s="49"/>
      <c r="P45" s="25" t="s">
        <v>339</v>
      </c>
      <c r="Q45" s="177">
        <v>5.7500000000000002E-2</v>
      </c>
      <c r="S45" s="127">
        <f>+ROUND(S36/Q45,-4)</f>
        <v>14970000</v>
      </c>
      <c r="T45" s="191">
        <f>+ROUND(S45/'RR 11-4-25'!$G$152,-3)</f>
        <v>118000</v>
      </c>
      <c r="U45" s="50"/>
      <c r="Y45" s="25" t="s">
        <v>327</v>
      </c>
      <c r="Z45" s="63">
        <v>-0.04</v>
      </c>
      <c r="AA45" s="38">
        <f>+Z45*AA44</f>
        <v>-6380.0704000000005</v>
      </c>
      <c r="AB45" s="38"/>
      <c r="AD45" s="197" t="s">
        <v>503</v>
      </c>
      <c r="AE45" s="197"/>
      <c r="AF45" s="56">
        <f t="shared" ref="AF45" si="18">+AF41/AJ41-1</f>
        <v>2.0629144247728437E-2</v>
      </c>
      <c r="AJ45" s="56">
        <f t="shared" ref="AJ45" si="19">+AJ41/AN41-1</f>
        <v>2.0629144247728437E-2</v>
      </c>
      <c r="AN45" s="56">
        <f>+AN41/AR41-1</f>
        <v>-1.5928464715704416E-2</v>
      </c>
      <c r="AR45" s="56">
        <f>+AR41/AV41-1</f>
        <v>1.7367397572587651E-2</v>
      </c>
    </row>
    <row r="46" spans="1:50" ht="15.5" x14ac:dyDescent="0.35">
      <c r="O46" s="49"/>
      <c r="P46" s="25" t="s">
        <v>338</v>
      </c>
      <c r="Q46" s="247">
        <f>+S46/S45</f>
        <v>0.70140280561122248</v>
      </c>
      <c r="S46" s="241">
        <v>10500000</v>
      </c>
      <c r="T46" s="191">
        <f>+ROUND(S46/'RR 11-4-25'!$G$152,-3)</f>
        <v>83000</v>
      </c>
      <c r="U46" s="50"/>
      <c r="Y46" s="25" t="s">
        <v>332</v>
      </c>
      <c r="AA46" s="127">
        <f>+SUM(AA44:AA45)</f>
        <v>153121.68960000001</v>
      </c>
      <c r="AB46" s="127"/>
    </row>
    <row r="47" spans="1:50" x14ac:dyDescent="0.3">
      <c r="O47" s="49"/>
      <c r="P47" s="195"/>
      <c r="U47" s="50"/>
    </row>
    <row r="48" spans="1:50" x14ac:dyDescent="0.3">
      <c r="O48" s="49"/>
      <c r="P48" s="195" t="s">
        <v>334</v>
      </c>
      <c r="S48" s="192" t="s">
        <v>487</v>
      </c>
      <c r="U48" s="50"/>
      <c r="AF48" s="30" t="s">
        <v>329</v>
      </c>
      <c r="AG48" s="30" t="s">
        <v>512</v>
      </c>
      <c r="AH48" s="30" t="s">
        <v>331</v>
      </c>
      <c r="AJ48" s="30" t="s">
        <v>329</v>
      </c>
      <c r="AK48" s="30" t="s">
        <v>512</v>
      </c>
      <c r="AL48" s="30" t="s">
        <v>331</v>
      </c>
      <c r="AN48" s="30" t="s">
        <v>329</v>
      </c>
      <c r="AO48" s="30" t="s">
        <v>512</v>
      </c>
      <c r="AP48" s="30" t="s">
        <v>331</v>
      </c>
      <c r="AR48" s="30" t="s">
        <v>329</v>
      </c>
      <c r="AS48" s="30" t="s">
        <v>512</v>
      </c>
      <c r="AT48" s="30" t="s">
        <v>331</v>
      </c>
      <c r="AV48" s="30" t="s">
        <v>329</v>
      </c>
      <c r="AW48" s="30" t="s">
        <v>512</v>
      </c>
      <c r="AX48" s="30" t="s">
        <v>331</v>
      </c>
    </row>
    <row r="49" spans="4:50" x14ac:dyDescent="0.3">
      <c r="O49" s="49"/>
      <c r="P49" s="195" t="s">
        <v>485</v>
      </c>
      <c r="S49" s="51">
        <f>+SUMIFS($Z$51:$Z$55,$Y$51:$Y$55,$S$48)</f>
        <v>3.5499999999999997E-2</v>
      </c>
      <c r="U49" s="50"/>
      <c r="AD49" s="25" t="s">
        <v>1011</v>
      </c>
      <c r="AF49" s="185">
        <f>+AF$40</f>
        <v>9442060.9602190219</v>
      </c>
      <c r="AG49" s="200">
        <v>11.1919</v>
      </c>
      <c r="AH49" s="185">
        <f>+(AG49/1000)*AF49</f>
        <v>105674.60206067529</v>
      </c>
      <c r="AJ49" s="185">
        <f>+AJ$40</f>
        <v>9143000</v>
      </c>
      <c r="AK49" s="200">
        <v>11.1919</v>
      </c>
      <c r="AL49" s="185">
        <f>+(AK49/1000)*AJ49</f>
        <v>102327.54170000002</v>
      </c>
      <c r="AN49" s="185">
        <f>+AN$40</f>
        <v>8958200</v>
      </c>
      <c r="AO49" s="200">
        <v>11.3169</v>
      </c>
      <c r="AP49" s="185">
        <f>+(AO49/1000)*AN49</f>
        <v>101379.05358000001</v>
      </c>
      <c r="AR49" s="185">
        <f>+AR$40</f>
        <v>8574168</v>
      </c>
      <c r="AS49" s="200">
        <v>11.3169</v>
      </c>
      <c r="AT49" s="185">
        <f>+(AS49/1000)*AR49</f>
        <v>97033.001839200006</v>
      </c>
      <c r="AV49" s="185">
        <f>+AV$40</f>
        <v>7794699</v>
      </c>
      <c r="AW49" s="200">
        <v>11.3169</v>
      </c>
      <c r="AX49" s="185">
        <f>+(AW49/1000)*AV49</f>
        <v>88211.829113100015</v>
      </c>
    </row>
    <row r="50" spans="4:50" x14ac:dyDescent="0.3">
      <c r="O50" s="49"/>
      <c r="P50" s="195" t="s">
        <v>336</v>
      </c>
      <c r="S50" s="193">
        <v>0.02</v>
      </c>
      <c r="U50" s="50"/>
      <c r="Y50" s="25" t="s">
        <v>491</v>
      </c>
      <c r="AD50" s="25" t="s">
        <v>509</v>
      </c>
      <c r="AF50" s="185">
        <f t="shared" ref="AF50:AF51" si="20">+AF$40</f>
        <v>9442060.9602190219</v>
      </c>
      <c r="AG50" s="200">
        <v>0.17929999999999999</v>
      </c>
      <c r="AH50" s="185">
        <f t="shared" ref="AH50:AH55" si="21">+(AG50/1000)*AF50</f>
        <v>1692.9615301672707</v>
      </c>
      <c r="AJ50" s="185">
        <f t="shared" ref="AJ50:AJ51" si="22">+AJ$40</f>
        <v>9143000</v>
      </c>
      <c r="AK50" s="200">
        <v>0.17929999999999999</v>
      </c>
      <c r="AL50" s="185">
        <f t="shared" ref="AL50:AL55" si="23">+(AK50/1000)*AJ50</f>
        <v>1639.3398999999999</v>
      </c>
      <c r="AN50" s="185">
        <f t="shared" ref="AN50:AN51" si="24">+AN$40</f>
        <v>8958200</v>
      </c>
      <c r="AO50" s="200">
        <v>0.17929999999999999</v>
      </c>
      <c r="AP50" s="185">
        <f t="shared" ref="AP50:AP55" si="25">+(AO50/1000)*AN50</f>
        <v>1606.20526</v>
      </c>
      <c r="AR50" s="185">
        <f t="shared" ref="AR50:AR51" si="26">+AR$40</f>
        <v>8574168</v>
      </c>
      <c r="AS50" s="200">
        <v>0.17929999999999999</v>
      </c>
      <c r="AT50" s="185">
        <f t="shared" ref="AT50:AT55" si="27">+(AS50/1000)*AR50</f>
        <v>1537.3483223999999</v>
      </c>
      <c r="AV50" s="185">
        <f t="shared" ref="AV50:AV51" si="28">+AV$40</f>
        <v>7794699</v>
      </c>
      <c r="AW50" s="200">
        <v>0.19739999999999999</v>
      </c>
      <c r="AX50" s="185">
        <f t="shared" ref="AX50:AX54" si="29">+(AW50/1000)*AV50</f>
        <v>1538.6735825999999</v>
      </c>
    </row>
    <row r="51" spans="4:50" x14ac:dyDescent="0.3">
      <c r="O51" s="49"/>
      <c r="P51" s="195" t="s">
        <v>486</v>
      </c>
      <c r="S51" s="51">
        <f>+SUM(S49:S50)</f>
        <v>5.5499999999999994E-2</v>
      </c>
      <c r="U51" s="50"/>
      <c r="Y51" s="25" t="s">
        <v>487</v>
      </c>
      <c r="Z51" s="51">
        <v>3.5499999999999997E-2</v>
      </c>
      <c r="AD51" s="25" t="s">
        <v>510</v>
      </c>
      <c r="AF51" s="185">
        <f t="shared" si="20"/>
        <v>9442060.9602190219</v>
      </c>
      <c r="AG51" s="200">
        <v>2.7E-2</v>
      </c>
      <c r="AH51" s="185">
        <f t="shared" si="21"/>
        <v>254.93564592591358</v>
      </c>
      <c r="AJ51" s="185">
        <f t="shared" si="22"/>
        <v>9143000</v>
      </c>
      <c r="AK51" s="200">
        <v>2.7E-2</v>
      </c>
      <c r="AL51" s="185">
        <f t="shared" si="23"/>
        <v>246.86099999999999</v>
      </c>
      <c r="AN51" s="185">
        <f t="shared" si="24"/>
        <v>8958200</v>
      </c>
      <c r="AO51" s="200">
        <v>2.8799999999999999E-2</v>
      </c>
      <c r="AP51" s="185">
        <f t="shared" si="25"/>
        <v>257.99615999999997</v>
      </c>
      <c r="AR51" s="185">
        <f t="shared" si="26"/>
        <v>8574168</v>
      </c>
      <c r="AS51" s="200">
        <v>2.8799999999999999E-2</v>
      </c>
      <c r="AT51" s="185">
        <f t="shared" si="27"/>
        <v>246.9360384</v>
      </c>
      <c r="AV51" s="185">
        <f t="shared" si="28"/>
        <v>7794699</v>
      </c>
      <c r="AW51" s="200">
        <v>3.2000000000000001E-2</v>
      </c>
      <c r="AX51" s="185">
        <f t="shared" si="29"/>
        <v>249.43036799999999</v>
      </c>
    </row>
    <row r="52" spans="4:50" x14ac:dyDescent="0.3">
      <c r="O52" s="49"/>
      <c r="P52" s="195"/>
      <c r="U52" s="50"/>
      <c r="Y52" s="25" t="s">
        <v>335</v>
      </c>
      <c r="Z52" s="51">
        <v>3.7139999999999999E-2</v>
      </c>
      <c r="AD52" s="25" t="s">
        <v>506</v>
      </c>
      <c r="AF52" s="185">
        <f>+AF$41</f>
        <v>9331612.2658569813</v>
      </c>
      <c r="AG52" s="200">
        <v>0.748</v>
      </c>
      <c r="AH52" s="185">
        <f t="shared" si="21"/>
        <v>6980.0459748610219</v>
      </c>
      <c r="AJ52" s="185">
        <f>+AJ$41</f>
        <v>9143000</v>
      </c>
      <c r="AK52" s="200">
        <v>0.748</v>
      </c>
      <c r="AL52" s="185">
        <f t="shared" si="23"/>
        <v>6838.9639999999999</v>
      </c>
      <c r="AN52" s="185">
        <f>+AN$41</f>
        <v>8958200</v>
      </c>
      <c r="AO52" s="200">
        <v>0.748</v>
      </c>
      <c r="AP52" s="185">
        <f t="shared" si="25"/>
        <v>6700.7335999999996</v>
      </c>
      <c r="AR52" s="185">
        <f>+AR$41</f>
        <v>9103200</v>
      </c>
      <c r="AS52" s="200">
        <v>0.748</v>
      </c>
      <c r="AT52" s="185">
        <f t="shared" si="27"/>
        <v>6809.1935999999996</v>
      </c>
      <c r="AV52" s="185">
        <f>+AV$41</f>
        <v>8947800</v>
      </c>
      <c r="AW52" s="200">
        <v>0.748</v>
      </c>
      <c r="AX52" s="185">
        <f t="shared" si="29"/>
        <v>6692.9543999999996</v>
      </c>
    </row>
    <row r="53" spans="4:50" x14ac:dyDescent="0.3">
      <c r="O53" s="49"/>
      <c r="P53" s="195" t="s">
        <v>337</v>
      </c>
      <c r="S53" s="194">
        <f>+S36/(S51*S46)</f>
        <v>1.4774003981534449</v>
      </c>
      <c r="U53" s="50"/>
      <c r="Y53" s="25" t="s">
        <v>488</v>
      </c>
      <c r="Z53" s="51">
        <v>3.9010000000000003E-2</v>
      </c>
      <c r="AD53" s="25" t="s">
        <v>508</v>
      </c>
      <c r="AF53" s="185">
        <f>+AF$41</f>
        <v>9331612.2658569813</v>
      </c>
      <c r="AG53" s="200">
        <v>1.5</v>
      </c>
      <c r="AH53" s="185">
        <f t="shared" si="21"/>
        <v>13997.418398785472</v>
      </c>
      <c r="AJ53" s="185">
        <f>+AJ$41</f>
        <v>9143000</v>
      </c>
      <c r="AK53" s="200">
        <v>1.5</v>
      </c>
      <c r="AL53" s="185">
        <f t="shared" si="23"/>
        <v>13714.5</v>
      </c>
      <c r="AN53" s="185">
        <f>+AN$41</f>
        <v>8958200</v>
      </c>
      <c r="AO53" s="200">
        <v>1.5</v>
      </c>
      <c r="AP53" s="185">
        <f t="shared" si="25"/>
        <v>13437.300000000001</v>
      </c>
      <c r="AR53" s="185">
        <f>+AR$41</f>
        <v>9103200</v>
      </c>
      <c r="AS53" s="200">
        <v>1.5</v>
      </c>
      <c r="AT53" s="185">
        <f t="shared" si="27"/>
        <v>13654.800000000001</v>
      </c>
      <c r="AV53" s="185">
        <f>+AV$41</f>
        <v>8947800</v>
      </c>
      <c r="AW53" s="200">
        <v>1.5</v>
      </c>
      <c r="AX53" s="185">
        <f t="shared" si="29"/>
        <v>13421.7</v>
      </c>
    </row>
    <row r="54" spans="4:50" x14ac:dyDescent="0.3">
      <c r="O54" s="49"/>
      <c r="P54" s="195"/>
      <c r="U54" s="50"/>
      <c r="Y54" s="25" t="s">
        <v>489</v>
      </c>
      <c r="Z54" s="51">
        <v>4.1169999999999998E-2</v>
      </c>
      <c r="AD54" s="25" t="s">
        <v>507</v>
      </c>
      <c r="AF54" s="185">
        <f t="shared" ref="AF54:AF55" si="30">+AF$41</f>
        <v>9331612.2658569813</v>
      </c>
      <c r="AG54" s="200">
        <v>3.0950000000000002</v>
      </c>
      <c r="AH54" s="185">
        <f t="shared" si="21"/>
        <v>28881.339962827358</v>
      </c>
      <c r="AJ54" s="185">
        <f t="shared" ref="AJ54:AJ55" si="31">+AJ$41</f>
        <v>9143000</v>
      </c>
      <c r="AK54" s="200">
        <v>3.0950000000000002</v>
      </c>
      <c r="AL54" s="185">
        <f t="shared" si="23"/>
        <v>28297.584999999999</v>
      </c>
      <c r="AN54" s="185">
        <f t="shared" ref="AN54:AN55" si="32">+AN$41</f>
        <v>8958200</v>
      </c>
      <c r="AO54" s="200">
        <v>3.0920000000000001</v>
      </c>
      <c r="AP54" s="185">
        <f t="shared" si="25"/>
        <v>27698.754400000002</v>
      </c>
      <c r="AR54" s="185">
        <f t="shared" ref="AR54:AR55" si="33">+AR$41</f>
        <v>9103200</v>
      </c>
      <c r="AS54" s="200">
        <v>3.1829999999999998</v>
      </c>
      <c r="AT54" s="185">
        <f t="shared" si="27"/>
        <v>28975.485599999996</v>
      </c>
      <c r="AV54" s="185">
        <f t="shared" ref="AV54" si="34">+AV$41</f>
        <v>8947800</v>
      </c>
      <c r="AW54" s="200">
        <v>3.2360000000000002</v>
      </c>
      <c r="AX54" s="185">
        <f t="shared" si="29"/>
        <v>28955.0808</v>
      </c>
    </row>
    <row r="55" spans="4:50" x14ac:dyDescent="0.3">
      <c r="O55" s="49"/>
      <c r="P55" s="195" t="s">
        <v>333</v>
      </c>
      <c r="U55" s="50"/>
      <c r="Y55" s="25" t="s">
        <v>490</v>
      </c>
      <c r="Z55" s="183">
        <v>3.9479E-2</v>
      </c>
      <c r="AD55" s="25" t="s">
        <v>1012</v>
      </c>
      <c r="AF55" s="185">
        <f t="shared" si="30"/>
        <v>9331612.2658569813</v>
      </c>
      <c r="AG55" s="200">
        <v>1</v>
      </c>
      <c r="AH55" s="185">
        <f t="shared" si="21"/>
        <v>9331.612265856982</v>
      </c>
      <c r="AJ55" s="185">
        <f t="shared" si="31"/>
        <v>9143000</v>
      </c>
      <c r="AK55" s="200">
        <v>1</v>
      </c>
      <c r="AL55" s="185">
        <f t="shared" si="23"/>
        <v>9143</v>
      </c>
      <c r="AN55" s="185">
        <f t="shared" si="32"/>
        <v>8958200</v>
      </c>
      <c r="AO55" s="200">
        <v>1</v>
      </c>
      <c r="AP55" s="185">
        <f t="shared" si="25"/>
        <v>8958.2000000000007</v>
      </c>
      <c r="AR55" s="185">
        <f t="shared" si="33"/>
        <v>9103200</v>
      </c>
      <c r="AS55" s="200">
        <v>1</v>
      </c>
      <c r="AT55" s="185">
        <f t="shared" si="27"/>
        <v>9103.2000000000007</v>
      </c>
      <c r="AV55" s="185"/>
      <c r="AW55" s="200"/>
      <c r="AX55" s="185"/>
    </row>
    <row r="56" spans="4:50" x14ac:dyDescent="0.3">
      <c r="O56" s="49"/>
      <c r="P56" s="262">
        <v>25</v>
      </c>
      <c r="Q56" s="262"/>
      <c r="S56" s="194">
        <f>+S$36/(-PMT(S$51/12,$P56*12,S$46,0,1)*12)</f>
        <v>1.1124347388922184</v>
      </c>
      <c r="U56" s="50"/>
      <c r="AG56" s="200"/>
      <c r="AK56" s="200"/>
      <c r="AO56" s="200"/>
      <c r="AS56" s="200"/>
      <c r="AW56" s="200"/>
    </row>
    <row r="57" spans="4:50" ht="15.5" x14ac:dyDescent="0.35">
      <c r="O57" s="49"/>
      <c r="P57" s="262">
        <v>30</v>
      </c>
      <c r="Q57" s="262"/>
      <c r="S57" s="194">
        <f>+S$36/(-PMT(S$51/12,$P57*12,S$46,0,1)*12)</f>
        <v>1.2023503573365972</v>
      </c>
      <c r="U57" s="50"/>
      <c r="AD57" s="198" t="s">
        <v>511</v>
      </c>
      <c r="AE57" s="198"/>
      <c r="AF57" s="198"/>
      <c r="AG57" s="201">
        <f>+SUM(AG49:AG56)</f>
        <v>17.741199999999999</v>
      </c>
      <c r="AH57" s="199">
        <f>+SUM(AH49:AH56)</f>
        <v>166812.91583909933</v>
      </c>
      <c r="AI57" s="198"/>
      <c r="AJ57" s="198"/>
      <c r="AK57" s="201">
        <f>+SUM(AK49:AK56)</f>
        <v>17.741199999999999</v>
      </c>
      <c r="AL57" s="199">
        <f>+SUM(AL49:AL56)</f>
        <v>162207.79160000003</v>
      </c>
      <c r="AM57" s="198"/>
      <c r="AN57" s="198"/>
      <c r="AO57" s="201">
        <f>+SUM(AO49:AO56)</f>
        <v>17.864999999999998</v>
      </c>
      <c r="AP57" s="199">
        <f>+SUM(AP49:AP56)</f>
        <v>160038.24300000002</v>
      </c>
      <c r="AQ57" s="198"/>
      <c r="AR57" s="198"/>
      <c r="AS57" s="201">
        <f>+SUM(AS49:AS56)</f>
        <v>17.956</v>
      </c>
      <c r="AT57" s="199">
        <f>+SUM(AT49:AT56)</f>
        <v>157359.96540000002</v>
      </c>
      <c r="AU57" s="198"/>
      <c r="AV57" s="198"/>
      <c r="AW57" s="201">
        <f>+SUM(AW49:AW56)</f>
        <v>17.0303</v>
      </c>
      <c r="AX57" s="199">
        <f>+SUM(AX49:AX56)</f>
        <v>139069.6682637</v>
      </c>
    </row>
    <row r="58" spans="4:50" x14ac:dyDescent="0.3">
      <c r="O58" s="49"/>
      <c r="U58" s="50"/>
    </row>
    <row r="59" spans="4:50" x14ac:dyDescent="0.3">
      <c r="O59" s="49"/>
      <c r="P59" s="25" t="s">
        <v>342</v>
      </c>
      <c r="S59" s="52">
        <f>+S36/S46</f>
        <v>8.1995722097516183E-2</v>
      </c>
      <c r="U59" s="50"/>
      <c r="AD59" s="25" t="s">
        <v>1009</v>
      </c>
      <c r="AH59" s="185">
        <v>0</v>
      </c>
      <c r="AL59" s="185">
        <v>0</v>
      </c>
      <c r="AP59" s="185">
        <v>0</v>
      </c>
      <c r="AT59" s="185">
        <v>0</v>
      </c>
      <c r="AX59" s="185">
        <v>0</v>
      </c>
    </row>
    <row r="60" spans="4:50" x14ac:dyDescent="0.3">
      <c r="D60" s="54"/>
      <c r="E60" s="54"/>
      <c r="F60" s="54"/>
      <c r="G60" s="54"/>
      <c r="H60" s="54"/>
      <c r="I60" s="54"/>
      <c r="J60" s="54"/>
      <c r="K60" s="54"/>
      <c r="L60" s="54"/>
      <c r="O60" s="53"/>
      <c r="P60" s="54"/>
      <c r="Q60" s="54"/>
      <c r="R60" s="54"/>
      <c r="S60" s="54"/>
      <c r="T60" s="54"/>
      <c r="U60" s="55"/>
      <c r="AD60" s="25" t="s">
        <v>1010</v>
      </c>
      <c r="AH60" s="185">
        <v>3379.2</v>
      </c>
      <c r="AL60" s="185">
        <v>3379.2</v>
      </c>
      <c r="AP60" s="185">
        <v>3379.2</v>
      </c>
      <c r="AT60" s="185">
        <v>3379.2</v>
      </c>
      <c r="AX60" s="185">
        <v>3379.2</v>
      </c>
    </row>
    <row r="62" spans="4:50" ht="15.5" x14ac:dyDescent="0.35">
      <c r="AD62" s="198" t="s">
        <v>513</v>
      </c>
      <c r="AE62" s="198"/>
      <c r="AF62" s="198"/>
      <c r="AG62" s="201"/>
      <c r="AH62" s="199">
        <f>+SUM(AH59:AH61)</f>
        <v>3379.2</v>
      </c>
      <c r="AI62" s="198"/>
      <c r="AJ62" s="198"/>
      <c r="AK62" s="201"/>
      <c r="AL62" s="199">
        <f>+SUM(AL59:AL61)</f>
        <v>3379.2</v>
      </c>
      <c r="AM62" s="198"/>
      <c r="AN62" s="198"/>
      <c r="AO62" s="201"/>
      <c r="AP62" s="199">
        <f>+SUM(AP59:AP61)</f>
        <v>3379.2</v>
      </c>
      <c r="AQ62" s="198"/>
      <c r="AR62" s="198"/>
      <c r="AS62" s="201"/>
      <c r="AT62" s="199">
        <f>+SUM(AT59:AT61)</f>
        <v>3379.2</v>
      </c>
      <c r="AU62" s="198"/>
      <c r="AV62" s="198"/>
      <c r="AW62" s="201"/>
      <c r="AX62" s="199">
        <f>+SUM(AX59:AX61)</f>
        <v>3379.2</v>
      </c>
    </row>
    <row r="65" spans="19:50" ht="15.5" x14ac:dyDescent="0.35">
      <c r="AD65" s="198" t="s">
        <v>514</v>
      </c>
      <c r="AE65" s="198"/>
      <c r="AF65" s="198"/>
      <c r="AG65" s="201"/>
      <c r="AH65" s="199">
        <f>+AH57+AH62</f>
        <v>170192.11583909934</v>
      </c>
      <c r="AI65" s="198"/>
      <c r="AJ65" s="198"/>
      <c r="AK65" s="201"/>
      <c r="AL65" s="199">
        <f>+AL57+AL62</f>
        <v>165586.99160000004</v>
      </c>
      <c r="AM65" s="198"/>
      <c r="AN65" s="198"/>
      <c r="AO65" s="201"/>
      <c r="AP65" s="199">
        <f>+AP57+AP62</f>
        <v>163417.44300000003</v>
      </c>
      <c r="AQ65" s="198"/>
      <c r="AR65" s="198"/>
      <c r="AS65" s="201"/>
      <c r="AT65" s="199">
        <f>+AT57+AT62</f>
        <v>160739.16540000003</v>
      </c>
      <c r="AU65" s="198"/>
      <c r="AV65" s="198"/>
      <c r="AW65" s="201"/>
      <c r="AX65" s="199">
        <f>+AX57+AX62</f>
        <v>142448.86826370002</v>
      </c>
    </row>
    <row r="67" spans="19:50" x14ac:dyDescent="0.3">
      <c r="AD67" s="25" t="s">
        <v>515</v>
      </c>
      <c r="AH67" s="185">
        <f>+-4%*AH65</f>
        <v>-6807.6846335639739</v>
      </c>
      <c r="AL67" s="185">
        <f>+-4%*AL65</f>
        <v>-6623.4796640000013</v>
      </c>
      <c r="AP67" s="185">
        <f>+-4%*AP65</f>
        <v>-6536.697720000001</v>
      </c>
      <c r="AT67" s="185">
        <f>+-4%*AT65</f>
        <v>-6429.566616000001</v>
      </c>
      <c r="AX67" s="185">
        <f>+-4%*AX65</f>
        <v>-5697.954730548001</v>
      </c>
    </row>
    <row r="69" spans="19:50" ht="15.5" x14ac:dyDescent="0.35">
      <c r="S69" s="188" t="s">
        <v>499</v>
      </c>
      <c r="AD69" s="198" t="s">
        <v>516</v>
      </c>
      <c r="AE69" s="198"/>
      <c r="AF69" s="198"/>
      <c r="AG69" s="201"/>
      <c r="AH69" s="199">
        <f>+SUM(AH65:AH68)</f>
        <v>163384.43120553537</v>
      </c>
      <c r="AI69" s="198"/>
      <c r="AJ69" s="198"/>
      <c r="AK69" s="201"/>
      <c r="AL69" s="199">
        <f>+SUM(AL65:AL68)</f>
        <v>158963.51193600002</v>
      </c>
      <c r="AM69" s="198"/>
      <c r="AN69" s="198"/>
      <c r="AO69" s="201"/>
      <c r="AP69" s="199">
        <f>+SUM(AP65:AP68)</f>
        <v>156880.74528000003</v>
      </c>
      <c r="AQ69" s="198"/>
      <c r="AR69" s="198"/>
      <c r="AS69" s="201"/>
      <c r="AT69" s="199">
        <f>+SUM(AT65:AT68)</f>
        <v>154309.59878400003</v>
      </c>
      <c r="AU69" s="198"/>
      <c r="AV69" s="198"/>
      <c r="AW69" s="201"/>
      <c r="AX69" s="199">
        <f>+SUM(AX65:AX68)</f>
        <v>136750.91353315202</v>
      </c>
    </row>
    <row r="71" spans="19:50" ht="15.5" x14ac:dyDescent="0.35">
      <c r="S71" s="184" t="s">
        <v>1008</v>
      </c>
      <c r="AD71" s="187" t="s">
        <v>517</v>
      </c>
      <c r="AE71" s="187"/>
      <c r="AF71" s="187"/>
      <c r="AG71" s="187"/>
      <c r="AH71" s="205">
        <f>+AH69/AL69-1</f>
        <v>2.7810905884585901E-2</v>
      </c>
      <c r="AI71" s="187"/>
      <c r="AJ71" s="187"/>
      <c r="AK71" s="187"/>
      <c r="AL71" s="205">
        <f>+AL69/AP69-1</f>
        <v>1.3276113982520155E-2</v>
      </c>
      <c r="AM71" s="187"/>
      <c r="AN71" s="187"/>
      <c r="AO71" s="187"/>
      <c r="AP71" s="205">
        <f>+AP69/AT69-1</f>
        <v>1.6662258966786858E-2</v>
      </c>
      <c r="AQ71" s="187"/>
      <c r="AR71" s="187"/>
      <c r="AS71" s="187"/>
      <c r="AT71" s="205">
        <f>+AT69/AX69-1</f>
        <v>0.12839903439907419</v>
      </c>
      <c r="AU71" s="187"/>
      <c r="AV71" s="187"/>
      <c r="AW71" s="187"/>
      <c r="AX71" s="187"/>
    </row>
    <row r="73" spans="19:50" x14ac:dyDescent="0.3">
      <c r="S73" s="25">
        <v>8.32</v>
      </c>
      <c r="T73" s="25" t="s">
        <v>495</v>
      </c>
    </row>
    <row r="74" spans="19:50" x14ac:dyDescent="0.3">
      <c r="S74" s="30">
        <v>1963</v>
      </c>
      <c r="T74" s="25" t="s">
        <v>501</v>
      </c>
    </row>
    <row r="75" spans="19:50" x14ac:dyDescent="0.3">
      <c r="S75" s="30">
        <f>+'RR 11-4-25'!$G$152</f>
        <v>127</v>
      </c>
      <c r="T75" s="25" t="s">
        <v>300</v>
      </c>
    </row>
    <row r="76" spans="19:50" x14ac:dyDescent="0.3">
      <c r="S76" s="30" t="s">
        <v>1006</v>
      </c>
      <c r="T76" s="25" t="s">
        <v>496</v>
      </c>
    </row>
    <row r="77" spans="19:50" x14ac:dyDescent="0.3">
      <c r="S77" s="185">
        <v>11370000</v>
      </c>
      <c r="T77" s="25" t="s">
        <v>497</v>
      </c>
    </row>
    <row r="78" spans="19:50" x14ac:dyDescent="0.3">
      <c r="S78" s="186">
        <v>45313</v>
      </c>
      <c r="T78" s="25" t="s">
        <v>498</v>
      </c>
    </row>
    <row r="79" spans="19:50" x14ac:dyDescent="0.3">
      <c r="S79" s="30" t="s">
        <v>1007</v>
      </c>
      <c r="T79" s="25" t="s">
        <v>416</v>
      </c>
    </row>
  </sheetData>
  <mergeCells count="3">
    <mergeCell ref="V8:V10"/>
    <mergeCell ref="P56:Q56"/>
    <mergeCell ref="P57:Q57"/>
  </mergeCells>
  <dataValidations disablePrompts="1" count="3">
    <dataValidation type="list" allowBlank="1" showInputMessage="1" showErrorMessage="1" sqref="W17:W18 W22:W28 W15" xr:uid="{B0695820-D30C-4F8C-AA3F-35C175BD9BAE}">
      <formula1>$M$5:$Q$5</formula1>
    </dataValidation>
    <dataValidation type="list" allowBlank="1" showInputMessage="1" showErrorMessage="1" sqref="W29" xr:uid="{46116EB1-9561-47E7-9E90-EF6D35BA1863}">
      <formula1>$AA$39:$AB$39</formula1>
    </dataValidation>
    <dataValidation type="list" allowBlank="1" showInputMessage="1" showErrorMessage="1" sqref="S48" xr:uid="{6911FDCA-1906-4AF9-8D3C-86EBEEE34B7C}">
      <formula1>$Y$51:$Y$55</formula1>
    </dataValidation>
  </dataValidations>
  <hyperlinks>
    <hyperlink ref="S71" r:id="rId1" xr:uid="{C3D7AB05-BFB9-4DB6-9D8F-14305DE05F55}"/>
  </hyperlinks>
  <pageMargins left="0.7" right="0.7" top="0.75" bottom="0.75" header="0.3" footer="0.3"/>
  <pageSetup scale="57" orientation="landscape" r:id="rId2"/>
  <ignoredErrors>
    <ignoredError sqref="D16 R16:S16 M16:Q16 L16 I16:J16 F16:G16 S29 N33:P3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A209-6041-4175-A5DF-41BA92A38699}">
  <sheetPr>
    <pageSetUpPr fitToPage="1"/>
  </sheetPr>
  <dimension ref="B2:V61"/>
  <sheetViews>
    <sheetView showGridLines="0" zoomScale="85" zoomScaleNormal="85" workbookViewId="0">
      <selection activeCell="M39" sqref="M39"/>
    </sheetView>
  </sheetViews>
  <sheetFormatPr defaultColWidth="8.7265625" defaultRowHeight="15" x14ac:dyDescent="0.3"/>
  <cols>
    <col min="1" max="1" width="8.7265625" style="25"/>
    <col min="2" max="2" width="45.54296875" style="25" customWidth="1"/>
    <col min="3" max="4" width="12.54296875" style="25" customWidth="1"/>
    <col min="5" max="5" width="8.7265625" style="25"/>
    <col min="6" max="6" width="30.54296875" style="25" customWidth="1"/>
    <col min="7" max="7" width="20.54296875" style="25" customWidth="1"/>
    <col min="8" max="9" width="12.54296875" style="25" customWidth="1"/>
    <col min="10" max="11" width="8.7265625" style="25"/>
    <col min="12" max="12" width="19.1796875" style="25" bestFit="1" customWidth="1"/>
    <col min="13" max="13" width="9.81640625" style="25" bestFit="1" customWidth="1"/>
    <col min="14" max="16384" width="8.7265625" style="25"/>
  </cols>
  <sheetData>
    <row r="2" spans="2:22" ht="22" x14ac:dyDescent="0.4">
      <c r="B2" s="44" t="s">
        <v>1004</v>
      </c>
      <c r="V2" s="59"/>
    </row>
    <row r="3" spans="2:22" ht="17.5" x14ac:dyDescent="0.35">
      <c r="B3" s="43" t="s">
        <v>401</v>
      </c>
      <c r="V3" s="59"/>
    </row>
    <row r="6" spans="2:22" ht="22.5" x14ac:dyDescent="0.45">
      <c r="B6" s="66" t="s">
        <v>465</v>
      </c>
      <c r="C6" s="67"/>
      <c r="D6" s="67"/>
      <c r="F6" s="66" t="s">
        <v>358</v>
      </c>
      <c r="G6" s="66"/>
      <c r="H6" s="67"/>
      <c r="I6" s="67"/>
    </row>
    <row r="7" spans="2:22" ht="5.15" customHeight="1" x14ac:dyDescent="0.3">
      <c r="B7" s="67"/>
      <c r="C7" s="67"/>
      <c r="D7" s="67"/>
    </row>
    <row r="8" spans="2:22" ht="3" customHeight="1" x14ac:dyDescent="0.3">
      <c r="B8" s="65"/>
      <c r="C8" s="65"/>
      <c r="D8" s="65"/>
      <c r="F8" s="65"/>
      <c r="G8" s="65"/>
      <c r="H8" s="65"/>
      <c r="I8" s="65"/>
    </row>
    <row r="9" spans="2:22" x14ac:dyDescent="0.3">
      <c r="B9" s="67"/>
      <c r="C9" s="126"/>
      <c r="D9" s="67"/>
    </row>
    <row r="10" spans="2:22" x14ac:dyDescent="0.3">
      <c r="B10" s="68" t="s">
        <v>348</v>
      </c>
      <c r="C10" s="69"/>
      <c r="D10" s="70" t="s">
        <v>323</v>
      </c>
      <c r="F10" s="78" t="s">
        <v>359</v>
      </c>
      <c r="G10" s="78"/>
      <c r="H10" s="69"/>
      <c r="I10" s="69"/>
    </row>
    <row r="11" spans="2:22" x14ac:dyDescent="0.3">
      <c r="B11" s="71" t="str">
        <f>+"Value at "&amp;TEXT(PROFORMA!$Q$45,"#.0%")&amp;" cap rate on Proforma NOI"</f>
        <v>Value at 5.8% cap rate on Proforma NOI</v>
      </c>
      <c r="C11" s="71">
        <f>+PROFORMA!$S$45</f>
        <v>14970000</v>
      </c>
      <c r="D11" s="71">
        <f>+ROUND(C11/'RR 11-4-25'!$G$152,-3)</f>
        <v>118000</v>
      </c>
      <c r="F11" s="79" t="s">
        <v>360</v>
      </c>
      <c r="G11" s="79"/>
      <c r="H11" s="71">
        <f>+C12</f>
        <v>10500000</v>
      </c>
      <c r="I11" s="80">
        <f>+H11/$H$12</f>
        <v>1</v>
      </c>
    </row>
    <row r="12" spans="2:22" x14ac:dyDescent="0.3">
      <c r="B12" s="71" t="s">
        <v>349</v>
      </c>
      <c r="C12" s="71">
        <f>+PROFORMA!$S$46</f>
        <v>10500000</v>
      </c>
      <c r="D12" s="71">
        <f>+ROUND(C12/'RR 11-4-25'!$G$152,-3)</f>
        <v>83000</v>
      </c>
      <c r="F12" s="81" t="s">
        <v>361</v>
      </c>
      <c r="G12" s="81"/>
      <c r="H12" s="82">
        <f>+H11</f>
        <v>10500000</v>
      </c>
      <c r="I12" s="83">
        <f t="shared" ref="I12" si="0">+H12/$H$12</f>
        <v>1</v>
      </c>
    </row>
    <row r="13" spans="2:22" x14ac:dyDescent="0.3">
      <c r="B13" s="69" t="s">
        <v>351</v>
      </c>
      <c r="C13" s="75">
        <f>+C12/C11</f>
        <v>0.70140280561122248</v>
      </c>
      <c r="D13" s="70"/>
    </row>
    <row r="14" spans="2:22" x14ac:dyDescent="0.3">
      <c r="B14" s="69"/>
      <c r="C14" s="72"/>
      <c r="D14" s="70"/>
      <c r="F14" s="78" t="s">
        <v>362</v>
      </c>
      <c r="G14" s="78"/>
      <c r="H14" s="69"/>
      <c r="I14" s="69"/>
    </row>
    <row r="15" spans="2:22" x14ac:dyDescent="0.3">
      <c r="B15" s="68" t="s">
        <v>354</v>
      </c>
      <c r="C15" s="72"/>
      <c r="D15" s="70"/>
      <c r="F15" s="79" t="s">
        <v>519</v>
      </c>
      <c r="G15" s="79"/>
      <c r="H15" s="208">
        <v>10300000</v>
      </c>
      <c r="I15" s="80">
        <f>+H15/$H$19</f>
        <v>0.98095238095238091</v>
      </c>
    </row>
    <row r="16" spans="2:22" x14ac:dyDescent="0.3">
      <c r="B16" s="69" t="s">
        <v>350</v>
      </c>
      <c r="C16" s="75">
        <f>+PROFORMA!$Q$45</f>
        <v>5.7500000000000002E-2</v>
      </c>
      <c r="D16" s="69"/>
      <c r="F16" s="79" t="s">
        <v>463</v>
      </c>
      <c r="G16" s="79"/>
      <c r="H16" s="71"/>
      <c r="I16" s="80">
        <f>+H16/$H$19</f>
        <v>0</v>
      </c>
    </row>
    <row r="17" spans="2:11" x14ac:dyDescent="0.3">
      <c r="B17" s="69" t="s">
        <v>353</v>
      </c>
      <c r="C17" s="71">
        <f>+PROFORMA!$S$36</f>
        <v>860955.08202391991</v>
      </c>
      <c r="D17" s="69"/>
      <c r="F17" s="79" t="s">
        <v>363</v>
      </c>
      <c r="G17" s="79"/>
      <c r="H17" s="71">
        <f>+$I$61</f>
        <v>224675</v>
      </c>
      <c r="I17" s="80">
        <v>0.02</v>
      </c>
    </row>
    <row r="18" spans="2:11" x14ac:dyDescent="0.3">
      <c r="B18" s="69" t="s">
        <v>334</v>
      </c>
      <c r="C18" s="73" t="str">
        <f>+PROFORMA!$S$48</f>
        <v>3-YR UST</v>
      </c>
      <c r="D18" s="69"/>
      <c r="F18" s="79" t="s">
        <v>464</v>
      </c>
      <c r="G18" s="79"/>
      <c r="H18" s="71">
        <f>+H19-SUM(H15:H17)</f>
        <v>-24675</v>
      </c>
      <c r="I18" s="80">
        <f>+H18/$H$19</f>
        <v>-2.3500000000000001E-3</v>
      </c>
    </row>
    <row r="19" spans="2:11" x14ac:dyDescent="0.3">
      <c r="B19" s="69" t="str">
        <f>+PROFORMA!$P$49</f>
        <v>Index Rate as of 11/11/2025</v>
      </c>
      <c r="C19" s="76">
        <f>+PROFORMA!S49</f>
        <v>3.5499999999999997E-2</v>
      </c>
      <c r="D19" s="69"/>
      <c r="F19" s="81" t="s">
        <v>364</v>
      </c>
      <c r="G19" s="81"/>
      <c r="H19" s="82">
        <f>+H12</f>
        <v>10500000</v>
      </c>
      <c r="I19" s="83">
        <f>+H19/$H$19</f>
        <v>1</v>
      </c>
    </row>
    <row r="20" spans="2:11" x14ac:dyDescent="0.3">
      <c r="B20" s="69" t="s">
        <v>336</v>
      </c>
      <c r="C20" s="76">
        <f>+PROFORMA!S50</f>
        <v>0.02</v>
      </c>
      <c r="D20" s="69"/>
    </row>
    <row r="21" spans="2:11" x14ac:dyDescent="0.3">
      <c r="B21" s="69" t="str">
        <f>+PROFORMA!$P$51</f>
        <v>Face Rate as of 11/11/2025</v>
      </c>
      <c r="C21" s="77">
        <f>+SUM(C19:C20)</f>
        <v>5.5499999999999994E-2</v>
      </c>
      <c r="D21" s="69"/>
      <c r="F21" s="78" t="s">
        <v>409</v>
      </c>
    </row>
    <row r="22" spans="2:11" x14ac:dyDescent="0.3">
      <c r="B22" s="69" t="s">
        <v>355</v>
      </c>
      <c r="C22" s="74">
        <f>+C17/(C21*C12)</f>
        <v>1.4774003981534449</v>
      </c>
      <c r="D22" s="69"/>
      <c r="F22" s="79" t="s">
        <v>1013</v>
      </c>
      <c r="G22" s="79"/>
      <c r="H22" s="71">
        <v>11370000</v>
      </c>
      <c r="I22" s="80">
        <f>+H22/$H$25</f>
        <v>0.98039215686274506</v>
      </c>
      <c r="K22" s="71">
        <f>+H22/'RR 11-4-25'!$G$152</f>
        <v>89527.559055118109</v>
      </c>
    </row>
    <row r="23" spans="2:11" x14ac:dyDescent="0.3">
      <c r="B23" s="69" t="s">
        <v>356</v>
      </c>
      <c r="C23" s="74">
        <f>+PROFORMA!S56</f>
        <v>1.1124347388922184</v>
      </c>
      <c r="D23" s="69"/>
      <c r="F23" s="79" t="s">
        <v>411</v>
      </c>
      <c r="G23" s="79"/>
      <c r="H23" s="71">
        <f>2%*H22</f>
        <v>227400</v>
      </c>
      <c r="I23" s="80">
        <f>+H23/$H$25</f>
        <v>1.9607843137254902E-2</v>
      </c>
      <c r="K23" s="71">
        <f>+H23/'RR 11-4-25'!$G$152</f>
        <v>1790.5511811023623</v>
      </c>
    </row>
    <row r="24" spans="2:11" x14ac:dyDescent="0.3">
      <c r="B24" s="69" t="s">
        <v>357</v>
      </c>
      <c r="C24" s="74">
        <f>+PROFORMA!S57</f>
        <v>1.2023503573365972</v>
      </c>
      <c r="D24" s="69"/>
      <c r="F24" s="79" t="s">
        <v>462</v>
      </c>
      <c r="G24" s="69"/>
      <c r="H24" s="71"/>
      <c r="I24" s="80">
        <f>+H24/$H$25</f>
        <v>0</v>
      </c>
      <c r="K24" s="71">
        <f>+H24/'RR 11-4-25'!$G$152</f>
        <v>0</v>
      </c>
    </row>
    <row r="25" spans="2:11" x14ac:dyDescent="0.3">
      <c r="B25" s="69" t="s">
        <v>352</v>
      </c>
      <c r="C25" s="75">
        <f>+C17/C12</f>
        <v>8.1995722097516183E-2</v>
      </c>
      <c r="D25" s="69"/>
      <c r="F25" s="81" t="s">
        <v>410</v>
      </c>
      <c r="G25" s="81"/>
      <c r="H25" s="82">
        <f>+SUM(H22:H24)</f>
        <v>11597400</v>
      </c>
      <c r="I25" s="83">
        <f>+H25/$H$25</f>
        <v>1</v>
      </c>
      <c r="K25" s="128">
        <f>+C11/H25-1</f>
        <v>0.29080656009105499</v>
      </c>
    </row>
    <row r="26" spans="2:11" x14ac:dyDescent="0.3">
      <c r="B26" s="69"/>
      <c r="C26" s="69"/>
      <c r="D26" s="71"/>
    </row>
    <row r="28" spans="2:11" ht="22.5" customHeight="1" x14ac:dyDescent="0.45">
      <c r="F28" s="66" t="s">
        <v>381</v>
      </c>
      <c r="G28" s="84"/>
      <c r="H28" s="84"/>
      <c r="I28" s="84"/>
    </row>
    <row r="29" spans="2:11" ht="5.15" customHeight="1" x14ac:dyDescent="0.3">
      <c r="F29" s="85"/>
      <c r="G29" s="86"/>
      <c r="H29" s="87"/>
      <c r="I29" s="86"/>
    </row>
    <row r="30" spans="2:11" ht="3" customHeight="1" x14ac:dyDescent="0.3">
      <c r="F30" s="88"/>
      <c r="G30" s="88"/>
      <c r="H30" s="88"/>
      <c r="I30" s="88"/>
    </row>
    <row r="31" spans="2:11" ht="5.15" customHeight="1" x14ac:dyDescent="0.3">
      <c r="F31" s="85"/>
      <c r="G31" s="86"/>
      <c r="H31" s="87"/>
      <c r="I31" s="86"/>
    </row>
    <row r="32" spans="2:11" x14ac:dyDescent="0.3">
      <c r="F32" s="89" t="s">
        <v>382</v>
      </c>
      <c r="G32" s="89"/>
      <c r="H32" s="90"/>
      <c r="I32" s="91">
        <f>+H11</f>
        <v>10500000</v>
      </c>
    </row>
    <row r="33" spans="6:14" x14ac:dyDescent="0.3">
      <c r="F33" s="92"/>
      <c r="G33" s="92"/>
      <c r="H33" s="93"/>
      <c r="I33" s="94"/>
    </row>
    <row r="34" spans="6:14" x14ac:dyDescent="0.3">
      <c r="F34" s="89"/>
      <c r="G34" s="92"/>
      <c r="H34" s="93"/>
      <c r="I34" s="94"/>
    </row>
    <row r="35" spans="6:14" x14ac:dyDescent="0.3">
      <c r="F35" s="95"/>
      <c r="G35" s="96"/>
      <c r="H35" s="101"/>
      <c r="I35" s="98"/>
    </row>
    <row r="36" spans="6:14" x14ac:dyDescent="0.3">
      <c r="F36" s="92"/>
      <c r="G36" s="92"/>
      <c r="H36" s="93"/>
      <c r="I36" s="94"/>
    </row>
    <row r="37" spans="6:14" x14ac:dyDescent="0.3">
      <c r="F37" s="89" t="s">
        <v>383</v>
      </c>
      <c r="G37" s="89"/>
      <c r="H37" s="93"/>
      <c r="I37" s="94"/>
    </row>
    <row r="38" spans="6:14" x14ac:dyDescent="0.3">
      <c r="F38" s="95" t="s">
        <v>384</v>
      </c>
      <c r="G38" s="96"/>
      <c r="H38" s="97">
        <v>2.5000000000000001E-3</v>
      </c>
      <c r="I38" s="98">
        <f>+H38*$I$32</f>
        <v>26250</v>
      </c>
    </row>
    <row r="39" spans="6:14" x14ac:dyDescent="0.3">
      <c r="F39" s="95" t="s">
        <v>385</v>
      </c>
      <c r="G39" s="96"/>
      <c r="H39" s="125">
        <v>0.01</v>
      </c>
      <c r="I39" s="98">
        <f t="shared" ref="I39" si="1">+H39*$I$32</f>
        <v>105000</v>
      </c>
    </row>
    <row r="40" spans="6:14" x14ac:dyDescent="0.3">
      <c r="F40" s="96"/>
      <c r="G40" s="96"/>
      <c r="H40" s="99">
        <f>+SUBTOTAL(9,H38:H39)</f>
        <v>1.2500000000000001E-2</v>
      </c>
      <c r="I40" s="100">
        <f>+SUBTOTAL(9,I38:I39)</f>
        <v>131250</v>
      </c>
    </row>
    <row r="41" spans="6:14" x14ac:dyDescent="0.3">
      <c r="F41" s="89" t="s">
        <v>48</v>
      </c>
      <c r="G41" s="96"/>
      <c r="H41" s="101"/>
      <c r="I41" s="98"/>
    </row>
    <row r="42" spans="6:14" x14ac:dyDescent="0.3">
      <c r="F42" s="95" t="s">
        <v>386</v>
      </c>
      <c r="G42" s="96"/>
      <c r="H42" s="101">
        <f>+I42/$I$32</f>
        <v>1.9047619047619048E-3</v>
      </c>
      <c r="I42" s="98">
        <v>20000</v>
      </c>
    </row>
    <row r="43" spans="6:14" x14ac:dyDescent="0.3">
      <c r="F43" s="95" t="s">
        <v>387</v>
      </c>
      <c r="G43" s="96"/>
      <c r="H43" s="101">
        <f t="shared" ref="H43" si="2">+I43/$I$32</f>
        <v>1.9047619047619048E-3</v>
      </c>
      <c r="I43" s="98">
        <v>20000</v>
      </c>
    </row>
    <row r="44" spans="6:14" x14ac:dyDescent="0.3">
      <c r="F44" s="96"/>
      <c r="G44" s="96"/>
      <c r="H44" s="102">
        <f>+SUBTOTAL(9,H42:H43)</f>
        <v>3.8095238095238095E-3</v>
      </c>
      <c r="I44" s="100">
        <f>+SUBTOTAL(9,I42:I43)</f>
        <v>40000</v>
      </c>
    </row>
    <row r="45" spans="6:14" x14ac:dyDescent="0.3">
      <c r="F45" s="89" t="s">
        <v>388</v>
      </c>
      <c r="G45" s="96"/>
      <c r="H45" s="101"/>
      <c r="I45" s="98"/>
    </row>
    <row r="46" spans="6:14" x14ac:dyDescent="0.3">
      <c r="F46" s="95" t="s">
        <v>399</v>
      </c>
      <c r="G46" s="103">
        <v>0.35</v>
      </c>
      <c r="H46" s="101">
        <f t="shared" ref="H46:H48" si="3">+I46/$I$32</f>
        <v>6.666666666666667E-5</v>
      </c>
      <c r="I46" s="98">
        <f>+G46*(($I$32-$H$15)/100)</f>
        <v>700</v>
      </c>
      <c r="L46" s="108" t="s">
        <v>395</v>
      </c>
      <c r="M46" s="109"/>
      <c r="N46" s="110">
        <f>+SUM(N47:N51)</f>
        <v>27325</v>
      </c>
    </row>
    <row r="47" spans="6:14" x14ac:dyDescent="0.3">
      <c r="F47" s="95" t="s">
        <v>400</v>
      </c>
      <c r="G47" s="104">
        <v>2</v>
      </c>
      <c r="H47" s="101">
        <f t="shared" si="3"/>
        <v>3.8095238095238092E-5</v>
      </c>
      <c r="I47" s="98">
        <f>+G47*(($I$32-$H$15)/1000)</f>
        <v>400</v>
      </c>
      <c r="L47" s="111">
        <v>100000</v>
      </c>
      <c r="M47" s="112">
        <v>5.7499999999999999E-3</v>
      </c>
      <c r="N47" s="113">
        <f>+M47*L47</f>
        <v>575</v>
      </c>
    </row>
    <row r="48" spans="6:14" x14ac:dyDescent="0.3">
      <c r="F48" s="95" t="s">
        <v>389</v>
      </c>
      <c r="G48" s="96"/>
      <c r="H48" s="101">
        <f t="shared" si="3"/>
        <v>4.7619047619047619E-4</v>
      </c>
      <c r="I48" s="98">
        <v>5000</v>
      </c>
      <c r="L48" s="111">
        <v>1000000</v>
      </c>
      <c r="M48" s="112">
        <v>5.0000000000000001E-3</v>
      </c>
      <c r="N48" s="113">
        <f>+M48*(L48-L47)</f>
        <v>4500</v>
      </c>
    </row>
    <row r="49" spans="6:14" x14ac:dyDescent="0.3">
      <c r="F49" s="96"/>
      <c r="G49" s="96"/>
      <c r="H49" s="102">
        <f>+SUBTOTAL(9,H46:H48)</f>
        <v>5.80952380952381E-4</v>
      </c>
      <c r="I49" s="100">
        <f>+SUBTOTAL(9,I46:I48)</f>
        <v>6100</v>
      </c>
      <c r="L49" s="111">
        <v>5000000</v>
      </c>
      <c r="M49" s="112">
        <v>2.5000000000000001E-3</v>
      </c>
      <c r="N49" s="113">
        <f t="shared" ref="N49:N51" si="4">+M49*(L49-L48)</f>
        <v>10000</v>
      </c>
    </row>
    <row r="50" spans="6:14" x14ac:dyDescent="0.3">
      <c r="F50" s="96"/>
      <c r="G50" s="96"/>
      <c r="H50" s="101"/>
      <c r="I50" s="98"/>
      <c r="L50" s="111">
        <v>10000000</v>
      </c>
      <c r="M50" s="112">
        <v>2.2499999999999998E-3</v>
      </c>
      <c r="N50" s="113">
        <f t="shared" si="4"/>
        <v>11250</v>
      </c>
    </row>
    <row r="51" spans="6:14" x14ac:dyDescent="0.3">
      <c r="F51" s="95" t="s">
        <v>390</v>
      </c>
      <c r="G51" s="96"/>
      <c r="H51" s="101">
        <f t="shared" ref="H51" si="5">+I51/$I$32</f>
        <v>2.6023809523809524E-3</v>
      </c>
      <c r="I51" s="98">
        <f>+N46</f>
        <v>27325</v>
      </c>
      <c r="L51" s="111">
        <f>+H11</f>
        <v>10500000</v>
      </c>
      <c r="M51" s="112">
        <v>2E-3</v>
      </c>
      <c r="N51" s="113">
        <f t="shared" si="4"/>
        <v>1000</v>
      </c>
    </row>
    <row r="52" spans="6:14" x14ac:dyDescent="0.3">
      <c r="F52" s="95"/>
      <c r="G52" s="96"/>
      <c r="H52" s="101"/>
      <c r="I52" s="98"/>
    </row>
    <row r="53" spans="6:14" x14ac:dyDescent="0.3">
      <c r="F53" s="89" t="s">
        <v>391</v>
      </c>
      <c r="G53" s="86"/>
      <c r="H53" s="86"/>
      <c r="I53" s="86"/>
    </row>
    <row r="54" spans="6:14" x14ac:dyDescent="0.3">
      <c r="F54" s="95" t="s">
        <v>398</v>
      </c>
      <c r="G54" s="96"/>
      <c r="H54" s="101">
        <f t="shared" ref="H54:H58" si="6">+I54/$I$32</f>
        <v>5.2380952380952383E-4</v>
      </c>
      <c r="I54" s="98">
        <v>5500</v>
      </c>
    </row>
    <row r="55" spans="6:14" x14ac:dyDescent="0.3">
      <c r="F55" s="95" t="s">
        <v>396</v>
      </c>
      <c r="G55" s="96"/>
      <c r="H55" s="101">
        <f t="shared" si="6"/>
        <v>3.3333333333333332E-4</v>
      </c>
      <c r="I55" s="98">
        <v>3500</v>
      </c>
    </row>
    <row r="56" spans="6:14" x14ac:dyDescent="0.3">
      <c r="F56" s="95" t="s">
        <v>397</v>
      </c>
      <c r="G56" s="96"/>
      <c r="H56" s="101">
        <f t="shared" si="6"/>
        <v>3.8095238095238096E-4</v>
      </c>
      <c r="I56" s="98">
        <v>4000</v>
      </c>
    </row>
    <row r="57" spans="6:14" x14ac:dyDescent="0.3">
      <c r="F57" s="95" t="s">
        <v>392</v>
      </c>
      <c r="G57" s="96"/>
      <c r="H57" s="101">
        <f t="shared" si="6"/>
        <v>4.2857142857142855E-4</v>
      </c>
      <c r="I57" s="98">
        <v>4500</v>
      </c>
    </row>
    <row r="58" spans="6:14" x14ac:dyDescent="0.3">
      <c r="F58" s="95" t="s">
        <v>393</v>
      </c>
      <c r="G58" s="96"/>
      <c r="H58" s="101">
        <f t="shared" si="6"/>
        <v>2.380952380952381E-4</v>
      </c>
      <c r="I58" s="98">
        <v>2500</v>
      </c>
    </row>
    <row r="59" spans="6:14" x14ac:dyDescent="0.3">
      <c r="F59" s="86"/>
      <c r="G59" s="86"/>
      <c r="H59" s="102">
        <f>+SUBTOTAL(9,H54:H58)</f>
        <v>1.9047619047619048E-3</v>
      </c>
      <c r="I59" s="100">
        <f>+SUBTOTAL(9,I54:I58)</f>
        <v>20000</v>
      </c>
    </row>
    <row r="60" spans="6:14" ht="15.5" thickBot="1" x14ac:dyDescent="0.35">
      <c r="F60" s="86"/>
      <c r="G60" s="86"/>
      <c r="H60" s="86"/>
      <c r="I60" s="86"/>
    </row>
    <row r="61" spans="6:14" x14ac:dyDescent="0.3">
      <c r="F61" s="105" t="s">
        <v>394</v>
      </c>
      <c r="G61" s="105"/>
      <c r="H61" s="106">
        <f t="shared" ref="H61" si="7">+I61/$I$32</f>
        <v>2.1397619047619047E-2</v>
      </c>
      <c r="I61" s="107">
        <f>+SUBTOTAL(9,I34:I60)</f>
        <v>224675</v>
      </c>
    </row>
  </sheetData>
  <pageMargins left="0.7" right="0.7" top="0.75" bottom="0.75" header="0.3" footer="0.3"/>
  <pageSetup scale="5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2BE1-FDD0-444F-8E35-095F02A51FB2}">
  <sheetPr>
    <pageSetUpPr fitToPage="1"/>
  </sheetPr>
  <dimension ref="B2:V38"/>
  <sheetViews>
    <sheetView showGridLines="0" workbookViewId="0">
      <selection activeCell="B2" sqref="B2"/>
    </sheetView>
  </sheetViews>
  <sheetFormatPr defaultColWidth="8.7265625" defaultRowHeight="15" x14ac:dyDescent="0.3"/>
  <cols>
    <col min="1" max="1" width="3.54296875" style="25" customWidth="1"/>
    <col min="2" max="2" width="30.453125" style="25" bestFit="1" customWidth="1"/>
    <col min="3" max="3" width="8.7265625" style="25"/>
    <col min="4" max="12" width="15.54296875" style="25" customWidth="1"/>
    <col min="13" max="16384" width="8.7265625" style="25"/>
  </cols>
  <sheetData>
    <row r="2" spans="2:22" ht="22" x14ac:dyDescent="0.4">
      <c r="B2" s="44" t="s">
        <v>466</v>
      </c>
      <c r="V2" s="59"/>
    </row>
    <row r="3" spans="2:22" ht="17.5" x14ac:dyDescent="0.35">
      <c r="B3" s="43" t="s">
        <v>402</v>
      </c>
      <c r="V3" s="59"/>
    </row>
    <row r="5" spans="2:22" ht="30" customHeight="1" x14ac:dyDescent="0.45">
      <c r="B5" s="66" t="s">
        <v>407</v>
      </c>
      <c r="D5" s="119">
        <v>2018</v>
      </c>
      <c r="E5" s="119">
        <v>2019</v>
      </c>
      <c r="F5" s="119">
        <v>2020</v>
      </c>
      <c r="G5" s="119">
        <v>2021</v>
      </c>
      <c r="H5" s="119">
        <v>2022</v>
      </c>
      <c r="I5" s="119">
        <v>2023</v>
      </c>
      <c r="J5" s="119">
        <v>2024</v>
      </c>
      <c r="K5" s="120" t="s">
        <v>408</v>
      </c>
      <c r="L5" s="124" t="s">
        <v>3</v>
      </c>
    </row>
    <row r="6" spans="2:22" ht="5.15" customHeight="1" x14ac:dyDescent="0.3">
      <c r="D6" s="119"/>
      <c r="E6" s="119"/>
      <c r="F6" s="119"/>
      <c r="G6" s="119"/>
      <c r="H6" s="119"/>
      <c r="I6" s="119"/>
      <c r="J6" s="119"/>
      <c r="K6" s="120"/>
      <c r="L6" s="121"/>
    </row>
    <row r="7" spans="2:22" ht="3" customHeight="1" x14ac:dyDescent="0.3"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</row>
    <row r="8" spans="2:22" ht="10" customHeight="1" x14ac:dyDescent="0.3">
      <c r="D8" s="119"/>
      <c r="E8" s="119"/>
      <c r="F8" s="119"/>
      <c r="G8" s="119"/>
      <c r="H8" s="119"/>
      <c r="I8" s="119"/>
      <c r="J8" s="119"/>
      <c r="K8" s="120"/>
      <c r="L8" s="121"/>
    </row>
    <row r="9" spans="2:22" s="31" customFormat="1" ht="20.149999999999999" customHeight="1" x14ac:dyDescent="0.25">
      <c r="B9" s="118" t="s">
        <v>403</v>
      </c>
      <c r="D9" s="114"/>
      <c r="E9" s="114"/>
      <c r="F9" s="114"/>
      <c r="G9" s="114"/>
      <c r="H9" s="114"/>
      <c r="I9" s="114"/>
      <c r="J9" s="114"/>
      <c r="K9" s="114"/>
      <c r="L9" s="115"/>
    </row>
    <row r="10" spans="2:22" s="31" customFormat="1" ht="20.149999999999999" customHeight="1" x14ac:dyDescent="0.25">
      <c r="B10" s="122" t="s">
        <v>365</v>
      </c>
      <c r="D10" s="114">
        <v>5977</v>
      </c>
      <c r="E10" s="114">
        <v>8712</v>
      </c>
      <c r="F10" s="114">
        <v>5624</v>
      </c>
      <c r="G10" s="114">
        <v>5519</v>
      </c>
      <c r="H10" s="114">
        <v>2514</v>
      </c>
      <c r="I10" s="114">
        <v>4370</v>
      </c>
      <c r="J10" s="114">
        <v>1964</v>
      </c>
      <c r="K10" s="114">
        <v>4218</v>
      </c>
      <c r="L10" s="115">
        <f>+SUM(D10:K10)</f>
        <v>38898</v>
      </c>
    </row>
    <row r="11" spans="2:22" s="31" customFormat="1" ht="20.149999999999999" customHeight="1" x14ac:dyDescent="0.25">
      <c r="B11" s="122" t="s">
        <v>367</v>
      </c>
      <c r="D11" s="114">
        <v>111</v>
      </c>
      <c r="E11" s="114">
        <v>23463</v>
      </c>
      <c r="F11" s="114">
        <v>2132</v>
      </c>
      <c r="G11" s="114">
        <v>14401</v>
      </c>
      <c r="H11" s="114">
        <v>1100</v>
      </c>
      <c r="I11" s="114">
        <v>16645</v>
      </c>
      <c r="J11" s="114">
        <v>12500</v>
      </c>
      <c r="K11" s="114">
        <v>5275</v>
      </c>
      <c r="L11" s="115">
        <f t="shared" ref="L11:L34" si="0">+SUM(D11:K11)</f>
        <v>75627</v>
      </c>
    </row>
    <row r="12" spans="2:22" s="31" customFormat="1" ht="20.149999999999999" customHeight="1" x14ac:dyDescent="0.25">
      <c r="B12" s="122" t="s">
        <v>368</v>
      </c>
      <c r="D12" s="114">
        <v>5757</v>
      </c>
      <c r="E12" s="114">
        <v>5696</v>
      </c>
      <c r="F12" s="114">
        <v>4378</v>
      </c>
      <c r="G12" s="114">
        <v>1716</v>
      </c>
      <c r="H12" s="114">
        <v>1686</v>
      </c>
      <c r="I12" s="114">
        <v>2241</v>
      </c>
      <c r="J12" s="114">
        <v>3406</v>
      </c>
      <c r="K12" s="114">
        <v>0</v>
      </c>
      <c r="L12" s="115">
        <f t="shared" si="0"/>
        <v>24880</v>
      </c>
    </row>
    <row r="13" spans="2:22" s="31" customFormat="1" ht="20.149999999999999" customHeight="1" x14ac:dyDescent="0.25">
      <c r="B13" s="122"/>
      <c r="D13" s="132">
        <f>+SUBTOTAL(9,D10:D12)</f>
        <v>11845</v>
      </c>
      <c r="E13" s="132">
        <f t="shared" ref="E13:L13" si="1">+SUBTOTAL(9,E10:E12)</f>
        <v>37871</v>
      </c>
      <c r="F13" s="132">
        <f t="shared" si="1"/>
        <v>12134</v>
      </c>
      <c r="G13" s="132">
        <f t="shared" si="1"/>
        <v>21636</v>
      </c>
      <c r="H13" s="132">
        <f t="shared" si="1"/>
        <v>5300</v>
      </c>
      <c r="I13" s="132">
        <f t="shared" si="1"/>
        <v>23256</v>
      </c>
      <c r="J13" s="132">
        <f t="shared" si="1"/>
        <v>17870</v>
      </c>
      <c r="K13" s="132">
        <f t="shared" si="1"/>
        <v>9493</v>
      </c>
      <c r="L13" s="133">
        <f t="shared" si="1"/>
        <v>139405</v>
      </c>
    </row>
    <row r="14" spans="2:22" s="31" customFormat="1" ht="5.15" customHeight="1" x14ac:dyDescent="0.25">
      <c r="B14" s="122"/>
      <c r="D14" s="123"/>
      <c r="E14" s="123"/>
      <c r="F14" s="123"/>
      <c r="G14" s="123"/>
      <c r="H14" s="123"/>
      <c r="I14" s="123"/>
      <c r="J14" s="123"/>
      <c r="K14" s="123"/>
      <c r="L14" s="115"/>
    </row>
    <row r="15" spans="2:22" s="31" customFormat="1" ht="20.149999999999999" customHeight="1" x14ac:dyDescent="0.25">
      <c r="B15" s="118" t="s">
        <v>404</v>
      </c>
      <c r="D15" s="114"/>
      <c r="E15" s="114"/>
      <c r="F15" s="114"/>
      <c r="G15" s="114"/>
      <c r="H15" s="114"/>
      <c r="I15" s="114"/>
      <c r="J15" s="114"/>
      <c r="K15" s="114"/>
      <c r="L15" s="115"/>
    </row>
    <row r="16" spans="2:22" s="31" customFormat="1" ht="20.149999999999999" customHeight="1" x14ac:dyDescent="0.25">
      <c r="B16" s="122" t="s">
        <v>369</v>
      </c>
      <c r="D16" s="114">
        <v>35465</v>
      </c>
      <c r="E16" s="114">
        <v>43825</v>
      </c>
      <c r="F16" s="114">
        <v>5919</v>
      </c>
      <c r="G16" s="114">
        <v>12525</v>
      </c>
      <c r="H16" s="114">
        <v>27267</v>
      </c>
      <c r="I16" s="114">
        <v>37031</v>
      </c>
      <c r="J16" s="114">
        <v>22923</v>
      </c>
      <c r="K16" s="114">
        <v>9453</v>
      </c>
      <c r="L16" s="115">
        <f>+SUM(D16:K16)</f>
        <v>194408</v>
      </c>
    </row>
    <row r="17" spans="2:12" s="31" customFormat="1" ht="20.149999999999999" customHeight="1" x14ac:dyDescent="0.25">
      <c r="B17" s="122" t="s">
        <v>370</v>
      </c>
      <c r="D17" s="114">
        <v>28754</v>
      </c>
      <c r="E17" s="116">
        <v>10350</v>
      </c>
      <c r="F17" s="114">
        <v>0</v>
      </c>
      <c r="G17" s="114">
        <v>4700</v>
      </c>
      <c r="H17" s="114">
        <v>16055</v>
      </c>
      <c r="I17" s="114">
        <v>19255</v>
      </c>
      <c r="J17" s="114">
        <v>5845</v>
      </c>
      <c r="K17" s="114">
        <v>0</v>
      </c>
      <c r="L17" s="115">
        <f>+SUM(D17:K17)</f>
        <v>84959</v>
      </c>
    </row>
    <row r="18" spans="2:12" s="31" customFormat="1" ht="20.149999999999999" customHeight="1" x14ac:dyDescent="0.25">
      <c r="B18" s="122" t="s">
        <v>380</v>
      </c>
      <c r="D18" s="114">
        <v>0</v>
      </c>
      <c r="E18" s="116">
        <v>41820</v>
      </c>
      <c r="F18" s="114">
        <v>0</v>
      </c>
      <c r="G18" s="114">
        <v>0</v>
      </c>
      <c r="H18" s="114">
        <v>0</v>
      </c>
      <c r="I18" s="114">
        <v>2296</v>
      </c>
      <c r="J18" s="114">
        <v>0</v>
      </c>
      <c r="K18" s="114">
        <v>8750</v>
      </c>
      <c r="L18" s="115">
        <f>+SUM(D18:K18)</f>
        <v>52866</v>
      </c>
    </row>
    <row r="19" spans="2:12" s="31" customFormat="1" ht="20.149999999999999" customHeight="1" x14ac:dyDescent="0.25">
      <c r="B19" s="122" t="s">
        <v>374</v>
      </c>
      <c r="D19" s="116">
        <v>4906</v>
      </c>
      <c r="E19" s="114">
        <v>19041</v>
      </c>
      <c r="F19" s="114">
        <v>0</v>
      </c>
      <c r="G19" s="114">
        <v>1772</v>
      </c>
      <c r="H19" s="114">
        <v>0</v>
      </c>
      <c r="I19" s="114">
        <v>0</v>
      </c>
      <c r="J19" s="114">
        <v>0</v>
      </c>
      <c r="K19" s="114">
        <v>0</v>
      </c>
      <c r="L19" s="115">
        <f>+SUM(D19:K19)</f>
        <v>25719</v>
      </c>
    </row>
    <row r="20" spans="2:12" s="31" customFormat="1" ht="20.149999999999999" customHeight="1" x14ac:dyDescent="0.25">
      <c r="B20" s="122" t="s">
        <v>376</v>
      </c>
      <c r="D20" s="114">
        <v>0</v>
      </c>
      <c r="E20" s="114">
        <v>29000</v>
      </c>
      <c r="F20" s="114">
        <v>0</v>
      </c>
      <c r="G20" s="114">
        <v>0</v>
      </c>
      <c r="H20" s="114">
        <v>0</v>
      </c>
      <c r="I20" s="114">
        <v>0</v>
      </c>
      <c r="J20" s="114">
        <v>0</v>
      </c>
      <c r="K20" s="114">
        <v>0</v>
      </c>
      <c r="L20" s="115">
        <f>+SUM(D20:K20)</f>
        <v>29000</v>
      </c>
    </row>
    <row r="21" spans="2:12" s="31" customFormat="1" ht="20.149999999999999" customHeight="1" x14ac:dyDescent="0.25">
      <c r="B21" s="122" t="s">
        <v>371</v>
      </c>
      <c r="D21" s="114">
        <v>0</v>
      </c>
      <c r="E21" s="114">
        <v>0</v>
      </c>
      <c r="F21" s="114">
        <v>13881</v>
      </c>
      <c r="G21" s="114">
        <v>0</v>
      </c>
      <c r="H21" s="114">
        <v>0</v>
      </c>
      <c r="I21" s="114">
        <v>0</v>
      </c>
      <c r="J21" s="114">
        <v>0</v>
      </c>
      <c r="K21" s="114">
        <v>0</v>
      </c>
      <c r="L21" s="115">
        <f t="shared" si="0"/>
        <v>13881</v>
      </c>
    </row>
    <row r="22" spans="2:12" s="31" customFormat="1" ht="20.149999999999999" customHeight="1" x14ac:dyDescent="0.25">
      <c r="B22" s="122" t="s">
        <v>372</v>
      </c>
      <c r="D22" s="114">
        <v>0</v>
      </c>
      <c r="E22" s="114">
        <v>0</v>
      </c>
      <c r="F22" s="114">
        <v>0</v>
      </c>
      <c r="G22" s="114">
        <v>0</v>
      </c>
      <c r="H22" s="114">
        <v>2308</v>
      </c>
      <c r="I22" s="114">
        <v>4850</v>
      </c>
      <c r="J22" s="114">
        <v>1666</v>
      </c>
      <c r="K22" s="114">
        <v>0</v>
      </c>
      <c r="L22" s="115">
        <f t="shared" si="0"/>
        <v>8824</v>
      </c>
    </row>
    <row r="23" spans="2:12" s="31" customFormat="1" ht="20.149999999999999" customHeight="1" x14ac:dyDescent="0.25">
      <c r="B23" s="122" t="s">
        <v>373</v>
      </c>
      <c r="D23" s="114">
        <v>11833</v>
      </c>
      <c r="E23" s="114">
        <v>0</v>
      </c>
      <c r="F23" s="114">
        <v>0</v>
      </c>
      <c r="G23" s="114">
        <v>0</v>
      </c>
      <c r="H23" s="114">
        <v>6589</v>
      </c>
      <c r="I23" s="114">
        <v>0</v>
      </c>
      <c r="J23" s="114">
        <v>0</v>
      </c>
      <c r="K23" s="114">
        <v>0</v>
      </c>
      <c r="L23" s="115">
        <f t="shared" si="0"/>
        <v>18422</v>
      </c>
    </row>
    <row r="24" spans="2:12" s="31" customFormat="1" ht="20.149999999999999" customHeight="1" x14ac:dyDescent="0.25">
      <c r="B24" s="122"/>
      <c r="D24" s="132">
        <f>+SUBTOTAL(9,D16:D23)</f>
        <v>80958</v>
      </c>
      <c r="E24" s="132">
        <f t="shared" ref="E24:L24" si="2">+SUBTOTAL(9,E16:E23)</f>
        <v>144036</v>
      </c>
      <c r="F24" s="132">
        <f t="shared" si="2"/>
        <v>19800</v>
      </c>
      <c r="G24" s="132">
        <f t="shared" si="2"/>
        <v>18997</v>
      </c>
      <c r="H24" s="132">
        <f t="shared" si="2"/>
        <v>52219</v>
      </c>
      <c r="I24" s="132">
        <f t="shared" si="2"/>
        <v>63432</v>
      </c>
      <c r="J24" s="132">
        <f t="shared" si="2"/>
        <v>30434</v>
      </c>
      <c r="K24" s="132">
        <f t="shared" si="2"/>
        <v>18203</v>
      </c>
      <c r="L24" s="133">
        <f t="shared" si="2"/>
        <v>428079</v>
      </c>
    </row>
    <row r="25" spans="2:12" s="31" customFormat="1" ht="5.15" customHeight="1" x14ac:dyDescent="0.25">
      <c r="B25" s="122"/>
      <c r="D25" s="123"/>
      <c r="E25" s="123"/>
      <c r="F25" s="123"/>
      <c r="G25" s="123"/>
      <c r="H25" s="123"/>
      <c r="I25" s="123"/>
      <c r="J25" s="123"/>
      <c r="K25" s="123"/>
      <c r="L25" s="115"/>
    </row>
    <row r="26" spans="2:12" s="31" customFormat="1" ht="20.149999999999999" customHeight="1" x14ac:dyDescent="0.25">
      <c r="B26" s="118" t="s">
        <v>405</v>
      </c>
      <c r="D26" s="114"/>
      <c r="E26" s="114"/>
      <c r="F26" s="114"/>
      <c r="G26" s="114"/>
      <c r="H26" s="114"/>
      <c r="I26" s="114"/>
      <c r="J26" s="114"/>
      <c r="K26" s="114"/>
      <c r="L26" s="115"/>
    </row>
    <row r="27" spans="2:12" s="31" customFormat="1" ht="20.149999999999999" customHeight="1" x14ac:dyDescent="0.25">
      <c r="B27" s="122" t="s">
        <v>366</v>
      </c>
      <c r="D27" s="114">
        <v>51911</v>
      </c>
      <c r="E27" s="114">
        <v>19582</v>
      </c>
      <c r="F27" s="114">
        <v>44356</v>
      </c>
      <c r="G27" s="114">
        <v>24958</v>
      </c>
      <c r="H27" s="114">
        <v>43503</v>
      </c>
      <c r="I27" s="114">
        <v>59832</v>
      </c>
      <c r="J27" s="114">
        <v>67875</v>
      </c>
      <c r="K27" s="114">
        <v>23721</v>
      </c>
      <c r="L27" s="115">
        <f>+SUM(D27:K27)</f>
        <v>335738</v>
      </c>
    </row>
    <row r="28" spans="2:12" s="31" customFormat="1" ht="20.149999999999999" customHeight="1" x14ac:dyDescent="0.25">
      <c r="B28" s="122" t="s">
        <v>375</v>
      </c>
      <c r="D28" s="116">
        <v>0</v>
      </c>
      <c r="E28" s="114">
        <v>0</v>
      </c>
      <c r="F28" s="114">
        <v>0</v>
      </c>
      <c r="G28" s="114">
        <v>0</v>
      </c>
      <c r="H28" s="114">
        <v>7100</v>
      </c>
      <c r="I28" s="114">
        <v>6000</v>
      </c>
      <c r="J28" s="114">
        <v>18361</v>
      </c>
      <c r="K28" s="114">
        <v>5000</v>
      </c>
      <c r="L28" s="115">
        <f>+SUM(D28:K28)</f>
        <v>36461</v>
      </c>
    </row>
    <row r="29" spans="2:12" s="31" customFormat="1" ht="20.149999999999999" customHeight="1" x14ac:dyDescent="0.25">
      <c r="B29" s="122"/>
      <c r="D29" s="132">
        <f>+SUBTOTAL(9,D27:D28)</f>
        <v>51911</v>
      </c>
      <c r="E29" s="132">
        <f t="shared" ref="E29:L29" si="3">+SUBTOTAL(9,E27:E28)</f>
        <v>19582</v>
      </c>
      <c r="F29" s="132">
        <f t="shared" si="3"/>
        <v>44356</v>
      </c>
      <c r="G29" s="132">
        <f t="shared" si="3"/>
        <v>24958</v>
      </c>
      <c r="H29" s="132">
        <f t="shared" si="3"/>
        <v>50603</v>
      </c>
      <c r="I29" s="132">
        <f t="shared" si="3"/>
        <v>65832</v>
      </c>
      <c r="J29" s="132">
        <f t="shared" si="3"/>
        <v>86236</v>
      </c>
      <c r="K29" s="132">
        <f t="shared" si="3"/>
        <v>28721</v>
      </c>
      <c r="L29" s="133">
        <f t="shared" si="3"/>
        <v>372199</v>
      </c>
    </row>
    <row r="30" spans="2:12" s="31" customFormat="1" ht="5.15" customHeight="1" x14ac:dyDescent="0.25">
      <c r="B30" s="122"/>
      <c r="D30" s="114"/>
      <c r="E30" s="114"/>
      <c r="F30" s="114"/>
      <c r="G30" s="114"/>
      <c r="H30" s="114"/>
      <c r="I30" s="114"/>
      <c r="J30" s="117"/>
      <c r="K30" s="117"/>
      <c r="L30" s="115"/>
    </row>
    <row r="31" spans="2:12" s="31" customFormat="1" ht="20.149999999999999" customHeight="1" x14ac:dyDescent="0.25">
      <c r="B31" s="118" t="s">
        <v>406</v>
      </c>
      <c r="D31" s="114"/>
      <c r="E31" s="114"/>
      <c r="F31" s="114"/>
      <c r="G31" s="114"/>
      <c r="H31" s="114"/>
      <c r="I31" s="114"/>
      <c r="J31" s="114"/>
      <c r="K31" s="114"/>
      <c r="L31" s="115"/>
    </row>
    <row r="32" spans="2:12" s="31" customFormat="1" ht="20.149999999999999" customHeight="1" x14ac:dyDescent="0.25">
      <c r="B32" s="122" t="s">
        <v>377</v>
      </c>
      <c r="D32" s="114">
        <v>22002</v>
      </c>
      <c r="E32" s="116">
        <v>47467</v>
      </c>
      <c r="F32" s="114">
        <v>34343</v>
      </c>
      <c r="G32" s="114">
        <v>24175</v>
      </c>
      <c r="H32" s="114">
        <v>35747</v>
      </c>
      <c r="I32" s="114">
        <v>31534</v>
      </c>
      <c r="J32" s="114">
        <v>16390</v>
      </c>
      <c r="K32" s="114">
        <v>19354</v>
      </c>
      <c r="L32" s="115">
        <f t="shared" si="0"/>
        <v>231012</v>
      </c>
    </row>
    <row r="33" spans="2:12" s="31" customFormat="1" ht="20.149999999999999" customHeight="1" x14ac:dyDescent="0.25">
      <c r="B33" s="122" t="s">
        <v>378</v>
      </c>
      <c r="D33" s="114">
        <v>75191</v>
      </c>
      <c r="E33" s="114">
        <v>434939</v>
      </c>
      <c r="F33" s="114">
        <v>127351</v>
      </c>
      <c r="G33" s="116">
        <v>3523</v>
      </c>
      <c r="H33" s="116">
        <v>4394</v>
      </c>
      <c r="I33" s="116">
        <v>1061</v>
      </c>
      <c r="J33" s="114">
        <v>3166</v>
      </c>
      <c r="K33" s="114">
        <v>9488</v>
      </c>
      <c r="L33" s="115">
        <f t="shared" si="0"/>
        <v>659113</v>
      </c>
    </row>
    <row r="34" spans="2:12" s="31" customFormat="1" ht="20.149999999999999" customHeight="1" x14ac:dyDescent="0.25">
      <c r="B34" s="122" t="s">
        <v>379</v>
      </c>
      <c r="D34" s="114">
        <v>98983</v>
      </c>
      <c r="E34" s="114">
        <v>260132</v>
      </c>
      <c r="F34" s="114">
        <v>105365</v>
      </c>
      <c r="G34" s="114">
        <v>57498</v>
      </c>
      <c r="H34" s="114">
        <v>29279</v>
      </c>
      <c r="I34" s="114">
        <v>38116</v>
      </c>
      <c r="J34" s="114">
        <v>23809</v>
      </c>
      <c r="K34" s="114">
        <v>48748</v>
      </c>
      <c r="L34" s="115">
        <f t="shared" si="0"/>
        <v>661930</v>
      </c>
    </row>
    <row r="35" spans="2:12" s="31" customFormat="1" ht="20.149999999999999" customHeight="1" x14ac:dyDescent="0.25">
      <c r="B35" s="122"/>
      <c r="D35" s="132">
        <f>+SUBTOTAL(9,D32:D34)</f>
        <v>196176</v>
      </c>
      <c r="E35" s="132">
        <f t="shared" ref="E35:L35" si="4">+SUBTOTAL(9,E32:E34)</f>
        <v>742538</v>
      </c>
      <c r="F35" s="132">
        <f t="shared" si="4"/>
        <v>267059</v>
      </c>
      <c r="G35" s="132">
        <f t="shared" si="4"/>
        <v>85196</v>
      </c>
      <c r="H35" s="132">
        <f t="shared" si="4"/>
        <v>69420</v>
      </c>
      <c r="I35" s="132">
        <f t="shared" si="4"/>
        <v>70711</v>
      </c>
      <c r="J35" s="132">
        <f t="shared" si="4"/>
        <v>43365</v>
      </c>
      <c r="K35" s="132">
        <f t="shared" si="4"/>
        <v>77590</v>
      </c>
      <c r="L35" s="133">
        <f t="shared" si="4"/>
        <v>1552055</v>
      </c>
    </row>
    <row r="36" spans="2:12" s="31" customFormat="1" ht="5.15" customHeight="1" x14ac:dyDescent="0.25">
      <c r="D36" s="114"/>
      <c r="E36" s="116"/>
      <c r="F36" s="114"/>
      <c r="G36" s="114"/>
      <c r="H36" s="114"/>
      <c r="I36" s="114"/>
      <c r="J36" s="114"/>
      <c r="K36" s="114"/>
      <c r="L36" s="115"/>
    </row>
    <row r="37" spans="2:12" s="118" customFormat="1" ht="25" customHeight="1" thickBot="1" x14ac:dyDescent="0.3">
      <c r="B37" s="129" t="s">
        <v>3</v>
      </c>
      <c r="C37" s="129"/>
      <c r="D37" s="130">
        <f t="shared" ref="D37:L37" si="5">+SUBTOTAL(9,D10:D36)</f>
        <v>340890</v>
      </c>
      <c r="E37" s="130">
        <f t="shared" si="5"/>
        <v>944027</v>
      </c>
      <c r="F37" s="130">
        <f t="shared" si="5"/>
        <v>343349</v>
      </c>
      <c r="G37" s="130">
        <f t="shared" si="5"/>
        <v>150787</v>
      </c>
      <c r="H37" s="130">
        <f t="shared" si="5"/>
        <v>177542</v>
      </c>
      <c r="I37" s="130">
        <f t="shared" si="5"/>
        <v>223231</v>
      </c>
      <c r="J37" s="130">
        <f t="shared" si="5"/>
        <v>177905</v>
      </c>
      <c r="K37" s="130">
        <f t="shared" si="5"/>
        <v>134007</v>
      </c>
      <c r="L37" s="131">
        <f t="shared" si="5"/>
        <v>2491738</v>
      </c>
    </row>
    <row r="38" spans="2:12" ht="15.5" thickTop="1" x14ac:dyDescent="0.3"/>
  </sheetData>
  <pageMargins left="0.7" right="0.7" top="0.75" bottom="0.75" header="0.3" footer="0.3"/>
  <pageSetup scale="6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8C93C-4B15-4EEF-B29B-77DF098CDE38}">
  <dimension ref="B3:J17"/>
  <sheetViews>
    <sheetView showGridLines="0" workbookViewId="0">
      <selection activeCell="B10" sqref="B10"/>
    </sheetView>
  </sheetViews>
  <sheetFormatPr defaultColWidth="8.7265625" defaultRowHeight="15" x14ac:dyDescent="0.3"/>
  <cols>
    <col min="1" max="1" width="8.7265625" style="25"/>
    <col min="2" max="2" width="17" style="25" bestFit="1" customWidth="1"/>
    <col min="3" max="3" width="14.54296875" style="25" customWidth="1"/>
    <col min="4" max="4" width="10.54296875" style="25" customWidth="1"/>
    <col min="5" max="6" width="12.54296875" style="25" customWidth="1"/>
    <col min="7" max="7" width="14.54296875" style="25" customWidth="1"/>
    <col min="8" max="8" width="12.54296875" style="25" customWidth="1"/>
    <col min="9" max="9" width="14.54296875" style="25" customWidth="1"/>
    <col min="10" max="10" width="12.54296875" style="25" customWidth="1"/>
    <col min="11" max="16384" width="8.7265625" style="25"/>
  </cols>
  <sheetData>
    <row r="3" spans="2:10" ht="22.5" x14ac:dyDescent="0.45">
      <c r="B3" s="66" t="s">
        <v>461</v>
      </c>
    </row>
    <row r="4" spans="2:10" ht="5.15" customHeight="1" x14ac:dyDescent="0.3"/>
    <row r="5" spans="2:10" ht="3" customHeight="1" x14ac:dyDescent="0.3">
      <c r="B5" s="88"/>
      <c r="C5" s="88"/>
      <c r="D5" s="88"/>
      <c r="E5" s="88"/>
      <c r="F5" s="88"/>
      <c r="G5" s="88"/>
      <c r="H5" s="88"/>
      <c r="I5" s="88"/>
      <c r="J5" s="88"/>
    </row>
    <row r="6" spans="2:10" ht="5.15" customHeight="1" x14ac:dyDescent="0.3"/>
    <row r="8" spans="2:10" ht="30" customHeight="1" x14ac:dyDescent="0.3">
      <c r="B8" s="164" t="s">
        <v>287</v>
      </c>
      <c r="C8" s="167" t="s">
        <v>301</v>
      </c>
      <c r="D8" s="164" t="s">
        <v>300</v>
      </c>
      <c r="E8" s="167" t="s">
        <v>460</v>
      </c>
      <c r="F8" s="164" t="s">
        <v>302</v>
      </c>
      <c r="G8" s="167" t="s">
        <v>458</v>
      </c>
      <c r="H8" s="167" t="s">
        <v>451</v>
      </c>
      <c r="I8" s="167" t="s">
        <v>459</v>
      </c>
      <c r="J8" s="167" t="s">
        <v>453</v>
      </c>
    </row>
    <row r="9" spans="2:10" s="31" customFormat="1" ht="30" customHeight="1" x14ac:dyDescent="0.25">
      <c r="B9" s="61" t="s">
        <v>291</v>
      </c>
      <c r="C9" s="134">
        <v>645</v>
      </c>
      <c r="D9" s="61">
        <v>62</v>
      </c>
      <c r="E9" s="61">
        <v>57</v>
      </c>
      <c r="F9" s="170">
        <v>0.9194</v>
      </c>
      <c r="G9" s="136">
        <v>1132.18</v>
      </c>
      <c r="H9" s="146">
        <v>1.76</v>
      </c>
      <c r="I9" s="136">
        <v>936.33</v>
      </c>
      <c r="J9" s="146">
        <v>1.45</v>
      </c>
    </row>
    <row r="10" spans="2:10" s="31" customFormat="1" ht="30" customHeight="1" x14ac:dyDescent="0.25">
      <c r="B10" s="61" t="s">
        <v>292</v>
      </c>
      <c r="C10" s="134">
        <v>745</v>
      </c>
      <c r="D10" s="61">
        <v>44</v>
      </c>
      <c r="E10" s="61">
        <v>41</v>
      </c>
      <c r="F10" s="170">
        <v>0.93180000000000007</v>
      </c>
      <c r="G10" s="136">
        <v>1209.8900000000001</v>
      </c>
      <c r="H10" s="146">
        <v>1.62</v>
      </c>
      <c r="I10" s="136">
        <v>1016.39</v>
      </c>
      <c r="J10" s="146">
        <v>1.36</v>
      </c>
    </row>
    <row r="11" spans="2:10" s="31" customFormat="1" ht="30" customHeight="1" x14ac:dyDescent="0.25">
      <c r="B11" s="61" t="s">
        <v>294</v>
      </c>
      <c r="C11" s="134">
        <v>745</v>
      </c>
      <c r="D11" s="61">
        <v>36</v>
      </c>
      <c r="E11" s="61">
        <v>33</v>
      </c>
      <c r="F11" s="170">
        <v>0.91670000000000007</v>
      </c>
      <c r="G11" s="136">
        <v>1222.08</v>
      </c>
      <c r="H11" s="146">
        <v>1.64</v>
      </c>
      <c r="I11" s="136">
        <v>1044.3900000000001</v>
      </c>
      <c r="J11" s="146">
        <v>1.4</v>
      </c>
    </row>
    <row r="12" spans="2:10" s="31" customFormat="1" ht="30" customHeight="1" x14ac:dyDescent="0.25">
      <c r="B12" s="61" t="s">
        <v>296</v>
      </c>
      <c r="C12" s="134">
        <v>996</v>
      </c>
      <c r="D12" s="61">
        <v>2</v>
      </c>
      <c r="E12" s="61">
        <v>2</v>
      </c>
      <c r="F12" s="170">
        <v>1</v>
      </c>
      <c r="G12" s="136">
        <v>1335</v>
      </c>
      <c r="H12" s="146">
        <v>1.34</v>
      </c>
      <c r="I12" s="136">
        <v>1102.5</v>
      </c>
      <c r="J12" s="146">
        <v>1.1100000000000001</v>
      </c>
    </row>
    <row r="13" spans="2:10" s="31" customFormat="1" ht="30" customHeight="1" x14ac:dyDescent="0.25">
      <c r="B13" s="61" t="s">
        <v>295</v>
      </c>
      <c r="C13" s="134">
        <v>996</v>
      </c>
      <c r="D13" s="61">
        <v>30</v>
      </c>
      <c r="E13" s="61">
        <v>30</v>
      </c>
      <c r="F13" s="170">
        <v>1</v>
      </c>
      <c r="G13" s="136">
        <v>1414</v>
      </c>
      <c r="H13" s="146">
        <v>1.42</v>
      </c>
      <c r="I13" s="136">
        <v>1197.3699999999999</v>
      </c>
      <c r="J13" s="146">
        <v>1.2</v>
      </c>
    </row>
    <row r="14" spans="2:10" s="31" customFormat="1" ht="30" customHeight="1" x14ac:dyDescent="0.25">
      <c r="B14" s="61" t="s">
        <v>297</v>
      </c>
      <c r="C14" s="134">
        <v>1024</v>
      </c>
      <c r="D14" s="61">
        <v>1</v>
      </c>
      <c r="E14" s="61">
        <v>1</v>
      </c>
      <c r="F14" s="170">
        <v>1</v>
      </c>
      <c r="G14" s="136">
        <v>1440</v>
      </c>
      <c r="H14" s="146">
        <v>1.41</v>
      </c>
      <c r="I14" s="136">
        <v>1185</v>
      </c>
      <c r="J14" s="146">
        <v>1.1599999999999999</v>
      </c>
    </row>
    <row r="15" spans="2:10" s="31" customFormat="1" ht="30" customHeight="1" x14ac:dyDescent="0.25">
      <c r="B15" s="61" t="s">
        <v>293</v>
      </c>
      <c r="C15" s="134">
        <v>1024</v>
      </c>
      <c r="D15" s="61">
        <v>51</v>
      </c>
      <c r="E15" s="61">
        <v>50</v>
      </c>
      <c r="F15" s="170">
        <v>0.98040000000000005</v>
      </c>
      <c r="G15" s="136">
        <v>1485.1</v>
      </c>
      <c r="H15" s="146">
        <v>1.45</v>
      </c>
      <c r="I15" s="136">
        <v>1242.56</v>
      </c>
      <c r="J15" s="146">
        <v>1.21</v>
      </c>
    </row>
    <row r="16" spans="2:10" s="31" customFormat="1" ht="30" customHeight="1" x14ac:dyDescent="0.25">
      <c r="B16" s="61" t="s">
        <v>288</v>
      </c>
      <c r="C16" s="134">
        <v>1320</v>
      </c>
      <c r="D16" s="61">
        <v>32</v>
      </c>
      <c r="E16" s="61">
        <v>31</v>
      </c>
      <c r="F16" s="170">
        <v>0.96879999999999999</v>
      </c>
      <c r="G16" s="136">
        <v>1611.88</v>
      </c>
      <c r="H16" s="146">
        <v>1.22</v>
      </c>
      <c r="I16" s="136">
        <v>1422.77</v>
      </c>
      <c r="J16" s="146">
        <v>1.08</v>
      </c>
    </row>
    <row r="17" spans="2:10" s="31" customFormat="1" ht="30" customHeight="1" x14ac:dyDescent="0.25">
      <c r="B17" s="165" t="s">
        <v>303</v>
      </c>
      <c r="C17" s="166">
        <v>880</v>
      </c>
      <c r="D17" s="165">
        <v>258</v>
      </c>
      <c r="E17" s="165">
        <v>245</v>
      </c>
      <c r="F17" s="171">
        <v>0.94959999999999989</v>
      </c>
      <c r="G17" s="168">
        <v>1322.77</v>
      </c>
      <c r="H17" s="169">
        <v>1.5</v>
      </c>
      <c r="I17" s="168">
        <v>1122.67</v>
      </c>
      <c r="J17" s="169">
        <v>1.27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194F4-5942-4822-BBC5-E8C577EEE7B3}">
  <dimension ref="C3:K17"/>
  <sheetViews>
    <sheetView showGridLines="0" workbookViewId="0">
      <selection activeCell="D6" sqref="D6"/>
    </sheetView>
  </sheetViews>
  <sheetFormatPr defaultColWidth="8.7265625" defaultRowHeight="15" x14ac:dyDescent="0.3"/>
  <cols>
    <col min="1" max="2" width="8.7265625" style="25"/>
    <col min="3" max="3" width="28.81640625" style="25" bestFit="1" customWidth="1"/>
    <col min="4" max="4" width="25.54296875" style="25" bestFit="1" customWidth="1"/>
    <col min="5" max="5" width="12.7265625" style="59" bestFit="1" customWidth="1"/>
    <col min="6" max="6" width="15.453125" style="59" bestFit="1" customWidth="1"/>
    <col min="7" max="7" width="12.54296875" style="59" customWidth="1"/>
    <col min="8" max="8" width="3.54296875" style="59" customWidth="1"/>
    <col min="9" max="11" width="12.54296875" style="59" customWidth="1"/>
    <col min="12" max="16384" width="8.7265625" style="25"/>
  </cols>
  <sheetData>
    <row r="3" spans="3:11" ht="22.5" x14ac:dyDescent="0.45">
      <c r="C3" s="66" t="s">
        <v>437</v>
      </c>
    </row>
    <row r="4" spans="3:11" x14ac:dyDescent="0.3">
      <c r="I4" s="45" t="s">
        <v>422</v>
      </c>
      <c r="J4" s="45"/>
      <c r="K4" s="45"/>
    </row>
    <row r="5" spans="3:11" s="31" customFormat="1" ht="30" customHeight="1" thickBot="1" x14ac:dyDescent="0.35">
      <c r="C5" s="41" t="s">
        <v>417</v>
      </c>
      <c r="D5" s="41" t="s">
        <v>416</v>
      </c>
      <c r="E5" s="139" t="s">
        <v>443</v>
      </c>
      <c r="F5" s="139" t="s">
        <v>442</v>
      </c>
      <c r="G5" s="60" t="s">
        <v>418</v>
      </c>
      <c r="H5" s="60"/>
      <c r="I5" s="60" t="s">
        <v>419</v>
      </c>
      <c r="J5" s="60" t="s">
        <v>420</v>
      </c>
      <c r="K5" s="60" t="s">
        <v>323</v>
      </c>
    </row>
    <row r="6" spans="3:11" s="31" customFormat="1" ht="30" customHeight="1" x14ac:dyDescent="0.25">
      <c r="C6" s="31" t="s">
        <v>413</v>
      </c>
      <c r="D6" s="31" t="s">
        <v>425</v>
      </c>
      <c r="E6" s="138">
        <v>8.5</v>
      </c>
      <c r="F6" s="61">
        <v>1974</v>
      </c>
      <c r="G6" s="134">
        <v>138</v>
      </c>
      <c r="H6" s="134"/>
      <c r="I6" s="135">
        <v>45323</v>
      </c>
      <c r="J6" s="136">
        <v>13370000</v>
      </c>
      <c r="K6" s="136">
        <f t="shared" ref="K6:K11" si="0">+ROUND(J6/G6,-3)</f>
        <v>97000</v>
      </c>
    </row>
    <row r="7" spans="3:11" s="31" customFormat="1" ht="30" customHeight="1" x14ac:dyDescent="0.25">
      <c r="C7" s="31" t="s">
        <v>434</v>
      </c>
      <c r="D7" s="31" t="s">
        <v>435</v>
      </c>
      <c r="E7" s="138">
        <v>7.5</v>
      </c>
      <c r="F7" s="61" t="s">
        <v>436</v>
      </c>
      <c r="G7" s="134">
        <v>242</v>
      </c>
      <c r="H7" s="134"/>
      <c r="I7" s="135">
        <v>45323</v>
      </c>
      <c r="J7" s="136">
        <v>26030000</v>
      </c>
      <c r="K7" s="136">
        <f t="shared" si="0"/>
        <v>108000</v>
      </c>
    </row>
    <row r="8" spans="3:11" s="31" customFormat="1" ht="30" customHeight="1" x14ac:dyDescent="0.25">
      <c r="C8" s="31" t="s">
        <v>414</v>
      </c>
      <c r="D8" s="31" t="s">
        <v>423</v>
      </c>
      <c r="E8" s="138">
        <v>6.37</v>
      </c>
      <c r="F8" s="61" t="s">
        <v>424</v>
      </c>
      <c r="G8" s="134">
        <v>227</v>
      </c>
      <c r="H8" s="134"/>
      <c r="I8" s="135">
        <v>45323</v>
      </c>
      <c r="J8" s="136">
        <v>25830000</v>
      </c>
      <c r="K8" s="136">
        <f t="shared" si="0"/>
        <v>114000</v>
      </c>
    </row>
    <row r="9" spans="3:11" s="31" customFormat="1" ht="30" customHeight="1" x14ac:dyDescent="0.25">
      <c r="C9" s="31" t="s">
        <v>415</v>
      </c>
      <c r="D9" s="31" t="s">
        <v>426</v>
      </c>
      <c r="E9" s="138">
        <v>13.95</v>
      </c>
      <c r="F9" s="61" t="s">
        <v>427</v>
      </c>
      <c r="G9" s="134">
        <v>216</v>
      </c>
      <c r="H9" s="134"/>
      <c r="I9" s="135">
        <v>45658</v>
      </c>
      <c r="J9" s="136">
        <v>20300000</v>
      </c>
      <c r="K9" s="136">
        <f t="shared" si="0"/>
        <v>94000</v>
      </c>
    </row>
    <row r="10" spans="3:11" s="31" customFormat="1" ht="30" customHeight="1" x14ac:dyDescent="0.25">
      <c r="C10" s="31" t="s">
        <v>428</v>
      </c>
      <c r="D10" s="31" t="s">
        <v>429</v>
      </c>
      <c r="E10" s="138">
        <v>3.76</v>
      </c>
      <c r="F10" s="61" t="s">
        <v>430</v>
      </c>
      <c r="G10" s="134">
        <v>195</v>
      </c>
      <c r="H10" s="134"/>
      <c r="I10" s="135">
        <v>45778</v>
      </c>
      <c r="J10" s="136">
        <v>23358000</v>
      </c>
      <c r="K10" s="136">
        <f t="shared" si="0"/>
        <v>120000</v>
      </c>
    </row>
    <row r="11" spans="3:11" s="31" customFormat="1" ht="30" customHeight="1" x14ac:dyDescent="0.25">
      <c r="C11" s="31" t="s">
        <v>431</v>
      </c>
      <c r="D11" s="31" t="s">
        <v>432</v>
      </c>
      <c r="E11" s="138">
        <v>0.27</v>
      </c>
      <c r="F11" s="61" t="s">
        <v>433</v>
      </c>
      <c r="G11" s="134">
        <v>332</v>
      </c>
      <c r="H11" s="134"/>
      <c r="I11" s="135">
        <v>45870</v>
      </c>
      <c r="J11" s="136">
        <v>37000000</v>
      </c>
      <c r="K11" s="136">
        <f t="shared" si="0"/>
        <v>111000</v>
      </c>
    </row>
    <row r="12" spans="3:11" s="31" customFormat="1" ht="5.15" customHeight="1" x14ac:dyDescent="0.25">
      <c r="E12" s="138"/>
      <c r="F12" s="61"/>
      <c r="G12" s="134"/>
      <c r="H12" s="134"/>
      <c r="I12" s="135"/>
      <c r="J12" s="136"/>
      <c r="K12" s="136"/>
    </row>
    <row r="13" spans="3:11" s="31" customFormat="1" ht="30" customHeight="1" x14ac:dyDescent="0.25">
      <c r="C13" s="156" t="s">
        <v>421</v>
      </c>
      <c r="D13" s="156"/>
      <c r="E13" s="157"/>
      <c r="F13" s="158"/>
      <c r="G13" s="159">
        <f>+SUM(G6:G12)</f>
        <v>1350</v>
      </c>
      <c r="H13" s="159"/>
      <c r="I13" s="163"/>
      <c r="J13" s="160">
        <f>+SUM(J6:J12)</f>
        <v>145888000</v>
      </c>
      <c r="K13" s="160">
        <f>+ROUND(J13/G13,-3)</f>
        <v>108000</v>
      </c>
    </row>
    <row r="15" spans="3:11" s="31" customFormat="1" ht="30" customHeight="1" x14ac:dyDescent="0.25">
      <c r="C15" s="140" t="s">
        <v>447</v>
      </c>
      <c r="D15" s="140" t="s">
        <v>444</v>
      </c>
      <c r="E15" s="141">
        <v>0</v>
      </c>
      <c r="F15" s="142" t="s">
        <v>445</v>
      </c>
      <c r="G15" s="143">
        <v>258</v>
      </c>
      <c r="H15" s="143"/>
      <c r="I15" s="144"/>
      <c r="J15" s="145">
        <f>+'Sources &amp; Uses'!C11</f>
        <v>14970000</v>
      </c>
      <c r="K15" s="145">
        <f>+ROUND(J15/G15,-3)</f>
        <v>58000</v>
      </c>
    </row>
    <row r="17" spans="3:3" x14ac:dyDescent="0.3">
      <c r="C17" s="57" t="s">
        <v>448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2E4C0-DECD-4B5D-843A-C0B7591D8307}">
  <dimension ref="C3:M30"/>
  <sheetViews>
    <sheetView showGridLines="0" zoomScale="85" zoomScaleNormal="85" workbookViewId="0">
      <selection activeCell="D6" sqref="D6"/>
    </sheetView>
  </sheetViews>
  <sheetFormatPr defaultColWidth="8.7265625" defaultRowHeight="15" outlineLevelCol="1" x14ac:dyDescent="0.3"/>
  <cols>
    <col min="1" max="2" width="8.7265625" style="25"/>
    <col min="3" max="3" width="27.453125" style="25" bestFit="1" customWidth="1"/>
    <col min="4" max="4" width="25.54296875" style="25" hidden="1" customWidth="1" outlineLevel="1"/>
    <col min="5" max="5" width="12.7265625" style="59" bestFit="1" customWidth="1" collapsed="1"/>
    <col min="6" max="6" width="15.453125" style="59" bestFit="1" customWidth="1"/>
    <col min="7" max="8" width="12.54296875" style="59" customWidth="1"/>
    <col min="9" max="10" width="12.54296875" style="59" hidden="1" customWidth="1" outlineLevel="1"/>
    <col min="11" max="11" width="12.54296875" style="59" customWidth="1" collapsed="1"/>
    <col min="12" max="13" width="12.54296875" style="59" customWidth="1"/>
    <col min="14" max="16384" width="8.7265625" style="25"/>
  </cols>
  <sheetData>
    <row r="3" spans="3:13" ht="22.5" x14ac:dyDescent="0.45">
      <c r="C3" s="66" t="s">
        <v>438</v>
      </c>
    </row>
    <row r="5" spans="3:13" s="31" customFormat="1" ht="30" customHeight="1" thickBot="1" x14ac:dyDescent="0.35">
      <c r="C5" s="41" t="s">
        <v>417</v>
      </c>
      <c r="D5" s="41" t="s">
        <v>416</v>
      </c>
      <c r="E5" s="139" t="s">
        <v>443</v>
      </c>
      <c r="F5" s="139" t="s">
        <v>442</v>
      </c>
      <c r="G5" s="60" t="s">
        <v>418</v>
      </c>
      <c r="H5" s="139" t="s">
        <v>449</v>
      </c>
      <c r="I5" s="139" t="s">
        <v>450</v>
      </c>
      <c r="J5" s="139" t="s">
        <v>451</v>
      </c>
      <c r="K5" s="139" t="s">
        <v>452</v>
      </c>
      <c r="L5" s="139" t="s">
        <v>453</v>
      </c>
      <c r="M5" s="139" t="s">
        <v>454</v>
      </c>
    </row>
    <row r="6" spans="3:13" s="31" customFormat="1" ht="30" customHeight="1" x14ac:dyDescent="0.25">
      <c r="C6" s="31" t="s">
        <v>439</v>
      </c>
      <c r="D6" s="31" t="s">
        <v>455</v>
      </c>
      <c r="E6" s="138">
        <v>2.0299999999999998</v>
      </c>
      <c r="F6" s="61">
        <v>1970</v>
      </c>
      <c r="G6" s="134">
        <v>396</v>
      </c>
      <c r="H6" s="134">
        <v>1000</v>
      </c>
      <c r="I6" s="136">
        <v>1094</v>
      </c>
      <c r="J6" s="146">
        <v>1.0900000000000001</v>
      </c>
      <c r="K6" s="136">
        <v>1094</v>
      </c>
      <c r="L6" s="146">
        <v>1.0900000000000001</v>
      </c>
      <c r="M6" s="147">
        <v>0.91</v>
      </c>
    </row>
    <row r="7" spans="3:13" s="31" customFormat="1" ht="30" customHeight="1" x14ac:dyDescent="0.25">
      <c r="C7" s="31" t="s">
        <v>440</v>
      </c>
      <c r="D7" s="31" t="s">
        <v>456</v>
      </c>
      <c r="E7" s="138">
        <f>4791/5280</f>
        <v>0.9073863636363636</v>
      </c>
      <c r="F7" s="61">
        <v>1972</v>
      </c>
      <c r="G7" s="134">
        <v>356</v>
      </c>
      <c r="H7" s="134">
        <v>960</v>
      </c>
      <c r="I7" s="136">
        <v>1107</v>
      </c>
      <c r="J7" s="146">
        <v>1.1499999999999999</v>
      </c>
      <c r="K7" s="136">
        <v>1022</v>
      </c>
      <c r="L7" s="146">
        <v>1.06</v>
      </c>
      <c r="M7" s="147">
        <v>0.92</v>
      </c>
    </row>
    <row r="8" spans="3:13" s="31" customFormat="1" ht="30" customHeight="1" x14ac:dyDescent="0.25">
      <c r="C8" s="31" t="s">
        <v>431</v>
      </c>
      <c r="D8" s="31" t="s">
        <v>432</v>
      </c>
      <c r="E8" s="138">
        <v>0.27</v>
      </c>
      <c r="F8" s="61" t="s">
        <v>433</v>
      </c>
      <c r="G8" s="134">
        <v>332</v>
      </c>
      <c r="H8" s="134">
        <v>983</v>
      </c>
      <c r="I8" s="136">
        <v>1233</v>
      </c>
      <c r="J8" s="146">
        <v>1.25</v>
      </c>
      <c r="K8" s="136">
        <v>1233</v>
      </c>
      <c r="L8" s="146">
        <v>1.25</v>
      </c>
      <c r="M8" s="147">
        <v>0.79</v>
      </c>
    </row>
    <row r="9" spans="3:13" s="31" customFormat="1" ht="30" customHeight="1" x14ac:dyDescent="0.25">
      <c r="C9" s="31" t="s">
        <v>441</v>
      </c>
      <c r="D9" s="31" t="s">
        <v>457</v>
      </c>
      <c r="E9" s="138">
        <f>669/5280</f>
        <v>0.12670454545454546</v>
      </c>
      <c r="F9" s="61">
        <v>1986</v>
      </c>
      <c r="G9" s="134">
        <v>168</v>
      </c>
      <c r="H9" s="134">
        <v>893</v>
      </c>
      <c r="I9" s="136">
        <v>1048</v>
      </c>
      <c r="J9" s="146">
        <v>1.17</v>
      </c>
      <c r="K9" s="136">
        <v>1048</v>
      </c>
      <c r="L9" s="146">
        <v>1.17</v>
      </c>
      <c r="M9" s="147">
        <v>0.99</v>
      </c>
    </row>
    <row r="10" spans="3:13" s="31" customFormat="1" ht="5.15" customHeight="1" x14ac:dyDescent="0.25">
      <c r="E10" s="138"/>
      <c r="F10" s="61"/>
      <c r="G10" s="134"/>
      <c r="H10" s="135"/>
      <c r="I10" s="136"/>
      <c r="J10" s="136"/>
      <c r="K10" s="137"/>
      <c r="L10" s="137"/>
      <c r="M10" s="137"/>
    </row>
    <row r="11" spans="3:13" s="31" customFormat="1" ht="30" customHeight="1" x14ac:dyDescent="0.25">
      <c r="C11" s="156" t="s">
        <v>421</v>
      </c>
      <c r="D11" s="156"/>
      <c r="E11" s="157"/>
      <c r="F11" s="158"/>
      <c r="G11" s="159">
        <f>+SUM(G6:G10)</f>
        <v>1252</v>
      </c>
      <c r="H11" s="159">
        <f>+SUMPRODUCT($G$6:$G$10,H$6:H$10)/$G11</f>
        <v>969.76038338658145</v>
      </c>
      <c r="I11" s="160">
        <f t="shared" ref="I11:M11" si="0">+SUMPRODUCT($G$6:$G$10,I$6:I$10)/$G11</f>
        <v>1128.3833865814697</v>
      </c>
      <c r="J11" s="161">
        <f t="shared" si="0"/>
        <v>1.1602236421725238</v>
      </c>
      <c r="K11" s="160">
        <f t="shared" si="0"/>
        <v>1104.2140575079873</v>
      </c>
      <c r="L11" s="161">
        <f t="shared" si="0"/>
        <v>1.1346325878594248</v>
      </c>
      <c r="M11" s="162">
        <f t="shared" si="0"/>
        <v>0.89175718849840258</v>
      </c>
    </row>
    <row r="12" spans="3:13" s="31" customFormat="1" ht="30" customHeight="1" x14ac:dyDescent="0.25">
      <c r="C12" s="118"/>
      <c r="D12" s="118"/>
      <c r="E12" s="148"/>
      <c r="F12" s="149"/>
      <c r="G12" s="150"/>
      <c r="H12" s="151"/>
      <c r="I12" s="152"/>
      <c r="J12" s="152"/>
      <c r="K12" s="153"/>
      <c r="L12" s="153"/>
      <c r="M12" s="153"/>
    </row>
    <row r="13" spans="3:13" s="31" customFormat="1" ht="30" customHeight="1" x14ac:dyDescent="0.25">
      <c r="C13" s="140" t="s">
        <v>446</v>
      </c>
      <c r="D13" s="140" t="s">
        <v>444</v>
      </c>
      <c r="E13" s="141">
        <v>0</v>
      </c>
      <c r="F13" s="142" t="s">
        <v>445</v>
      </c>
      <c r="G13" s="143">
        <v>258</v>
      </c>
      <c r="H13" s="143">
        <v>880</v>
      </c>
      <c r="I13" s="145">
        <v>1323</v>
      </c>
      <c r="J13" s="155">
        <v>1.5</v>
      </c>
      <c r="K13" s="145">
        <v>1123</v>
      </c>
      <c r="L13" s="155">
        <v>1.27</v>
      </c>
      <c r="M13" s="154">
        <v>0.95</v>
      </c>
    </row>
    <row r="17" s="25" customFormat="1" x14ac:dyDescent="0.3"/>
    <row r="18" s="25" customFormat="1" x14ac:dyDescent="0.3"/>
    <row r="19" s="25" customFormat="1" x14ac:dyDescent="0.3"/>
    <row r="20" s="25" customFormat="1" x14ac:dyDescent="0.3"/>
    <row r="21" s="25" customFormat="1" x14ac:dyDescent="0.3"/>
    <row r="22" s="25" customFormat="1" x14ac:dyDescent="0.3"/>
    <row r="23" s="25" customFormat="1" x14ac:dyDescent="0.3"/>
    <row r="24" s="25" customFormat="1" x14ac:dyDescent="0.3"/>
    <row r="25" s="25" customFormat="1" x14ac:dyDescent="0.3"/>
    <row r="26" s="25" customFormat="1" x14ac:dyDescent="0.3"/>
    <row r="27" s="25" customFormat="1" x14ac:dyDescent="0.3"/>
    <row r="28" s="25" customFormat="1" x14ac:dyDescent="0.3"/>
    <row r="29" s="25" customFormat="1" x14ac:dyDescent="0.3"/>
    <row r="30" s="25" customFormat="1" x14ac:dyDescent="0.3"/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569AE-780A-4C46-99C8-4501958B624A}">
  <dimension ref="A1:U231"/>
  <sheetViews>
    <sheetView showWhiteSpace="0" topLeftCell="A130" workbookViewId="0">
      <selection activeCell="A166" sqref="A166"/>
    </sheetView>
  </sheetViews>
  <sheetFormatPr defaultRowHeight="14" x14ac:dyDescent="0.3"/>
  <cols>
    <col min="1" max="1" width="3.54296875" style="21" customWidth="1"/>
    <col min="2" max="2" width="68.1796875" style="210" bestFit="1" customWidth="1"/>
    <col min="3" max="3" width="23.54296875" style="210" bestFit="1" customWidth="1"/>
    <col min="4" max="4" width="25.54296875" style="210" bestFit="1" customWidth="1"/>
    <col min="5" max="11" width="23.54296875" style="210" bestFit="1" customWidth="1"/>
    <col min="12" max="13" width="25.54296875" style="210" bestFit="1" customWidth="1"/>
    <col min="14" max="14" width="23.54296875" style="210" bestFit="1" customWidth="1"/>
    <col min="15" max="15" width="27.453125" style="210" bestFit="1" customWidth="1"/>
    <col min="16" max="16" width="8.7265625" style="210"/>
    <col min="17" max="21" width="15.54296875" style="210" customWidth="1"/>
    <col min="22" max="16384" width="8.7265625" style="210"/>
  </cols>
  <sheetData>
    <row r="1" spans="2:21" ht="23" x14ac:dyDescent="0.5">
      <c r="B1" s="218" t="s">
        <v>520</v>
      </c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</row>
    <row r="2" spans="2:21" ht="14" customHeight="1" x14ac:dyDescent="0.3">
      <c r="B2" s="219" t="s">
        <v>1014</v>
      </c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</row>
    <row r="3" spans="2:21" x14ac:dyDescent="0.3">
      <c r="B3" s="219"/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4"/>
    </row>
    <row r="4" spans="2:21" ht="16.5" customHeight="1" x14ac:dyDescent="0.3">
      <c r="B4" s="220" t="s">
        <v>522</v>
      </c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</row>
    <row r="5" spans="2:21" ht="16.5" customHeight="1" x14ac:dyDescent="0.3">
      <c r="B5" s="220" t="s">
        <v>1015</v>
      </c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</row>
    <row r="6" spans="2:21" ht="16.5" x14ac:dyDescent="0.3">
      <c r="B6" s="220" t="s">
        <v>524</v>
      </c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</row>
    <row r="7" spans="2:21" ht="16.5" customHeight="1" x14ac:dyDescent="0.3">
      <c r="B7" s="220" t="s">
        <v>1016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</row>
    <row r="8" spans="2:21" ht="16.5" x14ac:dyDescent="0.3">
      <c r="B8" s="220" t="s">
        <v>526</v>
      </c>
      <c r="C8" s="245"/>
      <c r="D8" s="245"/>
      <c r="E8" s="245"/>
      <c r="F8" s="245"/>
      <c r="G8" s="245"/>
      <c r="H8" s="245"/>
      <c r="I8" s="245"/>
      <c r="J8" s="245"/>
      <c r="K8" s="245"/>
      <c r="L8" s="245"/>
      <c r="M8" s="245"/>
      <c r="N8" s="245"/>
      <c r="O8" s="245"/>
    </row>
    <row r="9" spans="2:21" ht="16.5" customHeight="1" x14ac:dyDescent="0.3">
      <c r="B9" s="220" t="s">
        <v>527</v>
      </c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</row>
    <row r="10" spans="2:21" ht="16.5" x14ac:dyDescent="0.3">
      <c r="B10" s="220" t="s">
        <v>528</v>
      </c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</row>
    <row r="11" spans="2:21" ht="16.5" customHeight="1" x14ac:dyDescent="0.3">
      <c r="B11" s="220" t="s">
        <v>529</v>
      </c>
      <c r="C11" s="245"/>
      <c r="D11" s="245"/>
      <c r="E11" s="245"/>
      <c r="F11" s="245"/>
      <c r="G11" s="245"/>
      <c r="H11" s="245"/>
      <c r="I11" s="245"/>
      <c r="J11" s="245"/>
      <c r="K11" s="245"/>
      <c r="L11" s="245"/>
      <c r="M11" s="245"/>
      <c r="N11" s="245"/>
      <c r="O11" s="245"/>
    </row>
    <row r="12" spans="2:21" x14ac:dyDescent="0.3">
      <c r="B12" s="244"/>
      <c r="C12" s="244"/>
      <c r="D12" s="244"/>
      <c r="E12" s="244"/>
      <c r="F12" s="244"/>
      <c r="G12" s="244"/>
      <c r="H12" s="244"/>
      <c r="I12" s="244"/>
      <c r="J12" s="244"/>
      <c r="K12" s="244"/>
      <c r="L12" s="244"/>
      <c r="M12" s="244"/>
      <c r="N12" s="244"/>
      <c r="O12" s="244"/>
    </row>
    <row r="13" spans="2:21" ht="16.5" x14ac:dyDescent="0.35">
      <c r="B13" s="211" t="s">
        <v>467</v>
      </c>
      <c r="C13" s="211" t="s">
        <v>469</v>
      </c>
      <c r="D13" s="211" t="s">
        <v>470</v>
      </c>
      <c r="E13" s="211" t="s">
        <v>471</v>
      </c>
      <c r="F13" s="211" t="s">
        <v>472</v>
      </c>
      <c r="G13" s="211" t="s">
        <v>473</v>
      </c>
      <c r="H13" s="211" t="s">
        <v>474</v>
      </c>
      <c r="I13" s="211" t="s">
        <v>475</v>
      </c>
      <c r="J13" s="211" t="s">
        <v>476</v>
      </c>
      <c r="K13" s="211" t="s">
        <v>477</v>
      </c>
      <c r="L13" s="211" t="s">
        <v>478</v>
      </c>
      <c r="M13" s="211" t="s">
        <v>479</v>
      </c>
      <c r="N13" s="211" t="s">
        <v>1017</v>
      </c>
      <c r="O13" s="211" t="s">
        <v>3</v>
      </c>
      <c r="Q13" s="175" t="s">
        <v>305</v>
      </c>
      <c r="R13" s="175" t="s">
        <v>481</v>
      </c>
      <c r="S13" s="175" t="s">
        <v>306</v>
      </c>
      <c r="T13" s="175" t="s">
        <v>482</v>
      </c>
      <c r="U13" s="175" t="s">
        <v>307</v>
      </c>
    </row>
    <row r="14" spans="2:21" ht="15.5" x14ac:dyDescent="0.35">
      <c r="B14" s="212" t="s">
        <v>530</v>
      </c>
      <c r="C14" s="213"/>
      <c r="D14" s="213"/>
      <c r="E14" s="213"/>
      <c r="F14" s="213"/>
      <c r="G14" s="213"/>
      <c r="H14" s="213"/>
      <c r="I14" s="213"/>
      <c r="J14" s="213"/>
      <c r="K14" s="213"/>
      <c r="L14" s="213"/>
      <c r="M14" s="213"/>
      <c r="N14" s="213"/>
      <c r="O14" s="213"/>
    </row>
    <row r="15" spans="2:21" ht="15.5" x14ac:dyDescent="0.35">
      <c r="B15" s="212" t="s">
        <v>531</v>
      </c>
      <c r="C15" s="213"/>
      <c r="D15" s="213"/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213"/>
    </row>
    <row r="16" spans="2:21" ht="15.5" x14ac:dyDescent="0.35">
      <c r="B16" s="212" t="s">
        <v>532</v>
      </c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3"/>
    </row>
    <row r="17" spans="1:21" ht="15.5" x14ac:dyDescent="0.35">
      <c r="A17" s="21">
        <v>1</v>
      </c>
      <c r="B17" s="214" t="s">
        <v>535</v>
      </c>
      <c r="C17" s="215">
        <v>144721.54999999999</v>
      </c>
      <c r="D17" s="215">
        <v>146896.53</v>
      </c>
      <c r="E17" s="215">
        <v>147357.5</v>
      </c>
      <c r="F17" s="215">
        <v>147078</v>
      </c>
      <c r="G17" s="215">
        <v>147078</v>
      </c>
      <c r="H17" s="215">
        <v>147078</v>
      </c>
      <c r="I17" s="215">
        <v>154421</v>
      </c>
      <c r="J17" s="215">
        <v>155067.12</v>
      </c>
      <c r="K17" s="215">
        <v>142265.39000000001</v>
      </c>
      <c r="L17" s="215">
        <v>136185.29999999999</v>
      </c>
      <c r="M17" s="215">
        <v>139780.78</v>
      </c>
      <c r="N17" s="215">
        <v>143362</v>
      </c>
      <c r="O17" s="215">
        <v>1751291.17</v>
      </c>
      <c r="Q17" s="215">
        <f>+N17*12</f>
        <v>1720344</v>
      </c>
      <c r="R17" s="215">
        <f>+SUM(M17:N17)*6</f>
        <v>1698856.6800000002</v>
      </c>
      <c r="S17" s="215">
        <f>+SUM(L17:N17)*4</f>
        <v>1677312.3199999998</v>
      </c>
      <c r="T17" s="215">
        <f>+SUM(I17:N17)*2</f>
        <v>1742163.1800000002</v>
      </c>
      <c r="U17" s="215">
        <f>+SUM(C17:N17)</f>
        <v>1751291.17</v>
      </c>
    </row>
    <row r="18" spans="1:21" ht="15.5" x14ac:dyDescent="0.35">
      <c r="A18" s="21">
        <v>1</v>
      </c>
      <c r="B18" s="214" t="s">
        <v>536</v>
      </c>
      <c r="C18" s="215">
        <v>-7553.26</v>
      </c>
      <c r="D18" s="215">
        <v>-9302.8799999999992</v>
      </c>
      <c r="E18" s="215">
        <v>-7219.92</v>
      </c>
      <c r="F18" s="215">
        <v>-11409.39</v>
      </c>
      <c r="G18" s="215">
        <v>-7196.23</v>
      </c>
      <c r="H18" s="215">
        <v>-8458.77</v>
      </c>
      <c r="I18" s="215">
        <v>-15965.57</v>
      </c>
      <c r="J18" s="215">
        <v>-3498.54</v>
      </c>
      <c r="K18" s="215">
        <v>-1535.7</v>
      </c>
      <c r="L18" s="215">
        <v>856.42</v>
      </c>
      <c r="M18" s="215">
        <v>-158.9</v>
      </c>
      <c r="N18" s="215">
        <v>-1700.4</v>
      </c>
      <c r="O18" s="215">
        <v>-73143.14</v>
      </c>
      <c r="Q18" s="215">
        <f t="shared" ref="Q18:Q81" si="0">+N18*12</f>
        <v>-20404.800000000003</v>
      </c>
      <c r="R18" s="215">
        <f t="shared" ref="R18:R81" si="1">+SUM(M18:N18)*6</f>
        <v>-11155.800000000001</v>
      </c>
      <c r="S18" s="215">
        <f t="shared" ref="S18:S81" si="2">+SUM(L18:N18)*4</f>
        <v>-4011.5200000000004</v>
      </c>
      <c r="T18" s="215">
        <f t="shared" ref="T18:T81" si="3">+SUM(I18:N18)*2</f>
        <v>-44005.380000000012</v>
      </c>
      <c r="U18" s="215">
        <f t="shared" ref="U18:U81" si="4">+SUM(C18:N18)</f>
        <v>-73143.13999999997</v>
      </c>
    </row>
    <row r="19" spans="1:21" ht="15.5" x14ac:dyDescent="0.35">
      <c r="A19" s="21">
        <v>1</v>
      </c>
      <c r="B19" s="214" t="s">
        <v>537</v>
      </c>
      <c r="C19" s="215">
        <v>-100</v>
      </c>
      <c r="D19" s="215">
        <v>-700</v>
      </c>
      <c r="E19" s="215">
        <v>-1200</v>
      </c>
      <c r="F19" s="215">
        <v>-320</v>
      </c>
      <c r="G19" s="215">
        <v>-200</v>
      </c>
      <c r="H19" s="215">
        <v>-1849</v>
      </c>
      <c r="I19" s="215">
        <v>-1659</v>
      </c>
      <c r="J19" s="215">
        <v>-1409</v>
      </c>
      <c r="K19" s="215">
        <v>-5855</v>
      </c>
      <c r="L19" s="215">
        <v>-17016.5</v>
      </c>
      <c r="M19" s="215">
        <v>-19220.5</v>
      </c>
      <c r="N19" s="215">
        <v>-11589.99</v>
      </c>
      <c r="O19" s="215">
        <v>-61118.99</v>
      </c>
      <c r="Q19" s="215">
        <f t="shared" si="0"/>
        <v>-139079.88</v>
      </c>
      <c r="R19" s="215">
        <f t="shared" si="1"/>
        <v>-184862.94</v>
      </c>
      <c r="S19" s="215">
        <f t="shared" si="2"/>
        <v>-191307.96</v>
      </c>
      <c r="T19" s="215">
        <f t="shared" si="3"/>
        <v>-113499.98</v>
      </c>
      <c r="U19" s="215">
        <f t="shared" si="4"/>
        <v>-61118.99</v>
      </c>
    </row>
    <row r="20" spans="1:21" ht="15.5" x14ac:dyDescent="0.35">
      <c r="A20" s="21">
        <v>3</v>
      </c>
      <c r="B20" s="214" t="s">
        <v>538</v>
      </c>
      <c r="C20" s="215">
        <v>0</v>
      </c>
      <c r="D20" s="215">
        <v>0</v>
      </c>
      <c r="E20" s="215">
        <v>0</v>
      </c>
      <c r="F20" s="215">
        <v>0</v>
      </c>
      <c r="G20" s="215">
        <v>0</v>
      </c>
      <c r="H20" s="215">
        <v>0</v>
      </c>
      <c r="I20" s="215">
        <v>-200</v>
      </c>
      <c r="J20" s="215">
        <v>-200</v>
      </c>
      <c r="K20" s="215">
        <v>-200</v>
      </c>
      <c r="L20" s="215">
        <v>-200</v>
      </c>
      <c r="M20" s="215">
        <v>-200</v>
      </c>
      <c r="N20" s="215">
        <v>-100</v>
      </c>
      <c r="O20" s="215">
        <v>-1100</v>
      </c>
      <c r="Q20" s="215">
        <f t="shared" si="0"/>
        <v>-1200</v>
      </c>
      <c r="R20" s="215">
        <f t="shared" si="1"/>
        <v>-1800</v>
      </c>
      <c r="S20" s="215">
        <f t="shared" si="2"/>
        <v>-2000</v>
      </c>
      <c r="T20" s="215">
        <f t="shared" si="3"/>
        <v>-2200</v>
      </c>
      <c r="U20" s="215">
        <f t="shared" si="4"/>
        <v>-1100</v>
      </c>
    </row>
    <row r="21" spans="1:21" ht="15.5" x14ac:dyDescent="0.35">
      <c r="A21" s="21">
        <v>3</v>
      </c>
      <c r="B21" s="214" t="s">
        <v>539</v>
      </c>
      <c r="C21" s="215">
        <v>0</v>
      </c>
      <c r="D21" s="215">
        <v>0</v>
      </c>
      <c r="E21" s="215">
        <v>0</v>
      </c>
      <c r="F21" s="215">
        <v>0</v>
      </c>
      <c r="G21" s="215">
        <v>0</v>
      </c>
      <c r="H21" s="215">
        <v>0</v>
      </c>
      <c r="I21" s="215">
        <v>0</v>
      </c>
      <c r="J21" s="215">
        <v>0</v>
      </c>
      <c r="K21" s="215">
        <v>0</v>
      </c>
      <c r="L21" s="215">
        <v>-210</v>
      </c>
      <c r="M21" s="215">
        <v>-210</v>
      </c>
      <c r="N21" s="215">
        <v>-210</v>
      </c>
      <c r="O21" s="215">
        <v>-630</v>
      </c>
      <c r="Q21" s="215">
        <f t="shared" si="0"/>
        <v>-2520</v>
      </c>
      <c r="R21" s="215">
        <f t="shared" si="1"/>
        <v>-2520</v>
      </c>
      <c r="S21" s="215">
        <f t="shared" si="2"/>
        <v>-2520</v>
      </c>
      <c r="T21" s="215">
        <f t="shared" si="3"/>
        <v>-1260</v>
      </c>
      <c r="U21" s="215">
        <f t="shared" si="4"/>
        <v>-630</v>
      </c>
    </row>
    <row r="22" spans="1:21" ht="15.5" x14ac:dyDescent="0.35">
      <c r="A22" s="21">
        <v>2</v>
      </c>
      <c r="B22" s="214" t="s">
        <v>540</v>
      </c>
      <c r="C22" s="215">
        <v>-29499.93</v>
      </c>
      <c r="D22" s="215">
        <v>-25913.5</v>
      </c>
      <c r="E22" s="215">
        <v>-24560.58</v>
      </c>
      <c r="F22" s="215">
        <v>-19223.61</v>
      </c>
      <c r="G22" s="215">
        <v>-25112.77</v>
      </c>
      <c r="H22" s="215">
        <v>-26229.23</v>
      </c>
      <c r="I22" s="215">
        <v>-29901.46</v>
      </c>
      <c r="J22" s="215">
        <v>-37429.9</v>
      </c>
      <c r="K22" s="215">
        <v>-34280.94</v>
      </c>
      <c r="L22" s="215">
        <v>-17406.099999999999</v>
      </c>
      <c r="M22" s="215">
        <v>-5336.53</v>
      </c>
      <c r="N22" s="215">
        <v>-8718.07</v>
      </c>
      <c r="O22" s="215">
        <v>-283612.62</v>
      </c>
      <c r="Q22" s="215">
        <f t="shared" si="0"/>
        <v>-104616.84</v>
      </c>
      <c r="R22" s="215">
        <f t="shared" si="1"/>
        <v>-84327.599999999991</v>
      </c>
      <c r="S22" s="215">
        <f t="shared" si="2"/>
        <v>-125842.79999999999</v>
      </c>
      <c r="T22" s="215">
        <f t="shared" si="3"/>
        <v>-266146</v>
      </c>
      <c r="U22" s="215">
        <f t="shared" si="4"/>
        <v>-283612.62000000005</v>
      </c>
    </row>
    <row r="23" spans="1:21" ht="15.5" x14ac:dyDescent="0.35">
      <c r="A23" s="21">
        <v>4</v>
      </c>
      <c r="B23" s="214" t="s">
        <v>541</v>
      </c>
      <c r="C23" s="215">
        <v>-400</v>
      </c>
      <c r="D23" s="215">
        <v>-22098.2</v>
      </c>
      <c r="E23" s="215">
        <v>-1006</v>
      </c>
      <c r="F23" s="215">
        <v>-20742.650000000001</v>
      </c>
      <c r="G23" s="215">
        <v>-26539.02</v>
      </c>
      <c r="H23" s="215">
        <v>0</v>
      </c>
      <c r="I23" s="215">
        <v>0</v>
      </c>
      <c r="J23" s="215">
        <v>-3968</v>
      </c>
      <c r="K23" s="215">
        <v>0</v>
      </c>
      <c r="L23" s="215">
        <v>-16661.189999999999</v>
      </c>
      <c r="M23" s="215">
        <v>-11674.07</v>
      </c>
      <c r="N23" s="215">
        <v>0</v>
      </c>
      <c r="O23" s="215">
        <v>-103089.13</v>
      </c>
      <c r="Q23" s="215">
        <f t="shared" si="0"/>
        <v>0</v>
      </c>
      <c r="R23" s="215">
        <f t="shared" si="1"/>
        <v>-70044.42</v>
      </c>
      <c r="S23" s="215">
        <f t="shared" si="2"/>
        <v>-113341.04</v>
      </c>
      <c r="T23" s="215">
        <f t="shared" si="3"/>
        <v>-64606.52</v>
      </c>
      <c r="U23" s="215">
        <f t="shared" si="4"/>
        <v>-103089.13</v>
      </c>
    </row>
    <row r="24" spans="1:21" ht="15.5" x14ac:dyDescent="0.35">
      <c r="B24" s="212" t="s">
        <v>542</v>
      </c>
      <c r="C24" s="216">
        <v>107168.36</v>
      </c>
      <c r="D24" s="216">
        <v>88881.95</v>
      </c>
      <c r="E24" s="216">
        <v>113371</v>
      </c>
      <c r="F24" s="216">
        <v>95382.35</v>
      </c>
      <c r="G24" s="216">
        <v>88029.98</v>
      </c>
      <c r="H24" s="216">
        <v>110541</v>
      </c>
      <c r="I24" s="216">
        <v>106694.97</v>
      </c>
      <c r="J24" s="216">
        <v>108561.68</v>
      </c>
      <c r="K24" s="216">
        <v>100393.75</v>
      </c>
      <c r="L24" s="216">
        <v>85547.93</v>
      </c>
      <c r="M24" s="216">
        <v>102980.78</v>
      </c>
      <c r="N24" s="216">
        <v>121043.54</v>
      </c>
      <c r="O24" s="216">
        <v>1228597.29</v>
      </c>
      <c r="Q24" s="216">
        <f t="shared" si="0"/>
        <v>1452522.48</v>
      </c>
      <c r="R24" s="216">
        <f t="shared" si="1"/>
        <v>1344145.92</v>
      </c>
      <c r="S24" s="216">
        <f t="shared" si="2"/>
        <v>1238289</v>
      </c>
      <c r="T24" s="216">
        <f t="shared" si="3"/>
        <v>1250445.3</v>
      </c>
      <c r="U24" s="216">
        <f t="shared" si="4"/>
        <v>1228597.29</v>
      </c>
    </row>
    <row r="25" spans="1:21" ht="15.5" x14ac:dyDescent="0.35">
      <c r="B25" s="212" t="s">
        <v>543</v>
      </c>
      <c r="C25" s="213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Q25" s="213">
        <f t="shared" si="0"/>
        <v>0</v>
      </c>
      <c r="R25" s="213">
        <f t="shared" si="1"/>
        <v>0</v>
      </c>
      <c r="S25" s="213">
        <f t="shared" si="2"/>
        <v>0</v>
      </c>
      <c r="T25" s="213">
        <f t="shared" si="3"/>
        <v>0</v>
      </c>
      <c r="U25" s="213">
        <f t="shared" si="4"/>
        <v>0</v>
      </c>
    </row>
    <row r="26" spans="1:21" ht="15.5" x14ac:dyDescent="0.35">
      <c r="A26" s="21">
        <v>7</v>
      </c>
      <c r="B26" s="214" t="s">
        <v>544</v>
      </c>
      <c r="C26" s="215">
        <v>1274</v>
      </c>
      <c r="D26" s="215">
        <v>1218</v>
      </c>
      <c r="E26" s="215">
        <v>0</v>
      </c>
      <c r="F26" s="215">
        <v>0</v>
      </c>
      <c r="G26" s="215">
        <v>0</v>
      </c>
      <c r="H26" s="215">
        <v>0</v>
      </c>
      <c r="I26" s="215">
        <v>0</v>
      </c>
      <c r="J26" s="215">
        <v>0</v>
      </c>
      <c r="K26" s="215">
        <v>0</v>
      </c>
      <c r="L26" s="215">
        <v>0</v>
      </c>
      <c r="M26" s="215">
        <v>0</v>
      </c>
      <c r="N26" s="215">
        <v>0</v>
      </c>
      <c r="O26" s="215">
        <v>2492</v>
      </c>
      <c r="Q26" s="215">
        <f t="shared" si="0"/>
        <v>0</v>
      </c>
      <c r="R26" s="215">
        <f t="shared" si="1"/>
        <v>0</v>
      </c>
      <c r="S26" s="215">
        <f t="shared" si="2"/>
        <v>0</v>
      </c>
      <c r="T26" s="215">
        <f t="shared" si="3"/>
        <v>0</v>
      </c>
      <c r="U26" s="215">
        <f t="shared" si="4"/>
        <v>2492</v>
      </c>
    </row>
    <row r="27" spans="1:21" ht="15.5" x14ac:dyDescent="0.35">
      <c r="A27" s="21">
        <v>7</v>
      </c>
      <c r="B27" s="214" t="s">
        <v>545</v>
      </c>
      <c r="C27" s="215">
        <v>0</v>
      </c>
      <c r="D27" s="215">
        <v>165</v>
      </c>
      <c r="E27" s="215">
        <v>275</v>
      </c>
      <c r="F27" s="215">
        <v>385</v>
      </c>
      <c r="G27" s="215">
        <v>55</v>
      </c>
      <c r="H27" s="215">
        <v>55</v>
      </c>
      <c r="I27" s="215">
        <v>0</v>
      </c>
      <c r="J27" s="215">
        <v>150</v>
      </c>
      <c r="K27" s="215">
        <v>0</v>
      </c>
      <c r="L27" s="215">
        <v>-75</v>
      </c>
      <c r="M27" s="215">
        <v>-75</v>
      </c>
      <c r="N27" s="215">
        <v>80</v>
      </c>
      <c r="O27" s="215">
        <v>1015</v>
      </c>
      <c r="Q27" s="215">
        <f t="shared" si="0"/>
        <v>960</v>
      </c>
      <c r="R27" s="215">
        <f t="shared" si="1"/>
        <v>30</v>
      </c>
      <c r="S27" s="215">
        <f t="shared" si="2"/>
        <v>-280</v>
      </c>
      <c r="T27" s="215">
        <f t="shared" si="3"/>
        <v>160</v>
      </c>
      <c r="U27" s="215">
        <f t="shared" si="4"/>
        <v>1015</v>
      </c>
    </row>
    <row r="28" spans="1:21" ht="15.5" x14ac:dyDescent="0.35">
      <c r="A28" s="21">
        <v>7</v>
      </c>
      <c r="B28" s="214" t="s">
        <v>546</v>
      </c>
      <c r="C28" s="215">
        <v>2414.8000000000002</v>
      </c>
      <c r="D28" s="215">
        <v>2981</v>
      </c>
      <c r="E28" s="215">
        <v>3381.7</v>
      </c>
      <c r="F28" s="215">
        <v>3761.8</v>
      </c>
      <c r="G28" s="215">
        <v>3081.7</v>
      </c>
      <c r="H28" s="215">
        <v>3111.8</v>
      </c>
      <c r="I28" s="215">
        <v>4980.3999999999996</v>
      </c>
      <c r="J28" s="215">
        <v>250</v>
      </c>
      <c r="K28" s="215">
        <v>2429.16</v>
      </c>
      <c r="L28" s="215">
        <v>1850.19</v>
      </c>
      <c r="M28" s="215">
        <v>2271.56</v>
      </c>
      <c r="N28" s="215">
        <v>2299.9499999999998</v>
      </c>
      <c r="O28" s="215">
        <v>32814.06</v>
      </c>
      <c r="Q28" s="215">
        <f t="shared" si="0"/>
        <v>27599.399999999998</v>
      </c>
      <c r="R28" s="215">
        <f t="shared" si="1"/>
        <v>27429.06</v>
      </c>
      <c r="S28" s="215">
        <f t="shared" si="2"/>
        <v>25686.799999999999</v>
      </c>
      <c r="T28" s="215">
        <f t="shared" si="3"/>
        <v>28162.519999999997</v>
      </c>
      <c r="U28" s="215">
        <f t="shared" si="4"/>
        <v>32814.06</v>
      </c>
    </row>
    <row r="29" spans="1:21" ht="15.5" x14ac:dyDescent="0.35">
      <c r="A29" s="21">
        <v>6</v>
      </c>
      <c r="B29" s="214" t="s">
        <v>547</v>
      </c>
      <c r="C29" s="215">
        <v>0</v>
      </c>
      <c r="D29" s="215">
        <v>0</v>
      </c>
      <c r="E29" s="215">
        <v>0</v>
      </c>
      <c r="F29" s="215">
        <v>0</v>
      </c>
      <c r="G29" s="215">
        <v>0</v>
      </c>
      <c r="H29" s="215">
        <v>0</v>
      </c>
      <c r="I29" s="215">
        <v>0</v>
      </c>
      <c r="J29" s="215">
        <v>0</v>
      </c>
      <c r="K29" s="215">
        <v>9.0299999999999994</v>
      </c>
      <c r="L29" s="215">
        <v>-9.0299999999999994</v>
      </c>
      <c r="M29" s="215">
        <v>0</v>
      </c>
      <c r="N29" s="215">
        <v>0</v>
      </c>
      <c r="O29" s="215">
        <v>0</v>
      </c>
      <c r="Q29" s="215">
        <f t="shared" si="0"/>
        <v>0</v>
      </c>
      <c r="R29" s="215">
        <f t="shared" si="1"/>
        <v>0</v>
      </c>
      <c r="S29" s="215">
        <f t="shared" si="2"/>
        <v>-36.119999999999997</v>
      </c>
      <c r="T29" s="215">
        <f t="shared" si="3"/>
        <v>0</v>
      </c>
      <c r="U29" s="215">
        <f t="shared" si="4"/>
        <v>0</v>
      </c>
    </row>
    <row r="30" spans="1:21" ht="15.5" x14ac:dyDescent="0.35">
      <c r="A30" s="21">
        <v>6</v>
      </c>
      <c r="B30" s="214" t="s">
        <v>548</v>
      </c>
      <c r="C30" s="215">
        <v>95</v>
      </c>
      <c r="D30" s="215">
        <v>95</v>
      </c>
      <c r="E30" s="215">
        <v>95</v>
      </c>
      <c r="F30" s="215">
        <v>95</v>
      </c>
      <c r="G30" s="215">
        <v>95</v>
      </c>
      <c r="H30" s="215">
        <v>95</v>
      </c>
      <c r="I30" s="215">
        <v>0</v>
      </c>
      <c r="J30" s="215">
        <v>0</v>
      </c>
      <c r="K30" s="215">
        <v>0</v>
      </c>
      <c r="L30" s="215">
        <v>0</v>
      </c>
      <c r="M30" s="215">
        <v>0</v>
      </c>
      <c r="N30" s="215">
        <v>0</v>
      </c>
      <c r="O30" s="215">
        <v>570</v>
      </c>
      <c r="Q30" s="215">
        <f t="shared" si="0"/>
        <v>0</v>
      </c>
      <c r="R30" s="215">
        <f t="shared" si="1"/>
        <v>0</v>
      </c>
      <c r="S30" s="215">
        <f t="shared" si="2"/>
        <v>0</v>
      </c>
      <c r="T30" s="215">
        <f t="shared" si="3"/>
        <v>0</v>
      </c>
      <c r="U30" s="215">
        <f t="shared" si="4"/>
        <v>570</v>
      </c>
    </row>
    <row r="31" spans="1:21" ht="15.5" x14ac:dyDescent="0.35">
      <c r="A31" s="21">
        <v>6</v>
      </c>
      <c r="B31" s="214" t="s">
        <v>549</v>
      </c>
      <c r="C31" s="215">
        <v>6794</v>
      </c>
      <c r="D31" s="215">
        <v>7216</v>
      </c>
      <c r="E31" s="215">
        <v>7099</v>
      </c>
      <c r="F31" s="215">
        <v>7482</v>
      </c>
      <c r="G31" s="215">
        <v>7122</v>
      </c>
      <c r="H31" s="215">
        <v>7077</v>
      </c>
      <c r="I31" s="215">
        <v>6398.33</v>
      </c>
      <c r="J31" s="215">
        <v>6302.77</v>
      </c>
      <c r="K31" s="215">
        <v>5980.56</v>
      </c>
      <c r="L31" s="215">
        <v>7009.03</v>
      </c>
      <c r="M31" s="215">
        <v>7576.96</v>
      </c>
      <c r="N31" s="215">
        <v>7558.96</v>
      </c>
      <c r="O31" s="215">
        <v>83616.61</v>
      </c>
      <c r="Q31" s="215">
        <f t="shared" si="0"/>
        <v>90707.520000000004</v>
      </c>
      <c r="R31" s="215">
        <f t="shared" si="1"/>
        <v>90815.52</v>
      </c>
      <c r="S31" s="215">
        <f t="shared" si="2"/>
        <v>88579.8</v>
      </c>
      <c r="T31" s="215">
        <f t="shared" si="3"/>
        <v>81653.22</v>
      </c>
      <c r="U31" s="215">
        <f t="shared" si="4"/>
        <v>83616.610000000015</v>
      </c>
    </row>
    <row r="32" spans="1:21" ht="15.5" x14ac:dyDescent="0.35">
      <c r="A32" s="21">
        <v>7</v>
      </c>
      <c r="B32" s="214" t="s">
        <v>550</v>
      </c>
      <c r="C32" s="215">
        <v>588</v>
      </c>
      <c r="D32" s="215">
        <v>661.5</v>
      </c>
      <c r="E32" s="215">
        <v>735</v>
      </c>
      <c r="F32" s="215">
        <v>756</v>
      </c>
      <c r="G32" s="215">
        <v>766.5</v>
      </c>
      <c r="H32" s="215">
        <v>724.5</v>
      </c>
      <c r="I32" s="215">
        <v>-15.5</v>
      </c>
      <c r="J32" s="215">
        <v>258.5</v>
      </c>
      <c r="K32" s="215">
        <v>161</v>
      </c>
      <c r="L32" s="215">
        <v>-107.92</v>
      </c>
      <c r="M32" s="215">
        <v>-58.08</v>
      </c>
      <c r="N32" s="215">
        <v>263.22000000000003</v>
      </c>
      <c r="O32" s="215">
        <v>4732.72</v>
      </c>
      <c r="Q32" s="215">
        <f t="shared" si="0"/>
        <v>3158.6400000000003</v>
      </c>
      <c r="R32" s="215">
        <f t="shared" si="1"/>
        <v>1230.8400000000001</v>
      </c>
      <c r="S32" s="215">
        <f t="shared" si="2"/>
        <v>388.88000000000011</v>
      </c>
      <c r="T32" s="215">
        <f t="shared" si="3"/>
        <v>1002.44</v>
      </c>
      <c r="U32" s="215">
        <f t="shared" si="4"/>
        <v>4732.72</v>
      </c>
    </row>
    <row r="33" spans="1:21" ht="15.5" x14ac:dyDescent="0.35">
      <c r="A33" s="21">
        <v>7</v>
      </c>
      <c r="B33" s="214" t="s">
        <v>551</v>
      </c>
      <c r="C33" s="215">
        <v>0</v>
      </c>
      <c r="D33" s="215">
        <v>0</v>
      </c>
      <c r="E33" s="215">
        <v>0</v>
      </c>
      <c r="F33" s="215">
        <v>0</v>
      </c>
      <c r="G33" s="215">
        <v>0</v>
      </c>
      <c r="H33" s="215">
        <v>0</v>
      </c>
      <c r="I33" s="215">
        <v>26.52</v>
      </c>
      <c r="J33" s="215">
        <v>-13.52</v>
      </c>
      <c r="K33" s="215">
        <v>-13</v>
      </c>
      <c r="L33" s="215">
        <v>-13</v>
      </c>
      <c r="M33" s="215">
        <v>0</v>
      </c>
      <c r="N33" s="215">
        <v>0</v>
      </c>
      <c r="O33" s="215">
        <v>-13</v>
      </c>
      <c r="Q33" s="215">
        <f t="shared" si="0"/>
        <v>0</v>
      </c>
      <c r="R33" s="215">
        <f t="shared" si="1"/>
        <v>0</v>
      </c>
      <c r="S33" s="215">
        <f t="shared" si="2"/>
        <v>-52</v>
      </c>
      <c r="T33" s="215">
        <f t="shared" si="3"/>
        <v>-26</v>
      </c>
      <c r="U33" s="215">
        <f t="shared" si="4"/>
        <v>-13</v>
      </c>
    </row>
    <row r="34" spans="1:21" ht="15.5" x14ac:dyDescent="0.35">
      <c r="A34" s="21">
        <v>7</v>
      </c>
      <c r="B34" s="214" t="s">
        <v>552</v>
      </c>
      <c r="C34" s="215">
        <v>-382.5</v>
      </c>
      <c r="D34" s="215">
        <v>-428</v>
      </c>
      <c r="E34" s="215">
        <v>-505</v>
      </c>
      <c r="F34" s="215">
        <v>-563</v>
      </c>
      <c r="G34" s="215">
        <v>-581.5</v>
      </c>
      <c r="H34" s="215">
        <v>-1366</v>
      </c>
      <c r="I34" s="215">
        <v>0</v>
      </c>
      <c r="J34" s="215">
        <v>0</v>
      </c>
      <c r="K34" s="215">
        <v>0</v>
      </c>
      <c r="L34" s="215">
        <v>0</v>
      </c>
      <c r="M34" s="215">
        <v>0</v>
      </c>
      <c r="N34" s="215">
        <v>0</v>
      </c>
      <c r="O34" s="215">
        <v>-3826</v>
      </c>
      <c r="Q34" s="215">
        <f t="shared" si="0"/>
        <v>0</v>
      </c>
      <c r="R34" s="215">
        <f t="shared" si="1"/>
        <v>0</v>
      </c>
      <c r="S34" s="215">
        <f t="shared" si="2"/>
        <v>0</v>
      </c>
      <c r="T34" s="215">
        <f t="shared" si="3"/>
        <v>0</v>
      </c>
      <c r="U34" s="215">
        <f t="shared" si="4"/>
        <v>-3826</v>
      </c>
    </row>
    <row r="35" spans="1:21" ht="15.5" x14ac:dyDescent="0.35">
      <c r="A35" s="21">
        <v>7</v>
      </c>
      <c r="B35" s="214" t="s">
        <v>553</v>
      </c>
      <c r="C35" s="215">
        <v>0</v>
      </c>
      <c r="D35" s="215">
        <v>0</v>
      </c>
      <c r="E35" s="215">
        <v>0</v>
      </c>
      <c r="F35" s="215">
        <v>0</v>
      </c>
      <c r="G35" s="215">
        <v>300</v>
      </c>
      <c r="H35" s="215">
        <v>0</v>
      </c>
      <c r="I35" s="215">
        <v>0</v>
      </c>
      <c r="J35" s="215">
        <v>0</v>
      </c>
      <c r="K35" s="215">
        <v>0</v>
      </c>
      <c r="L35" s="215">
        <v>0</v>
      </c>
      <c r="M35" s="215">
        <v>0</v>
      </c>
      <c r="N35" s="215">
        <v>0</v>
      </c>
      <c r="O35" s="215">
        <v>300</v>
      </c>
      <c r="Q35" s="215">
        <f t="shared" si="0"/>
        <v>0</v>
      </c>
      <c r="R35" s="215">
        <f t="shared" si="1"/>
        <v>0</v>
      </c>
      <c r="S35" s="215">
        <f t="shared" si="2"/>
        <v>0</v>
      </c>
      <c r="T35" s="215">
        <f t="shared" si="3"/>
        <v>0</v>
      </c>
      <c r="U35" s="215">
        <f t="shared" si="4"/>
        <v>300</v>
      </c>
    </row>
    <row r="36" spans="1:21" ht="15.5" x14ac:dyDescent="0.35">
      <c r="A36" s="21">
        <v>7</v>
      </c>
      <c r="B36" s="214" t="s">
        <v>554</v>
      </c>
      <c r="C36" s="215">
        <v>0</v>
      </c>
      <c r="D36" s="215">
        <v>0</v>
      </c>
      <c r="E36" s="215">
        <v>0</v>
      </c>
      <c r="F36" s="215">
        <v>0</v>
      </c>
      <c r="G36" s="215">
        <v>162.71</v>
      </c>
      <c r="H36" s="215">
        <v>14.55</v>
      </c>
      <c r="I36" s="215">
        <v>0</v>
      </c>
      <c r="J36" s="215">
        <v>0</v>
      </c>
      <c r="K36" s="215">
        <v>0</v>
      </c>
      <c r="L36" s="215">
        <v>0</v>
      </c>
      <c r="M36" s="215">
        <v>0</v>
      </c>
      <c r="N36" s="215">
        <v>0</v>
      </c>
      <c r="O36" s="215">
        <v>177.26</v>
      </c>
      <c r="Q36" s="215">
        <f t="shared" si="0"/>
        <v>0</v>
      </c>
      <c r="R36" s="215">
        <f t="shared" si="1"/>
        <v>0</v>
      </c>
      <c r="S36" s="215">
        <f t="shared" si="2"/>
        <v>0</v>
      </c>
      <c r="T36" s="215">
        <f t="shared" si="3"/>
        <v>0</v>
      </c>
      <c r="U36" s="215">
        <f t="shared" si="4"/>
        <v>177.26000000000002</v>
      </c>
    </row>
    <row r="37" spans="1:21" ht="15.5" x14ac:dyDescent="0.35">
      <c r="A37" s="21">
        <v>7</v>
      </c>
      <c r="B37" s="214" t="s">
        <v>555</v>
      </c>
      <c r="C37" s="215">
        <v>0</v>
      </c>
      <c r="D37" s="215">
        <v>0</v>
      </c>
      <c r="E37" s="215">
        <v>0</v>
      </c>
      <c r="F37" s="215">
        <v>0</v>
      </c>
      <c r="G37" s="215">
        <v>0</v>
      </c>
      <c r="H37" s="215">
        <v>222</v>
      </c>
      <c r="I37" s="215">
        <v>0</v>
      </c>
      <c r="J37" s="215">
        <v>0</v>
      </c>
      <c r="K37" s="215">
        <v>0</v>
      </c>
      <c r="L37" s="215">
        <v>0</v>
      </c>
      <c r="M37" s="215">
        <v>0</v>
      </c>
      <c r="N37" s="215">
        <v>0</v>
      </c>
      <c r="O37" s="215">
        <v>222</v>
      </c>
      <c r="Q37" s="215">
        <f t="shared" si="0"/>
        <v>0</v>
      </c>
      <c r="R37" s="215">
        <f t="shared" si="1"/>
        <v>0</v>
      </c>
      <c r="S37" s="215">
        <f t="shared" si="2"/>
        <v>0</v>
      </c>
      <c r="T37" s="215">
        <f t="shared" si="3"/>
        <v>0</v>
      </c>
      <c r="U37" s="215">
        <f t="shared" si="4"/>
        <v>222</v>
      </c>
    </row>
    <row r="38" spans="1:21" ht="15.5" x14ac:dyDescent="0.35">
      <c r="A38" s="21">
        <v>7</v>
      </c>
      <c r="B38" s="214" t="s">
        <v>556</v>
      </c>
      <c r="C38" s="215">
        <v>500</v>
      </c>
      <c r="D38" s="215">
        <v>500</v>
      </c>
      <c r="E38" s="215">
        <v>500</v>
      </c>
      <c r="F38" s="215">
        <v>437</v>
      </c>
      <c r="G38" s="215">
        <v>312</v>
      </c>
      <c r="H38" s="215">
        <v>0</v>
      </c>
      <c r="I38" s="215">
        <v>132</v>
      </c>
      <c r="J38" s="215">
        <v>267</v>
      </c>
      <c r="K38" s="215">
        <v>170</v>
      </c>
      <c r="L38" s="215">
        <v>125</v>
      </c>
      <c r="M38" s="215">
        <v>125</v>
      </c>
      <c r="N38" s="215">
        <v>125</v>
      </c>
      <c r="O38" s="215">
        <v>3193</v>
      </c>
      <c r="Q38" s="215">
        <f t="shared" si="0"/>
        <v>1500</v>
      </c>
      <c r="R38" s="215">
        <f t="shared" si="1"/>
        <v>1500</v>
      </c>
      <c r="S38" s="215">
        <f t="shared" si="2"/>
        <v>1500</v>
      </c>
      <c r="T38" s="215">
        <f t="shared" si="3"/>
        <v>1888</v>
      </c>
      <c r="U38" s="215">
        <f t="shared" si="4"/>
        <v>3193</v>
      </c>
    </row>
    <row r="39" spans="1:21" ht="15.5" x14ac:dyDescent="0.35">
      <c r="A39" s="21">
        <v>7</v>
      </c>
      <c r="B39" s="214" t="s">
        <v>557</v>
      </c>
      <c r="C39" s="215">
        <v>0</v>
      </c>
      <c r="D39" s="215">
        <v>75</v>
      </c>
      <c r="E39" s="215">
        <v>130</v>
      </c>
      <c r="F39" s="215">
        <v>0</v>
      </c>
      <c r="G39" s="215">
        <v>0</v>
      </c>
      <c r="H39" s="215">
        <v>0</v>
      </c>
      <c r="I39" s="215">
        <v>0</v>
      </c>
      <c r="J39" s="215">
        <v>0</v>
      </c>
      <c r="K39" s="215">
        <v>0</v>
      </c>
      <c r="L39" s="215">
        <v>0</v>
      </c>
      <c r="M39" s="215">
        <v>0</v>
      </c>
      <c r="N39" s="215">
        <v>0</v>
      </c>
      <c r="O39" s="215">
        <v>205</v>
      </c>
      <c r="Q39" s="215">
        <f t="shared" si="0"/>
        <v>0</v>
      </c>
      <c r="R39" s="215">
        <f t="shared" si="1"/>
        <v>0</v>
      </c>
      <c r="S39" s="215">
        <f t="shared" si="2"/>
        <v>0</v>
      </c>
      <c r="T39" s="215">
        <f t="shared" si="3"/>
        <v>0</v>
      </c>
      <c r="U39" s="215">
        <f t="shared" si="4"/>
        <v>205</v>
      </c>
    </row>
    <row r="40" spans="1:21" ht="15.5" x14ac:dyDescent="0.35">
      <c r="A40" s="21">
        <v>7</v>
      </c>
      <c r="B40" s="214" t="s">
        <v>558</v>
      </c>
      <c r="C40" s="215">
        <v>0</v>
      </c>
      <c r="D40" s="215">
        <v>0</v>
      </c>
      <c r="E40" s="215">
        <v>0</v>
      </c>
      <c r="F40" s="215">
        <v>0</v>
      </c>
      <c r="G40" s="215">
        <v>0</v>
      </c>
      <c r="H40" s="215">
        <v>0</v>
      </c>
      <c r="I40" s="215">
        <v>0</v>
      </c>
      <c r="J40" s="215">
        <v>0</v>
      </c>
      <c r="K40" s="215">
        <v>0</v>
      </c>
      <c r="L40" s="215">
        <v>0</v>
      </c>
      <c r="M40" s="215">
        <v>1360.08</v>
      </c>
      <c r="N40" s="215">
        <v>0</v>
      </c>
      <c r="O40" s="215">
        <v>1360.08</v>
      </c>
      <c r="Q40" s="215">
        <f t="shared" si="0"/>
        <v>0</v>
      </c>
      <c r="R40" s="215">
        <f t="shared" si="1"/>
        <v>8160.48</v>
      </c>
      <c r="S40" s="215">
        <f t="shared" si="2"/>
        <v>5440.32</v>
      </c>
      <c r="T40" s="215">
        <f t="shared" si="3"/>
        <v>2720.16</v>
      </c>
      <c r="U40" s="215">
        <f t="shared" si="4"/>
        <v>1360.08</v>
      </c>
    </row>
    <row r="41" spans="1:21" ht="15.5" x14ac:dyDescent="0.35">
      <c r="A41" s="21">
        <v>7</v>
      </c>
      <c r="B41" s="214" t="s">
        <v>559</v>
      </c>
      <c r="C41" s="215">
        <v>0</v>
      </c>
      <c r="D41" s="215">
        <v>145</v>
      </c>
      <c r="E41" s="215">
        <v>210</v>
      </c>
      <c r="F41" s="215">
        <v>280</v>
      </c>
      <c r="G41" s="215">
        <v>350</v>
      </c>
      <c r="H41" s="215">
        <v>280</v>
      </c>
      <c r="I41" s="215">
        <v>0</v>
      </c>
      <c r="J41" s="215">
        <v>25.01</v>
      </c>
      <c r="K41" s="215">
        <v>952.06</v>
      </c>
      <c r="L41" s="215">
        <v>4.0199999999999996</v>
      </c>
      <c r="M41" s="215">
        <v>172.02</v>
      </c>
      <c r="N41" s="215">
        <v>274.02</v>
      </c>
      <c r="O41" s="215">
        <v>2692.13</v>
      </c>
      <c r="Q41" s="215">
        <f t="shared" si="0"/>
        <v>3288.24</v>
      </c>
      <c r="R41" s="215">
        <f t="shared" si="1"/>
        <v>2676.24</v>
      </c>
      <c r="S41" s="215">
        <f t="shared" si="2"/>
        <v>1800.24</v>
      </c>
      <c r="T41" s="215">
        <f t="shared" si="3"/>
        <v>2854.2599999999998</v>
      </c>
      <c r="U41" s="215">
        <f t="shared" si="4"/>
        <v>2692.1299999999997</v>
      </c>
    </row>
    <row r="42" spans="1:21" ht="15.5" x14ac:dyDescent="0.35">
      <c r="A42" s="21">
        <v>7</v>
      </c>
      <c r="B42" s="214" t="s">
        <v>560</v>
      </c>
      <c r="C42" s="215">
        <v>0</v>
      </c>
      <c r="D42" s="215">
        <v>0</v>
      </c>
      <c r="E42" s="215">
        <v>0</v>
      </c>
      <c r="F42" s="215">
        <v>0</v>
      </c>
      <c r="G42" s="215">
        <v>0</v>
      </c>
      <c r="H42" s="215">
        <v>0</v>
      </c>
      <c r="I42" s="215">
        <v>0</v>
      </c>
      <c r="J42" s="215">
        <v>0</v>
      </c>
      <c r="K42" s="215">
        <v>0</v>
      </c>
      <c r="L42" s="215">
        <v>0</v>
      </c>
      <c r="M42" s="215">
        <v>100</v>
      </c>
      <c r="N42" s="215">
        <v>100</v>
      </c>
      <c r="O42" s="215">
        <v>200</v>
      </c>
      <c r="Q42" s="215">
        <f t="shared" si="0"/>
        <v>1200</v>
      </c>
      <c r="R42" s="215">
        <f t="shared" si="1"/>
        <v>1200</v>
      </c>
      <c r="S42" s="215">
        <f t="shared" si="2"/>
        <v>800</v>
      </c>
      <c r="T42" s="215">
        <f t="shared" si="3"/>
        <v>400</v>
      </c>
      <c r="U42" s="215">
        <f t="shared" si="4"/>
        <v>200</v>
      </c>
    </row>
    <row r="43" spans="1:21" ht="15.5" x14ac:dyDescent="0.35">
      <c r="A43" s="21">
        <v>7</v>
      </c>
      <c r="B43" s="214" t="s">
        <v>561</v>
      </c>
      <c r="C43" s="215">
        <v>0</v>
      </c>
      <c r="D43" s="215">
        <v>1550</v>
      </c>
      <c r="E43" s="215">
        <v>0</v>
      </c>
      <c r="F43" s="215">
        <v>2550</v>
      </c>
      <c r="G43" s="215">
        <v>12732</v>
      </c>
      <c r="H43" s="215">
        <v>4593</v>
      </c>
      <c r="I43" s="215">
        <v>0</v>
      </c>
      <c r="J43" s="215">
        <v>0</v>
      </c>
      <c r="K43" s="215">
        <v>0</v>
      </c>
      <c r="L43" s="215">
        <v>0</v>
      </c>
      <c r="M43" s="215">
        <v>0</v>
      </c>
      <c r="N43" s="215">
        <v>0</v>
      </c>
      <c r="O43" s="215">
        <v>21425</v>
      </c>
      <c r="Q43" s="215">
        <f t="shared" si="0"/>
        <v>0</v>
      </c>
      <c r="R43" s="215">
        <f t="shared" si="1"/>
        <v>0</v>
      </c>
      <c r="S43" s="215">
        <f t="shared" si="2"/>
        <v>0</v>
      </c>
      <c r="T43" s="215">
        <f t="shared" si="3"/>
        <v>0</v>
      </c>
      <c r="U43" s="215">
        <f t="shared" si="4"/>
        <v>21425</v>
      </c>
    </row>
    <row r="44" spans="1:21" ht="15.5" x14ac:dyDescent="0.35">
      <c r="A44" s="21">
        <v>7</v>
      </c>
      <c r="B44" s="214" t="s">
        <v>562</v>
      </c>
      <c r="C44" s="215">
        <v>1250</v>
      </c>
      <c r="D44" s="215">
        <v>-800</v>
      </c>
      <c r="E44" s="215">
        <v>-750</v>
      </c>
      <c r="F44" s="215">
        <v>1000</v>
      </c>
      <c r="G44" s="215">
        <v>-1750</v>
      </c>
      <c r="H44" s="215">
        <v>-1401</v>
      </c>
      <c r="I44" s="215">
        <v>0</v>
      </c>
      <c r="J44" s="215">
        <v>0</v>
      </c>
      <c r="K44" s="215">
        <v>0</v>
      </c>
      <c r="L44" s="215">
        <v>0</v>
      </c>
      <c r="M44" s="215">
        <v>0</v>
      </c>
      <c r="N44" s="215">
        <v>0</v>
      </c>
      <c r="O44" s="215">
        <v>-2451</v>
      </c>
      <c r="Q44" s="215">
        <f t="shared" si="0"/>
        <v>0</v>
      </c>
      <c r="R44" s="215">
        <f t="shared" si="1"/>
        <v>0</v>
      </c>
      <c r="S44" s="215">
        <f t="shared" si="2"/>
        <v>0</v>
      </c>
      <c r="T44" s="215">
        <f t="shared" si="3"/>
        <v>0</v>
      </c>
      <c r="U44" s="215">
        <f t="shared" si="4"/>
        <v>-2451</v>
      </c>
    </row>
    <row r="45" spans="1:21" ht="15.5" x14ac:dyDescent="0.35">
      <c r="A45" s="21">
        <v>7</v>
      </c>
      <c r="B45" s="214" t="s">
        <v>563</v>
      </c>
      <c r="C45" s="215">
        <v>0</v>
      </c>
      <c r="D45" s="215">
        <v>0</v>
      </c>
      <c r="E45" s="215">
        <v>0</v>
      </c>
      <c r="F45" s="215">
        <v>0</v>
      </c>
      <c r="G45" s="215">
        <v>400</v>
      </c>
      <c r="H45" s="215">
        <v>0</v>
      </c>
      <c r="I45" s="215">
        <v>0</v>
      </c>
      <c r="J45" s="215">
        <v>0</v>
      </c>
      <c r="K45" s="215">
        <v>0</v>
      </c>
      <c r="L45" s="215">
        <v>0</v>
      </c>
      <c r="M45" s="215">
        <v>0</v>
      </c>
      <c r="N45" s="215">
        <v>0</v>
      </c>
      <c r="O45" s="215">
        <v>400</v>
      </c>
      <c r="Q45" s="215">
        <f t="shared" si="0"/>
        <v>0</v>
      </c>
      <c r="R45" s="215">
        <f t="shared" si="1"/>
        <v>0</v>
      </c>
      <c r="S45" s="215">
        <f t="shared" si="2"/>
        <v>0</v>
      </c>
      <c r="T45" s="215">
        <f t="shared" si="3"/>
        <v>0</v>
      </c>
      <c r="U45" s="215">
        <f t="shared" si="4"/>
        <v>400</v>
      </c>
    </row>
    <row r="46" spans="1:21" ht="15.5" x14ac:dyDescent="0.35">
      <c r="A46" s="21">
        <v>7</v>
      </c>
      <c r="B46" s="214" t="s">
        <v>564</v>
      </c>
      <c r="C46" s="215">
        <v>0</v>
      </c>
      <c r="D46" s="215">
        <v>2225.3000000000002</v>
      </c>
      <c r="E46" s="215">
        <v>0</v>
      </c>
      <c r="F46" s="215">
        <v>0</v>
      </c>
      <c r="G46" s="215">
        <v>0</v>
      </c>
      <c r="H46" s="215">
        <v>93.59</v>
      </c>
      <c r="I46" s="215">
        <v>0</v>
      </c>
      <c r="J46" s="215">
        <v>0</v>
      </c>
      <c r="K46" s="215">
        <v>0</v>
      </c>
      <c r="L46" s="215">
        <v>1233.75</v>
      </c>
      <c r="M46" s="215">
        <v>432.24</v>
      </c>
      <c r="N46" s="215">
        <v>1034.3699999999999</v>
      </c>
      <c r="O46" s="215">
        <v>5019.25</v>
      </c>
      <c r="Q46" s="215">
        <f t="shared" si="0"/>
        <v>12412.439999999999</v>
      </c>
      <c r="R46" s="215">
        <f t="shared" si="1"/>
        <v>8799.66</v>
      </c>
      <c r="S46" s="215">
        <f t="shared" si="2"/>
        <v>10801.439999999999</v>
      </c>
      <c r="T46" s="215">
        <f t="shared" si="3"/>
        <v>5400.7199999999993</v>
      </c>
      <c r="U46" s="215">
        <f t="shared" si="4"/>
        <v>5019.25</v>
      </c>
    </row>
    <row r="47" spans="1:21" ht="15.5" x14ac:dyDescent="0.35">
      <c r="A47" s="21">
        <v>7</v>
      </c>
      <c r="B47" s="214" t="s">
        <v>565</v>
      </c>
      <c r="C47" s="215">
        <v>0</v>
      </c>
      <c r="D47" s="215">
        <v>0</v>
      </c>
      <c r="E47" s="215">
        <v>0</v>
      </c>
      <c r="F47" s="215">
        <v>59.11</v>
      </c>
      <c r="G47" s="215">
        <v>0</v>
      </c>
      <c r="H47" s="215">
        <v>0</v>
      </c>
      <c r="I47" s="215">
        <v>0</v>
      </c>
      <c r="J47" s="215">
        <v>0</v>
      </c>
      <c r="K47" s="215">
        <v>0</v>
      </c>
      <c r="L47" s="215">
        <v>0</v>
      </c>
      <c r="M47" s="215">
        <v>0</v>
      </c>
      <c r="N47" s="215">
        <v>0</v>
      </c>
      <c r="O47" s="215">
        <v>59.11</v>
      </c>
      <c r="Q47" s="215">
        <f t="shared" si="0"/>
        <v>0</v>
      </c>
      <c r="R47" s="215">
        <f t="shared" si="1"/>
        <v>0</v>
      </c>
      <c r="S47" s="215">
        <f t="shared" si="2"/>
        <v>0</v>
      </c>
      <c r="T47" s="215">
        <f t="shared" si="3"/>
        <v>0</v>
      </c>
      <c r="U47" s="215">
        <f t="shared" si="4"/>
        <v>59.11</v>
      </c>
    </row>
    <row r="48" spans="1:21" ht="15.5" x14ac:dyDescent="0.35">
      <c r="A48" s="21">
        <v>6</v>
      </c>
      <c r="B48" s="214" t="s">
        <v>566</v>
      </c>
      <c r="C48" s="215">
        <v>0</v>
      </c>
      <c r="D48" s="215">
        <v>0</v>
      </c>
      <c r="E48" s="215">
        <v>0</v>
      </c>
      <c r="F48" s="215">
        <v>0</v>
      </c>
      <c r="G48" s="215">
        <v>0</v>
      </c>
      <c r="H48" s="215">
        <v>0</v>
      </c>
      <c r="I48" s="215">
        <v>0</v>
      </c>
      <c r="J48" s="215">
        <v>0</v>
      </c>
      <c r="K48" s="215">
        <v>0</v>
      </c>
      <c r="L48" s="215">
        <v>4.66</v>
      </c>
      <c r="M48" s="215">
        <v>183.74</v>
      </c>
      <c r="N48" s="215">
        <v>210</v>
      </c>
      <c r="O48" s="215">
        <v>398.4</v>
      </c>
      <c r="Q48" s="215">
        <f t="shared" si="0"/>
        <v>2520</v>
      </c>
      <c r="R48" s="215">
        <f t="shared" si="1"/>
        <v>2362.44</v>
      </c>
      <c r="S48" s="215">
        <f t="shared" si="2"/>
        <v>1593.6</v>
      </c>
      <c r="T48" s="215">
        <f t="shared" si="3"/>
        <v>796.8</v>
      </c>
      <c r="U48" s="215">
        <f t="shared" si="4"/>
        <v>398.4</v>
      </c>
    </row>
    <row r="49" spans="1:21" ht="15.5" x14ac:dyDescent="0.35">
      <c r="A49" s="21">
        <v>7</v>
      </c>
      <c r="B49" s="214" t="s">
        <v>567</v>
      </c>
      <c r="C49" s="215">
        <v>0</v>
      </c>
      <c r="D49" s="215">
        <v>0</v>
      </c>
      <c r="E49" s="215">
        <v>0</v>
      </c>
      <c r="F49" s="215">
        <v>0</v>
      </c>
      <c r="G49" s="215">
        <v>0</v>
      </c>
      <c r="H49" s="215">
        <v>0</v>
      </c>
      <c r="I49" s="215">
        <v>0</v>
      </c>
      <c r="J49" s="215">
        <v>0</v>
      </c>
      <c r="K49" s="215">
        <v>0</v>
      </c>
      <c r="L49" s="215">
        <v>926</v>
      </c>
      <c r="M49" s="215">
        <v>0</v>
      </c>
      <c r="N49" s="215">
        <v>0</v>
      </c>
      <c r="O49" s="215">
        <v>926</v>
      </c>
      <c r="Q49" s="215">
        <f t="shared" si="0"/>
        <v>0</v>
      </c>
      <c r="R49" s="215">
        <f t="shared" si="1"/>
        <v>0</v>
      </c>
      <c r="S49" s="215">
        <f t="shared" si="2"/>
        <v>3704</v>
      </c>
      <c r="T49" s="215">
        <f t="shared" si="3"/>
        <v>1852</v>
      </c>
      <c r="U49" s="215">
        <f t="shared" si="4"/>
        <v>926</v>
      </c>
    </row>
    <row r="50" spans="1:21" ht="15.5" x14ac:dyDescent="0.35">
      <c r="A50" s="21">
        <v>7</v>
      </c>
      <c r="B50" s="214" t="s">
        <v>568</v>
      </c>
      <c r="C50" s="215">
        <v>1290</v>
      </c>
      <c r="D50" s="215">
        <v>1380</v>
      </c>
      <c r="E50" s="215">
        <v>1410</v>
      </c>
      <c r="F50" s="215">
        <v>1460</v>
      </c>
      <c r="G50" s="215">
        <v>1392</v>
      </c>
      <c r="H50" s="215">
        <v>1422</v>
      </c>
      <c r="I50" s="215">
        <v>1392.5</v>
      </c>
      <c r="J50" s="215">
        <v>1378.45</v>
      </c>
      <c r="K50" s="215">
        <v>1332.2</v>
      </c>
      <c r="L50" s="215">
        <v>1524</v>
      </c>
      <c r="M50" s="215">
        <v>1685.72</v>
      </c>
      <c r="N50" s="215">
        <v>1683.5</v>
      </c>
      <c r="O50" s="215">
        <v>17350.37</v>
      </c>
      <c r="Q50" s="215">
        <f t="shared" si="0"/>
        <v>20202</v>
      </c>
      <c r="R50" s="215">
        <f t="shared" si="1"/>
        <v>20215.32</v>
      </c>
      <c r="S50" s="215">
        <f t="shared" si="2"/>
        <v>19572.88</v>
      </c>
      <c r="T50" s="215">
        <f t="shared" si="3"/>
        <v>17992.739999999998</v>
      </c>
      <c r="U50" s="215">
        <f t="shared" si="4"/>
        <v>17350.370000000003</v>
      </c>
    </row>
    <row r="51" spans="1:21" ht="15.5" x14ac:dyDescent="0.35">
      <c r="A51" s="21">
        <v>7</v>
      </c>
      <c r="B51" s="214" t="s">
        <v>569</v>
      </c>
      <c r="C51" s="215">
        <v>1010</v>
      </c>
      <c r="D51" s="215">
        <v>1125</v>
      </c>
      <c r="E51" s="215">
        <v>1140</v>
      </c>
      <c r="F51" s="215">
        <v>1185</v>
      </c>
      <c r="G51" s="215">
        <v>1145</v>
      </c>
      <c r="H51" s="215">
        <v>1110</v>
      </c>
      <c r="I51" s="215">
        <v>1090.33</v>
      </c>
      <c r="J51" s="215">
        <v>1070.97</v>
      </c>
      <c r="K51" s="215">
        <v>1025.03</v>
      </c>
      <c r="L51" s="215">
        <v>1147.6600000000001</v>
      </c>
      <c r="M51" s="215">
        <v>1265.48</v>
      </c>
      <c r="N51" s="215">
        <v>1258.96</v>
      </c>
      <c r="O51" s="215">
        <v>13573.43</v>
      </c>
      <c r="Q51" s="215">
        <f t="shared" si="0"/>
        <v>15107.52</v>
      </c>
      <c r="R51" s="215">
        <f t="shared" si="1"/>
        <v>15146.64</v>
      </c>
      <c r="S51" s="215">
        <f t="shared" si="2"/>
        <v>14688.400000000001</v>
      </c>
      <c r="T51" s="215">
        <f t="shared" si="3"/>
        <v>13716.859999999999</v>
      </c>
      <c r="U51" s="215">
        <f t="shared" si="4"/>
        <v>13573.43</v>
      </c>
    </row>
    <row r="52" spans="1:21" ht="15.5" x14ac:dyDescent="0.35">
      <c r="A52" s="21">
        <v>7</v>
      </c>
      <c r="B52" s="214" t="s">
        <v>570</v>
      </c>
      <c r="C52" s="215">
        <v>715</v>
      </c>
      <c r="D52" s="215">
        <v>790</v>
      </c>
      <c r="E52" s="215">
        <v>0</v>
      </c>
      <c r="F52" s="215">
        <v>807</v>
      </c>
      <c r="G52" s="215">
        <v>756</v>
      </c>
      <c r="H52" s="215">
        <v>727</v>
      </c>
      <c r="I52" s="215">
        <v>689</v>
      </c>
      <c r="J52" s="215">
        <v>657.48</v>
      </c>
      <c r="K52" s="215">
        <v>621.98</v>
      </c>
      <c r="L52" s="215">
        <v>675.84</v>
      </c>
      <c r="M52" s="215">
        <v>732.74</v>
      </c>
      <c r="N52" s="215">
        <v>722.04</v>
      </c>
      <c r="O52" s="215">
        <v>7894.08</v>
      </c>
      <c r="Q52" s="215">
        <f t="shared" si="0"/>
        <v>8664.48</v>
      </c>
      <c r="R52" s="215">
        <f t="shared" si="1"/>
        <v>8728.68</v>
      </c>
      <c r="S52" s="215">
        <f t="shared" si="2"/>
        <v>8522.48</v>
      </c>
      <c r="T52" s="215">
        <f t="shared" si="3"/>
        <v>8198.16</v>
      </c>
      <c r="U52" s="215">
        <f t="shared" si="4"/>
        <v>7894.079999999999</v>
      </c>
    </row>
    <row r="53" spans="1:21" ht="15.5" x14ac:dyDescent="0.35">
      <c r="A53" s="21">
        <v>7</v>
      </c>
      <c r="B53" s="214" t="s">
        <v>571</v>
      </c>
      <c r="C53" s="215">
        <v>1885.5</v>
      </c>
      <c r="D53" s="215">
        <v>30</v>
      </c>
      <c r="E53" s="215">
        <v>0</v>
      </c>
      <c r="F53" s="215">
        <v>95</v>
      </c>
      <c r="G53" s="215">
        <v>125</v>
      </c>
      <c r="H53" s="215">
        <v>150</v>
      </c>
      <c r="I53" s="215">
        <v>155.16999999999999</v>
      </c>
      <c r="J53" s="215">
        <v>160</v>
      </c>
      <c r="K53" s="215">
        <v>150</v>
      </c>
      <c r="L53" s="215">
        <v>150</v>
      </c>
      <c r="M53" s="215">
        <v>145</v>
      </c>
      <c r="N53" s="215">
        <v>145</v>
      </c>
      <c r="O53" s="215">
        <v>3190.67</v>
      </c>
      <c r="Q53" s="215">
        <f t="shared" si="0"/>
        <v>1740</v>
      </c>
      <c r="R53" s="215">
        <f t="shared" si="1"/>
        <v>1740</v>
      </c>
      <c r="S53" s="215">
        <f t="shared" si="2"/>
        <v>1760</v>
      </c>
      <c r="T53" s="215">
        <f t="shared" si="3"/>
        <v>1810.34</v>
      </c>
      <c r="U53" s="215">
        <f t="shared" si="4"/>
        <v>3190.67</v>
      </c>
    </row>
    <row r="54" spans="1:21" ht="15.5" x14ac:dyDescent="0.35">
      <c r="A54" s="21">
        <v>7</v>
      </c>
      <c r="B54" s="214" t="s">
        <v>572</v>
      </c>
      <c r="C54" s="215">
        <v>60</v>
      </c>
      <c r="D54" s="215">
        <v>178</v>
      </c>
      <c r="E54" s="215">
        <v>1424</v>
      </c>
      <c r="F54" s="215">
        <v>1489</v>
      </c>
      <c r="G54" s="215">
        <v>1293</v>
      </c>
      <c r="H54" s="215">
        <v>1230</v>
      </c>
      <c r="I54" s="215">
        <v>1174</v>
      </c>
      <c r="J54" s="215">
        <v>1114</v>
      </c>
      <c r="K54" s="215">
        <v>1086</v>
      </c>
      <c r="L54" s="215">
        <v>1030</v>
      </c>
      <c r="M54" s="215">
        <v>1030</v>
      </c>
      <c r="N54" s="215">
        <v>1002</v>
      </c>
      <c r="O54" s="215">
        <v>12110</v>
      </c>
      <c r="Q54" s="215">
        <f t="shared" si="0"/>
        <v>12024</v>
      </c>
      <c r="R54" s="215">
        <f t="shared" si="1"/>
        <v>12192</v>
      </c>
      <c r="S54" s="215">
        <f t="shared" si="2"/>
        <v>12248</v>
      </c>
      <c r="T54" s="215">
        <f t="shared" si="3"/>
        <v>12872</v>
      </c>
      <c r="U54" s="215">
        <f t="shared" si="4"/>
        <v>12110</v>
      </c>
    </row>
    <row r="55" spans="1:21" ht="15.5" x14ac:dyDescent="0.35">
      <c r="A55" s="21">
        <v>7</v>
      </c>
      <c r="B55" s="214" t="s">
        <v>573</v>
      </c>
      <c r="C55" s="215">
        <v>0</v>
      </c>
      <c r="D55" s="215">
        <v>0</v>
      </c>
      <c r="E55" s="215">
        <v>0</v>
      </c>
      <c r="F55" s="215">
        <v>0</v>
      </c>
      <c r="G55" s="215">
        <v>0</v>
      </c>
      <c r="H55" s="215">
        <v>0</v>
      </c>
      <c r="I55" s="215">
        <v>258</v>
      </c>
      <c r="J55" s="215">
        <v>255.29</v>
      </c>
      <c r="K55" s="215">
        <v>257.98</v>
      </c>
      <c r="L55" s="215">
        <v>299.3</v>
      </c>
      <c r="M55" s="215">
        <v>334.64</v>
      </c>
      <c r="N55" s="215">
        <v>336.7</v>
      </c>
      <c r="O55" s="215">
        <v>1741.91</v>
      </c>
      <c r="Q55" s="215">
        <f t="shared" si="0"/>
        <v>4040.3999999999996</v>
      </c>
      <c r="R55" s="215">
        <f t="shared" si="1"/>
        <v>4028.0399999999995</v>
      </c>
      <c r="S55" s="215">
        <f t="shared" si="2"/>
        <v>3882.5600000000004</v>
      </c>
      <c r="T55" s="215">
        <f t="shared" si="3"/>
        <v>3483.82</v>
      </c>
      <c r="U55" s="215">
        <f t="shared" si="4"/>
        <v>1741.91</v>
      </c>
    </row>
    <row r="56" spans="1:21" ht="15.5" x14ac:dyDescent="0.35">
      <c r="A56" s="21">
        <v>7</v>
      </c>
      <c r="B56" s="214" t="s">
        <v>574</v>
      </c>
      <c r="C56" s="215">
        <v>0</v>
      </c>
      <c r="D56" s="215">
        <v>0</v>
      </c>
      <c r="E56" s="215">
        <v>0</v>
      </c>
      <c r="F56" s="215">
        <v>0</v>
      </c>
      <c r="G56" s="215">
        <v>0</v>
      </c>
      <c r="H56" s="215">
        <v>0</v>
      </c>
      <c r="I56" s="215">
        <v>258.10000000000002</v>
      </c>
      <c r="J56" s="215">
        <v>261.29000000000002</v>
      </c>
      <c r="K56" s="215">
        <v>260.98</v>
      </c>
      <c r="L56" s="215">
        <v>302.3</v>
      </c>
      <c r="M56" s="215">
        <v>334.62</v>
      </c>
      <c r="N56" s="215">
        <v>337.2</v>
      </c>
      <c r="O56" s="215">
        <v>1754.49</v>
      </c>
      <c r="Q56" s="215">
        <f t="shared" si="0"/>
        <v>4046.3999999999996</v>
      </c>
      <c r="R56" s="215">
        <f t="shared" si="1"/>
        <v>4030.9199999999996</v>
      </c>
      <c r="S56" s="215">
        <f t="shared" si="2"/>
        <v>3896.4800000000005</v>
      </c>
      <c r="T56" s="215">
        <f t="shared" si="3"/>
        <v>3508.98</v>
      </c>
      <c r="U56" s="215">
        <f t="shared" si="4"/>
        <v>1754.49</v>
      </c>
    </row>
    <row r="57" spans="1:21" ht="15.5" x14ac:dyDescent="0.35">
      <c r="A57" s="21">
        <v>7</v>
      </c>
      <c r="B57" s="214" t="s">
        <v>1018</v>
      </c>
      <c r="C57" s="215">
        <v>0</v>
      </c>
      <c r="D57" s="215">
        <v>0</v>
      </c>
      <c r="E57" s="215">
        <v>0</v>
      </c>
      <c r="F57" s="215">
        <v>0</v>
      </c>
      <c r="G57" s="215">
        <v>0</v>
      </c>
      <c r="H57" s="215">
        <v>0</v>
      </c>
      <c r="I57" s="215">
        <v>0</v>
      </c>
      <c r="J57" s="215">
        <v>0</v>
      </c>
      <c r="K57" s="215">
        <v>0</v>
      </c>
      <c r="L57" s="215">
        <v>0</v>
      </c>
      <c r="M57" s="215">
        <v>0</v>
      </c>
      <c r="N57" s="215">
        <v>31.27</v>
      </c>
      <c r="O57" s="215">
        <v>31.27</v>
      </c>
      <c r="Q57" s="215">
        <f t="shared" si="0"/>
        <v>375.24</v>
      </c>
      <c r="R57" s="215">
        <f t="shared" si="1"/>
        <v>187.62</v>
      </c>
      <c r="S57" s="215">
        <f t="shared" si="2"/>
        <v>125.08</v>
      </c>
      <c r="T57" s="215">
        <f t="shared" si="3"/>
        <v>62.54</v>
      </c>
      <c r="U57" s="215">
        <f t="shared" si="4"/>
        <v>31.27</v>
      </c>
    </row>
    <row r="58" spans="1:21" ht="15.5" x14ac:dyDescent="0.35">
      <c r="A58" s="21">
        <v>7</v>
      </c>
      <c r="B58" s="214" t="s">
        <v>575</v>
      </c>
      <c r="C58" s="215">
        <v>0</v>
      </c>
      <c r="D58" s="215">
        <v>0</v>
      </c>
      <c r="E58" s="215">
        <v>0</v>
      </c>
      <c r="F58" s="215">
        <v>0</v>
      </c>
      <c r="G58" s="215">
        <v>0</v>
      </c>
      <c r="H58" s="215">
        <v>0</v>
      </c>
      <c r="I58" s="215">
        <v>0</v>
      </c>
      <c r="J58" s="215">
        <v>-727</v>
      </c>
      <c r="K58" s="215">
        <v>0</v>
      </c>
      <c r="L58" s="215">
        <v>-2964</v>
      </c>
      <c r="M58" s="215">
        <v>-3628</v>
      </c>
      <c r="N58" s="215">
        <v>-6</v>
      </c>
      <c r="O58" s="215">
        <v>-7325</v>
      </c>
      <c r="Q58" s="215">
        <f t="shared" si="0"/>
        <v>-72</v>
      </c>
      <c r="R58" s="215">
        <f t="shared" si="1"/>
        <v>-21804</v>
      </c>
      <c r="S58" s="215">
        <f t="shared" si="2"/>
        <v>-26392</v>
      </c>
      <c r="T58" s="215">
        <f t="shared" si="3"/>
        <v>-14650</v>
      </c>
      <c r="U58" s="215">
        <f t="shared" si="4"/>
        <v>-7325</v>
      </c>
    </row>
    <row r="59" spans="1:21" ht="15.5" x14ac:dyDescent="0.35">
      <c r="B59" s="212" t="s">
        <v>576</v>
      </c>
      <c r="C59" s="216">
        <v>17493.8</v>
      </c>
      <c r="D59" s="216">
        <v>19106.8</v>
      </c>
      <c r="E59" s="216">
        <v>15144.7</v>
      </c>
      <c r="F59" s="216">
        <v>21278.91</v>
      </c>
      <c r="G59" s="216">
        <v>27756.41</v>
      </c>
      <c r="H59" s="216">
        <v>18138.439999999999</v>
      </c>
      <c r="I59" s="216">
        <v>16538.849999999999</v>
      </c>
      <c r="J59" s="216">
        <v>11410.24</v>
      </c>
      <c r="K59" s="216">
        <v>14422.98</v>
      </c>
      <c r="L59" s="216">
        <v>13112.8</v>
      </c>
      <c r="M59" s="216">
        <v>13988.72</v>
      </c>
      <c r="N59" s="216">
        <v>17456.189999999999</v>
      </c>
      <c r="O59" s="216">
        <v>205848.84</v>
      </c>
      <c r="Q59" s="216">
        <f t="shared" si="0"/>
        <v>209474.27999999997</v>
      </c>
      <c r="R59" s="216">
        <f t="shared" si="1"/>
        <v>188669.45999999996</v>
      </c>
      <c r="S59" s="216">
        <f t="shared" si="2"/>
        <v>178230.83999999997</v>
      </c>
      <c r="T59" s="216">
        <f t="shared" si="3"/>
        <v>173859.56</v>
      </c>
      <c r="U59" s="216">
        <f t="shared" si="4"/>
        <v>205848.84</v>
      </c>
    </row>
    <row r="60" spans="1:21" ht="15.5" x14ac:dyDescent="0.35">
      <c r="B60" s="212" t="s">
        <v>577</v>
      </c>
      <c r="C60" s="216">
        <v>124662.16</v>
      </c>
      <c r="D60" s="216">
        <v>107988.75</v>
      </c>
      <c r="E60" s="216">
        <v>128515.7</v>
      </c>
      <c r="F60" s="216">
        <v>116661.26</v>
      </c>
      <c r="G60" s="216">
        <v>115786.39</v>
      </c>
      <c r="H60" s="216">
        <v>128679.44</v>
      </c>
      <c r="I60" s="216">
        <v>123233.82</v>
      </c>
      <c r="J60" s="216">
        <v>119971.92</v>
      </c>
      <c r="K60" s="216">
        <v>114816.73</v>
      </c>
      <c r="L60" s="216">
        <v>98660.73</v>
      </c>
      <c r="M60" s="216">
        <v>116969.5</v>
      </c>
      <c r="N60" s="216">
        <v>138499.73000000001</v>
      </c>
      <c r="O60" s="216">
        <v>1434446.13</v>
      </c>
      <c r="Q60" s="216">
        <f t="shared" si="0"/>
        <v>1661996.7600000002</v>
      </c>
      <c r="R60" s="216">
        <f t="shared" si="1"/>
        <v>1532815.3800000001</v>
      </c>
      <c r="S60" s="216">
        <f t="shared" si="2"/>
        <v>1416519.8399999999</v>
      </c>
      <c r="T60" s="216">
        <f t="shared" si="3"/>
        <v>1424304.8599999999</v>
      </c>
      <c r="U60" s="216">
        <f t="shared" si="4"/>
        <v>1434446.1300000001</v>
      </c>
    </row>
    <row r="61" spans="1:21" ht="15.5" x14ac:dyDescent="0.35">
      <c r="B61" s="212" t="s">
        <v>578</v>
      </c>
      <c r="C61" s="213"/>
      <c r="D61" s="213"/>
      <c r="E61" s="213"/>
      <c r="F61" s="213"/>
      <c r="G61" s="213"/>
      <c r="H61" s="213"/>
      <c r="I61" s="213"/>
      <c r="J61" s="213"/>
      <c r="K61" s="213"/>
      <c r="L61" s="213"/>
      <c r="M61" s="213"/>
      <c r="N61" s="213"/>
      <c r="O61" s="213"/>
      <c r="Q61" s="213">
        <f t="shared" si="0"/>
        <v>0</v>
      </c>
      <c r="R61" s="213">
        <f t="shared" si="1"/>
        <v>0</v>
      </c>
      <c r="S61" s="213">
        <f t="shared" si="2"/>
        <v>0</v>
      </c>
      <c r="T61" s="213">
        <f t="shared" si="3"/>
        <v>0</v>
      </c>
      <c r="U61" s="213">
        <f t="shared" si="4"/>
        <v>0</v>
      </c>
    </row>
    <row r="62" spans="1:21" ht="15.5" x14ac:dyDescent="0.35">
      <c r="B62" s="212" t="s">
        <v>579</v>
      </c>
      <c r="C62" s="213"/>
      <c r="D62" s="213"/>
      <c r="E62" s="213"/>
      <c r="F62" s="213"/>
      <c r="G62" s="213"/>
      <c r="H62" s="213"/>
      <c r="I62" s="213"/>
      <c r="J62" s="213"/>
      <c r="K62" s="213"/>
      <c r="L62" s="213"/>
      <c r="M62" s="213"/>
      <c r="N62" s="213"/>
      <c r="O62" s="213"/>
      <c r="Q62" s="213">
        <f t="shared" si="0"/>
        <v>0</v>
      </c>
      <c r="R62" s="213">
        <f t="shared" si="1"/>
        <v>0</v>
      </c>
      <c r="S62" s="213">
        <f t="shared" si="2"/>
        <v>0</v>
      </c>
      <c r="T62" s="213">
        <f t="shared" si="3"/>
        <v>0</v>
      </c>
      <c r="U62" s="213">
        <f t="shared" si="4"/>
        <v>0</v>
      </c>
    </row>
    <row r="63" spans="1:21" ht="15.5" x14ac:dyDescent="0.35">
      <c r="A63" s="21">
        <v>17</v>
      </c>
      <c r="B63" s="214" t="s">
        <v>580</v>
      </c>
      <c r="C63" s="215">
        <v>15433</v>
      </c>
      <c r="D63" s="215">
        <v>16178</v>
      </c>
      <c r="E63" s="215">
        <v>16327</v>
      </c>
      <c r="F63" s="215">
        <v>16625</v>
      </c>
      <c r="G63" s="215">
        <v>16923</v>
      </c>
      <c r="H63" s="215">
        <v>13046.18</v>
      </c>
      <c r="I63" s="215">
        <v>0</v>
      </c>
      <c r="J63" s="215">
        <v>0</v>
      </c>
      <c r="K63" s="215">
        <v>0</v>
      </c>
      <c r="L63" s="215">
        <v>0</v>
      </c>
      <c r="M63" s="215">
        <v>0</v>
      </c>
      <c r="N63" s="215">
        <v>0</v>
      </c>
      <c r="O63" s="215">
        <v>94532.18</v>
      </c>
      <c r="Q63" s="215">
        <f t="shared" si="0"/>
        <v>0</v>
      </c>
      <c r="R63" s="215">
        <f t="shared" si="1"/>
        <v>0</v>
      </c>
      <c r="S63" s="215">
        <f t="shared" si="2"/>
        <v>0</v>
      </c>
      <c r="T63" s="215">
        <f t="shared" si="3"/>
        <v>0</v>
      </c>
      <c r="U63" s="215">
        <f t="shared" si="4"/>
        <v>94532.18</v>
      </c>
    </row>
    <row r="64" spans="1:21" ht="15.5" x14ac:dyDescent="0.35">
      <c r="A64" s="21">
        <v>8</v>
      </c>
      <c r="B64" s="214" t="s">
        <v>581</v>
      </c>
      <c r="C64" s="215">
        <v>450</v>
      </c>
      <c r="D64" s="215">
        <v>900</v>
      </c>
      <c r="E64" s="215">
        <v>1200</v>
      </c>
      <c r="F64" s="215">
        <v>450</v>
      </c>
      <c r="G64" s="215">
        <v>0</v>
      </c>
      <c r="H64" s="215">
        <v>1050</v>
      </c>
      <c r="I64" s="215">
        <v>0</v>
      </c>
      <c r="J64" s="215">
        <v>0</v>
      </c>
      <c r="K64" s="215">
        <v>0</v>
      </c>
      <c r="L64" s="215">
        <v>0</v>
      </c>
      <c r="M64" s="215">
        <v>0</v>
      </c>
      <c r="N64" s="215">
        <v>0</v>
      </c>
      <c r="O64" s="215">
        <v>4050</v>
      </c>
      <c r="Q64" s="215">
        <f t="shared" si="0"/>
        <v>0</v>
      </c>
      <c r="R64" s="215">
        <f t="shared" si="1"/>
        <v>0</v>
      </c>
      <c r="S64" s="215">
        <f t="shared" si="2"/>
        <v>0</v>
      </c>
      <c r="T64" s="215">
        <f t="shared" si="3"/>
        <v>0</v>
      </c>
      <c r="U64" s="215">
        <f t="shared" si="4"/>
        <v>4050</v>
      </c>
    </row>
    <row r="65" spans="1:21" ht="15.5" x14ac:dyDescent="0.35">
      <c r="A65" s="21">
        <v>17</v>
      </c>
      <c r="B65" s="214" t="s">
        <v>582</v>
      </c>
      <c r="C65" s="215">
        <v>0</v>
      </c>
      <c r="D65" s="215">
        <v>0</v>
      </c>
      <c r="E65" s="215">
        <v>0</v>
      </c>
      <c r="F65" s="215">
        <v>0</v>
      </c>
      <c r="G65" s="215">
        <v>0</v>
      </c>
      <c r="H65" s="215">
        <v>0</v>
      </c>
      <c r="I65" s="215">
        <v>4500</v>
      </c>
      <c r="J65" s="215">
        <v>4500</v>
      </c>
      <c r="K65" s="215">
        <v>4500</v>
      </c>
      <c r="L65" s="215">
        <v>4500</v>
      </c>
      <c r="M65" s="215">
        <v>4500</v>
      </c>
      <c r="N65" s="215">
        <v>4500</v>
      </c>
      <c r="O65" s="215">
        <v>27000</v>
      </c>
      <c r="Q65" s="215">
        <f t="shared" si="0"/>
        <v>54000</v>
      </c>
      <c r="R65" s="215">
        <f t="shared" si="1"/>
        <v>54000</v>
      </c>
      <c r="S65" s="215">
        <f t="shared" si="2"/>
        <v>54000</v>
      </c>
      <c r="T65" s="215">
        <f t="shared" si="3"/>
        <v>54000</v>
      </c>
      <c r="U65" s="215">
        <f t="shared" si="4"/>
        <v>27000</v>
      </c>
    </row>
    <row r="66" spans="1:21" ht="15.5" x14ac:dyDescent="0.35">
      <c r="B66" s="212" t="s">
        <v>583</v>
      </c>
      <c r="C66" s="216">
        <v>15883</v>
      </c>
      <c r="D66" s="216">
        <v>17078</v>
      </c>
      <c r="E66" s="216">
        <v>17527</v>
      </c>
      <c r="F66" s="216">
        <v>17075</v>
      </c>
      <c r="G66" s="216">
        <v>16923</v>
      </c>
      <c r="H66" s="216">
        <v>14096.18</v>
      </c>
      <c r="I66" s="216">
        <v>4500</v>
      </c>
      <c r="J66" s="216">
        <v>4500</v>
      </c>
      <c r="K66" s="216">
        <v>4500</v>
      </c>
      <c r="L66" s="216">
        <v>4500</v>
      </c>
      <c r="M66" s="216">
        <v>4500</v>
      </c>
      <c r="N66" s="216">
        <v>4500</v>
      </c>
      <c r="O66" s="216">
        <v>125582.18</v>
      </c>
      <c r="Q66" s="216">
        <f t="shared" si="0"/>
        <v>54000</v>
      </c>
      <c r="R66" s="216">
        <f t="shared" si="1"/>
        <v>54000</v>
      </c>
      <c r="S66" s="216">
        <f t="shared" si="2"/>
        <v>54000</v>
      </c>
      <c r="T66" s="216">
        <f t="shared" si="3"/>
        <v>54000</v>
      </c>
      <c r="U66" s="216">
        <f t="shared" si="4"/>
        <v>125582.18</v>
      </c>
    </row>
    <row r="67" spans="1:21" ht="15.5" x14ac:dyDescent="0.35">
      <c r="B67" s="212" t="s">
        <v>584</v>
      </c>
      <c r="C67" s="213"/>
      <c r="D67" s="213"/>
      <c r="E67" s="213"/>
      <c r="F67" s="213"/>
      <c r="G67" s="213"/>
      <c r="H67" s="213"/>
      <c r="I67" s="213"/>
      <c r="J67" s="213"/>
      <c r="K67" s="213"/>
      <c r="L67" s="213"/>
      <c r="M67" s="213"/>
      <c r="N67" s="213"/>
      <c r="O67" s="213"/>
      <c r="Q67" s="213">
        <f t="shared" si="0"/>
        <v>0</v>
      </c>
      <c r="R67" s="213">
        <f t="shared" si="1"/>
        <v>0</v>
      </c>
      <c r="S67" s="213">
        <f t="shared" si="2"/>
        <v>0</v>
      </c>
      <c r="T67" s="213">
        <f t="shared" si="3"/>
        <v>0</v>
      </c>
      <c r="U67" s="213">
        <f t="shared" si="4"/>
        <v>0</v>
      </c>
    </row>
    <row r="68" spans="1:21" ht="15.5" x14ac:dyDescent="0.35">
      <c r="B68" s="214" t="s">
        <v>585</v>
      </c>
      <c r="C68" s="215">
        <v>45</v>
      </c>
      <c r="D68" s="215">
        <v>0</v>
      </c>
      <c r="E68" s="215">
        <v>0</v>
      </c>
      <c r="F68" s="215">
        <v>0</v>
      </c>
      <c r="G68" s="215">
        <v>0</v>
      </c>
      <c r="H68" s="215">
        <v>0</v>
      </c>
      <c r="I68" s="215">
        <v>0</v>
      </c>
      <c r="J68" s="215">
        <v>0</v>
      </c>
      <c r="K68" s="215">
        <v>0</v>
      </c>
      <c r="L68" s="215">
        <v>0</v>
      </c>
      <c r="M68" s="215">
        <v>0</v>
      </c>
      <c r="N68" s="215">
        <v>0</v>
      </c>
      <c r="O68" s="215">
        <v>45</v>
      </c>
      <c r="Q68" s="215">
        <f t="shared" si="0"/>
        <v>0</v>
      </c>
      <c r="R68" s="215">
        <f t="shared" si="1"/>
        <v>0</v>
      </c>
      <c r="S68" s="215">
        <f t="shared" si="2"/>
        <v>0</v>
      </c>
      <c r="T68" s="215">
        <f t="shared" si="3"/>
        <v>0</v>
      </c>
      <c r="U68" s="215">
        <f t="shared" si="4"/>
        <v>45</v>
      </c>
    </row>
    <row r="69" spans="1:21" ht="15.5" x14ac:dyDescent="0.35">
      <c r="B69" s="214" t="s">
        <v>586</v>
      </c>
      <c r="C69" s="215">
        <v>0</v>
      </c>
      <c r="D69" s="215">
        <v>0</v>
      </c>
      <c r="E69" s="215">
        <v>0</v>
      </c>
      <c r="F69" s="215">
        <v>0</v>
      </c>
      <c r="G69" s="215">
        <v>0</v>
      </c>
      <c r="H69" s="215">
        <v>0</v>
      </c>
      <c r="I69" s="215">
        <v>0</v>
      </c>
      <c r="J69" s="215">
        <v>1430.6</v>
      </c>
      <c r="K69" s="215">
        <v>0</v>
      </c>
      <c r="L69" s="215">
        <v>0</v>
      </c>
      <c r="M69" s="215">
        <v>0</v>
      </c>
      <c r="N69" s="215">
        <v>0</v>
      </c>
      <c r="O69" s="215">
        <v>1430.6</v>
      </c>
      <c r="Q69" s="215">
        <f t="shared" si="0"/>
        <v>0</v>
      </c>
      <c r="R69" s="215">
        <f t="shared" si="1"/>
        <v>0</v>
      </c>
      <c r="S69" s="215">
        <f t="shared" si="2"/>
        <v>0</v>
      </c>
      <c r="T69" s="215">
        <f t="shared" si="3"/>
        <v>2861.2</v>
      </c>
      <c r="U69" s="215">
        <f t="shared" si="4"/>
        <v>1430.6</v>
      </c>
    </row>
    <row r="70" spans="1:21" ht="15.5" x14ac:dyDescent="0.35">
      <c r="B70" s="214" t="s">
        <v>587</v>
      </c>
      <c r="C70" s="215">
        <v>133.84</v>
      </c>
      <c r="D70" s="215">
        <v>398.15</v>
      </c>
      <c r="E70" s="215">
        <v>138.15</v>
      </c>
      <c r="F70" s="215">
        <v>138.15</v>
      </c>
      <c r="G70" s="215">
        <v>138.01</v>
      </c>
      <c r="H70" s="215">
        <v>138</v>
      </c>
      <c r="I70" s="215">
        <v>138.01</v>
      </c>
      <c r="J70" s="215">
        <v>133</v>
      </c>
      <c r="K70" s="215">
        <v>158.07</v>
      </c>
      <c r="L70" s="215">
        <v>145.58000000000001</v>
      </c>
      <c r="M70" s="215">
        <v>138.36000000000001</v>
      </c>
      <c r="N70" s="215">
        <v>138.36000000000001</v>
      </c>
      <c r="O70" s="215">
        <v>1935.68</v>
      </c>
      <c r="Q70" s="215">
        <f t="shared" si="0"/>
        <v>1660.3200000000002</v>
      </c>
      <c r="R70" s="215">
        <f t="shared" si="1"/>
        <v>1660.3200000000002</v>
      </c>
      <c r="S70" s="215">
        <f t="shared" si="2"/>
        <v>1689.2000000000003</v>
      </c>
      <c r="T70" s="215">
        <f t="shared" si="3"/>
        <v>1702.76</v>
      </c>
      <c r="U70" s="215">
        <f t="shared" si="4"/>
        <v>1935.6799999999998</v>
      </c>
    </row>
    <row r="71" spans="1:21" ht="15.5" x14ac:dyDescent="0.35">
      <c r="B71" s="214" t="s">
        <v>588</v>
      </c>
      <c r="C71" s="215">
        <v>0</v>
      </c>
      <c r="D71" s="215">
        <v>0</v>
      </c>
      <c r="E71" s="215">
        <v>0</v>
      </c>
      <c r="F71" s="215">
        <v>0</v>
      </c>
      <c r="G71" s="215">
        <v>0</v>
      </c>
      <c r="H71" s="215">
        <v>0</v>
      </c>
      <c r="I71" s="215">
        <v>264.32</v>
      </c>
      <c r="J71" s="215">
        <v>0</v>
      </c>
      <c r="K71" s="215">
        <v>0</v>
      </c>
      <c r="L71" s="215">
        <v>0</v>
      </c>
      <c r="M71" s="215">
        <v>0</v>
      </c>
      <c r="N71" s="215">
        <v>0</v>
      </c>
      <c r="O71" s="215">
        <v>264.32</v>
      </c>
      <c r="Q71" s="215">
        <f t="shared" si="0"/>
        <v>0</v>
      </c>
      <c r="R71" s="215">
        <f t="shared" si="1"/>
        <v>0</v>
      </c>
      <c r="S71" s="215">
        <f t="shared" si="2"/>
        <v>0</v>
      </c>
      <c r="T71" s="215">
        <f t="shared" si="3"/>
        <v>528.64</v>
      </c>
      <c r="U71" s="215">
        <f t="shared" si="4"/>
        <v>264.32</v>
      </c>
    </row>
    <row r="72" spans="1:21" ht="15.5" x14ac:dyDescent="0.35">
      <c r="B72" s="214" t="s">
        <v>589</v>
      </c>
      <c r="C72" s="215">
        <v>0</v>
      </c>
      <c r="D72" s="215">
        <v>0</v>
      </c>
      <c r="E72" s="215">
        <v>0</v>
      </c>
      <c r="F72" s="215">
        <v>0</v>
      </c>
      <c r="G72" s="215">
        <v>0</v>
      </c>
      <c r="H72" s="215">
        <v>0</v>
      </c>
      <c r="I72" s="215">
        <v>0</v>
      </c>
      <c r="J72" s="215">
        <v>300</v>
      </c>
      <c r="K72" s="215">
        <v>0</v>
      </c>
      <c r="L72" s="215">
        <v>0</v>
      </c>
      <c r="M72" s="215">
        <v>0</v>
      </c>
      <c r="N72" s="215">
        <v>0</v>
      </c>
      <c r="O72" s="215">
        <v>300</v>
      </c>
      <c r="Q72" s="215">
        <f t="shared" si="0"/>
        <v>0</v>
      </c>
      <c r="R72" s="215">
        <f t="shared" si="1"/>
        <v>0</v>
      </c>
      <c r="S72" s="215">
        <f t="shared" si="2"/>
        <v>0</v>
      </c>
      <c r="T72" s="215">
        <f t="shared" si="3"/>
        <v>600</v>
      </c>
      <c r="U72" s="215">
        <f t="shared" si="4"/>
        <v>300</v>
      </c>
    </row>
    <row r="73" spans="1:21" ht="15.5" x14ac:dyDescent="0.35">
      <c r="B73" s="214" t="s">
        <v>590</v>
      </c>
      <c r="C73" s="215">
        <v>438.5</v>
      </c>
      <c r="D73" s="215">
        <v>354</v>
      </c>
      <c r="E73" s="215">
        <v>0</v>
      </c>
      <c r="F73" s="215">
        <v>0</v>
      </c>
      <c r="G73" s="215">
        <v>0</v>
      </c>
      <c r="H73" s="215">
        <v>926</v>
      </c>
      <c r="I73" s="215">
        <v>0</v>
      </c>
      <c r="J73" s="215">
        <v>0</v>
      </c>
      <c r="K73" s="215">
        <v>0</v>
      </c>
      <c r="L73" s="215">
        <v>0</v>
      </c>
      <c r="M73" s="215">
        <v>0</v>
      </c>
      <c r="N73" s="215">
        <v>0</v>
      </c>
      <c r="O73" s="215">
        <v>1718.5</v>
      </c>
      <c r="Q73" s="215">
        <f t="shared" si="0"/>
        <v>0</v>
      </c>
      <c r="R73" s="215">
        <f t="shared" si="1"/>
        <v>0</v>
      </c>
      <c r="S73" s="215">
        <f t="shared" si="2"/>
        <v>0</v>
      </c>
      <c r="T73" s="215">
        <f t="shared" si="3"/>
        <v>0</v>
      </c>
      <c r="U73" s="215">
        <f t="shared" si="4"/>
        <v>1718.5</v>
      </c>
    </row>
    <row r="74" spans="1:21" ht="15.5" x14ac:dyDescent="0.35">
      <c r="B74" s="214" t="s">
        <v>1019</v>
      </c>
      <c r="C74" s="215">
        <v>0</v>
      </c>
      <c r="D74" s="215">
        <v>0</v>
      </c>
      <c r="E74" s="215">
        <v>0</v>
      </c>
      <c r="F74" s="215">
        <v>0</v>
      </c>
      <c r="G74" s="215">
        <v>0</v>
      </c>
      <c r="H74" s="215">
        <v>0</v>
      </c>
      <c r="I74" s="215">
        <v>0</v>
      </c>
      <c r="J74" s="215">
        <v>0</v>
      </c>
      <c r="K74" s="215">
        <v>0</v>
      </c>
      <c r="L74" s="215">
        <v>0</v>
      </c>
      <c r="M74" s="215">
        <v>32.869999999999997</v>
      </c>
      <c r="N74" s="215">
        <v>0</v>
      </c>
      <c r="O74" s="215">
        <v>32.869999999999997</v>
      </c>
      <c r="Q74" s="215">
        <f t="shared" si="0"/>
        <v>0</v>
      </c>
      <c r="R74" s="215">
        <f t="shared" si="1"/>
        <v>197.21999999999997</v>
      </c>
      <c r="S74" s="215">
        <f t="shared" si="2"/>
        <v>131.47999999999999</v>
      </c>
      <c r="T74" s="215">
        <f t="shared" si="3"/>
        <v>65.739999999999995</v>
      </c>
      <c r="U74" s="215">
        <f t="shared" si="4"/>
        <v>32.869999999999997</v>
      </c>
    </row>
    <row r="75" spans="1:21" ht="15.5" x14ac:dyDescent="0.35">
      <c r="B75" s="214" t="s">
        <v>591</v>
      </c>
      <c r="C75" s="215">
        <v>200</v>
      </c>
      <c r="D75" s="215">
        <v>0</v>
      </c>
      <c r="E75" s="215">
        <v>0</v>
      </c>
      <c r="F75" s="215">
        <v>0</v>
      </c>
      <c r="G75" s="215">
        <v>80.599999999999994</v>
      </c>
      <c r="H75" s="215">
        <v>0</v>
      </c>
      <c r="I75" s="215">
        <v>253.43</v>
      </c>
      <c r="J75" s="215">
        <v>47.92</v>
      </c>
      <c r="K75" s="215">
        <v>64.489999999999995</v>
      </c>
      <c r="L75" s="215">
        <v>0</v>
      </c>
      <c r="M75" s="215">
        <v>90.33</v>
      </c>
      <c r="N75" s="215">
        <v>0</v>
      </c>
      <c r="O75" s="215">
        <v>736.77</v>
      </c>
      <c r="Q75" s="215">
        <f t="shared" si="0"/>
        <v>0</v>
      </c>
      <c r="R75" s="215">
        <f t="shared" si="1"/>
        <v>541.98</v>
      </c>
      <c r="S75" s="215">
        <f t="shared" si="2"/>
        <v>361.32</v>
      </c>
      <c r="T75" s="215">
        <f t="shared" si="3"/>
        <v>912.34</v>
      </c>
      <c r="U75" s="215">
        <f t="shared" si="4"/>
        <v>736.77</v>
      </c>
    </row>
    <row r="76" spans="1:21" ht="15.5" x14ac:dyDescent="0.35">
      <c r="B76" s="214" t="s">
        <v>1020</v>
      </c>
      <c r="C76" s="215">
        <v>0</v>
      </c>
      <c r="D76" s="215">
        <v>0</v>
      </c>
      <c r="E76" s="215">
        <v>0</v>
      </c>
      <c r="F76" s="215">
        <v>0</v>
      </c>
      <c r="G76" s="215">
        <v>0</v>
      </c>
      <c r="H76" s="215">
        <v>0</v>
      </c>
      <c r="I76" s="215">
        <v>0</v>
      </c>
      <c r="J76" s="215">
        <v>0</v>
      </c>
      <c r="K76" s="215">
        <v>0</v>
      </c>
      <c r="L76" s="215">
        <v>0</v>
      </c>
      <c r="M76" s="215">
        <v>277.36</v>
      </c>
      <c r="N76" s="215">
        <v>0</v>
      </c>
      <c r="O76" s="215">
        <v>277.36</v>
      </c>
      <c r="Q76" s="215">
        <f t="shared" si="0"/>
        <v>0</v>
      </c>
      <c r="R76" s="215">
        <f t="shared" si="1"/>
        <v>1664.16</v>
      </c>
      <c r="S76" s="215">
        <f t="shared" si="2"/>
        <v>1109.44</v>
      </c>
      <c r="T76" s="215">
        <f t="shared" si="3"/>
        <v>554.72</v>
      </c>
      <c r="U76" s="215">
        <f t="shared" si="4"/>
        <v>277.36</v>
      </c>
    </row>
    <row r="77" spans="1:21" ht="15.5" x14ac:dyDescent="0.35">
      <c r="B77" s="214" t="s">
        <v>592</v>
      </c>
      <c r="C77" s="215">
        <v>0</v>
      </c>
      <c r="D77" s="215">
        <v>0</v>
      </c>
      <c r="E77" s="215">
        <v>195</v>
      </c>
      <c r="F77" s="215">
        <v>0</v>
      </c>
      <c r="G77" s="215">
        <v>0</v>
      </c>
      <c r="H77" s="215">
        <v>0</v>
      </c>
      <c r="I77" s="215">
        <v>0</v>
      </c>
      <c r="J77" s="215">
        <v>0</v>
      </c>
      <c r="K77" s="215">
        <v>0</v>
      </c>
      <c r="L77" s="215">
        <v>0</v>
      </c>
      <c r="M77" s="215">
        <v>0</v>
      </c>
      <c r="N77" s="215">
        <v>0</v>
      </c>
      <c r="O77" s="215">
        <v>195</v>
      </c>
      <c r="Q77" s="215">
        <f t="shared" si="0"/>
        <v>0</v>
      </c>
      <c r="R77" s="215">
        <f t="shared" si="1"/>
        <v>0</v>
      </c>
      <c r="S77" s="215">
        <f t="shared" si="2"/>
        <v>0</v>
      </c>
      <c r="T77" s="215">
        <f t="shared" si="3"/>
        <v>0</v>
      </c>
      <c r="U77" s="215">
        <f t="shared" si="4"/>
        <v>195</v>
      </c>
    </row>
    <row r="78" spans="1:21" ht="15.5" x14ac:dyDescent="0.35">
      <c r="B78" s="214" t="s">
        <v>593</v>
      </c>
      <c r="C78" s="215">
        <v>0</v>
      </c>
      <c r="D78" s="215">
        <v>0</v>
      </c>
      <c r="E78" s="215">
        <v>0</v>
      </c>
      <c r="F78" s="215">
        <v>0</v>
      </c>
      <c r="G78" s="215">
        <v>0</v>
      </c>
      <c r="H78" s="215">
        <v>0</v>
      </c>
      <c r="I78" s="215">
        <v>0</v>
      </c>
      <c r="J78" s="215">
        <v>483.64</v>
      </c>
      <c r="K78" s="215">
        <v>0</v>
      </c>
      <c r="L78" s="215">
        <v>0</v>
      </c>
      <c r="M78" s="215">
        <v>0</v>
      </c>
      <c r="N78" s="215">
        <v>48.58</v>
      </c>
      <c r="O78" s="215">
        <v>532.22</v>
      </c>
      <c r="Q78" s="215">
        <f t="shared" si="0"/>
        <v>582.96</v>
      </c>
      <c r="R78" s="215">
        <f t="shared" si="1"/>
        <v>291.48</v>
      </c>
      <c r="S78" s="215">
        <f t="shared" si="2"/>
        <v>194.32</v>
      </c>
      <c r="T78" s="215">
        <f t="shared" si="3"/>
        <v>1064.44</v>
      </c>
      <c r="U78" s="215">
        <f t="shared" si="4"/>
        <v>532.22</v>
      </c>
    </row>
    <row r="79" spans="1:21" ht="15.5" x14ac:dyDescent="0.35">
      <c r="B79" s="214" t="s">
        <v>594</v>
      </c>
      <c r="C79" s="215">
        <v>0</v>
      </c>
      <c r="D79" s="215">
        <v>0</v>
      </c>
      <c r="E79" s="215">
        <v>0</v>
      </c>
      <c r="F79" s="215">
        <v>0</v>
      </c>
      <c r="G79" s="215">
        <v>0</v>
      </c>
      <c r="H79" s="215">
        <v>0</v>
      </c>
      <c r="I79" s="215">
        <v>204</v>
      </c>
      <c r="J79" s="215">
        <v>926</v>
      </c>
      <c r="K79" s="215">
        <v>1001</v>
      </c>
      <c r="L79" s="215">
        <v>0</v>
      </c>
      <c r="M79" s="215">
        <v>102</v>
      </c>
      <c r="N79" s="215">
        <v>0</v>
      </c>
      <c r="O79" s="215">
        <v>2233</v>
      </c>
      <c r="Q79" s="215">
        <f t="shared" si="0"/>
        <v>0</v>
      </c>
      <c r="R79" s="215">
        <f t="shared" si="1"/>
        <v>612</v>
      </c>
      <c r="S79" s="215">
        <f t="shared" si="2"/>
        <v>408</v>
      </c>
      <c r="T79" s="215">
        <f t="shared" si="3"/>
        <v>4466</v>
      </c>
      <c r="U79" s="215">
        <f t="shared" si="4"/>
        <v>2233</v>
      </c>
    </row>
    <row r="80" spans="1:21" ht="15.5" x14ac:dyDescent="0.35">
      <c r="B80" s="214" t="s">
        <v>595</v>
      </c>
      <c r="C80" s="215">
        <v>0</v>
      </c>
      <c r="D80" s="215">
        <v>0</v>
      </c>
      <c r="E80" s="215">
        <v>0</v>
      </c>
      <c r="F80" s="215">
        <v>150</v>
      </c>
      <c r="G80" s="215">
        <v>0</v>
      </c>
      <c r="H80" s="215">
        <v>5633.42</v>
      </c>
      <c r="I80" s="215">
        <v>0</v>
      </c>
      <c r="J80" s="215">
        <v>500</v>
      </c>
      <c r="K80" s="215">
        <v>350</v>
      </c>
      <c r="L80" s="215">
        <v>350</v>
      </c>
      <c r="M80" s="215">
        <v>350</v>
      </c>
      <c r="N80" s="215">
        <v>350</v>
      </c>
      <c r="O80" s="215">
        <v>7683.42</v>
      </c>
      <c r="Q80" s="215">
        <f t="shared" si="0"/>
        <v>4200</v>
      </c>
      <c r="R80" s="215">
        <f t="shared" si="1"/>
        <v>4200</v>
      </c>
      <c r="S80" s="215">
        <f t="shared" si="2"/>
        <v>4200</v>
      </c>
      <c r="T80" s="215">
        <f t="shared" si="3"/>
        <v>3800</v>
      </c>
      <c r="U80" s="215">
        <f t="shared" si="4"/>
        <v>7683.42</v>
      </c>
    </row>
    <row r="81" spans="1:21" ht="15.5" x14ac:dyDescent="0.35">
      <c r="B81" s="214" t="s">
        <v>596</v>
      </c>
      <c r="C81" s="215">
        <v>14300</v>
      </c>
      <c r="D81" s="215">
        <v>150</v>
      </c>
      <c r="E81" s="215">
        <v>2350</v>
      </c>
      <c r="F81" s="215">
        <v>-520.5</v>
      </c>
      <c r="G81" s="215">
        <v>5300</v>
      </c>
      <c r="H81" s="215">
        <v>0</v>
      </c>
      <c r="I81" s="215">
        <v>0</v>
      </c>
      <c r="J81" s="215">
        <v>0</v>
      </c>
      <c r="K81" s="215">
        <v>0</v>
      </c>
      <c r="L81" s="215">
        <v>0</v>
      </c>
      <c r="M81" s="215">
        <v>0</v>
      </c>
      <c r="N81" s="215">
        <v>0</v>
      </c>
      <c r="O81" s="215">
        <v>21579.5</v>
      </c>
      <c r="Q81" s="215">
        <f t="shared" si="0"/>
        <v>0</v>
      </c>
      <c r="R81" s="215">
        <f t="shared" si="1"/>
        <v>0</v>
      </c>
      <c r="S81" s="215">
        <f t="shared" si="2"/>
        <v>0</v>
      </c>
      <c r="T81" s="215">
        <f t="shared" si="3"/>
        <v>0</v>
      </c>
      <c r="U81" s="215">
        <f t="shared" si="4"/>
        <v>21579.5</v>
      </c>
    </row>
    <row r="82" spans="1:21" ht="15.5" x14ac:dyDescent="0.35">
      <c r="B82" s="214" t="s">
        <v>597</v>
      </c>
      <c r="C82" s="215">
        <v>0</v>
      </c>
      <c r="D82" s="215">
        <v>0</v>
      </c>
      <c r="E82" s="215">
        <v>0</v>
      </c>
      <c r="F82" s="215">
        <v>0</v>
      </c>
      <c r="G82" s="215">
        <v>0</v>
      </c>
      <c r="H82" s="215">
        <v>0</v>
      </c>
      <c r="I82" s="215">
        <v>0</v>
      </c>
      <c r="J82" s="215">
        <v>0</v>
      </c>
      <c r="K82" s="215">
        <v>0</v>
      </c>
      <c r="L82" s="215">
        <v>0</v>
      </c>
      <c r="M82" s="215">
        <v>208.06</v>
      </c>
      <c r="N82" s="215">
        <v>0</v>
      </c>
      <c r="O82" s="215">
        <v>208.06</v>
      </c>
      <c r="Q82" s="215">
        <f t="shared" ref="Q82:Q145" si="5">+N82*12</f>
        <v>0</v>
      </c>
      <c r="R82" s="215">
        <f t="shared" ref="R82:R145" si="6">+SUM(M82:N82)*6</f>
        <v>1248.3600000000001</v>
      </c>
      <c r="S82" s="215">
        <f t="shared" ref="S82:S145" si="7">+SUM(L82:N82)*4</f>
        <v>832.24</v>
      </c>
      <c r="T82" s="215">
        <f t="shared" ref="T82:T145" si="8">+SUM(I82:N82)*2</f>
        <v>416.12</v>
      </c>
      <c r="U82" s="215">
        <f t="shared" ref="U82:U145" si="9">+SUM(C82:N82)</f>
        <v>208.06</v>
      </c>
    </row>
    <row r="83" spans="1:21" ht="15.5" x14ac:dyDescent="0.35">
      <c r="B83" s="214" t="s">
        <v>598</v>
      </c>
      <c r="C83" s="215">
        <v>256</v>
      </c>
      <c r="D83" s="215">
        <v>796.72</v>
      </c>
      <c r="E83" s="215">
        <v>0</v>
      </c>
      <c r="F83" s="215">
        <v>0</v>
      </c>
      <c r="G83" s="215">
        <v>700.35</v>
      </c>
      <c r="H83" s="215">
        <v>0</v>
      </c>
      <c r="I83" s="215">
        <v>0</v>
      </c>
      <c r="J83" s="215">
        <v>0</v>
      </c>
      <c r="K83" s="215">
        <v>0</v>
      </c>
      <c r="L83" s="215">
        <v>0</v>
      </c>
      <c r="M83" s="215">
        <v>0</v>
      </c>
      <c r="N83" s="215">
        <v>0</v>
      </c>
      <c r="O83" s="215">
        <v>1753.07</v>
      </c>
      <c r="Q83" s="215">
        <f t="shared" si="5"/>
        <v>0</v>
      </c>
      <c r="R83" s="215">
        <f t="shared" si="6"/>
        <v>0</v>
      </c>
      <c r="S83" s="215">
        <f t="shared" si="7"/>
        <v>0</v>
      </c>
      <c r="T83" s="215">
        <f t="shared" si="8"/>
        <v>0</v>
      </c>
      <c r="U83" s="215">
        <f t="shared" si="9"/>
        <v>1753.0700000000002</v>
      </c>
    </row>
    <row r="84" spans="1:21" ht="15.5" x14ac:dyDescent="0.35">
      <c r="B84" s="214" t="s">
        <v>599</v>
      </c>
      <c r="C84" s="215">
        <v>0</v>
      </c>
      <c r="D84" s="215">
        <v>0</v>
      </c>
      <c r="E84" s="215">
        <v>0</v>
      </c>
      <c r="F84" s="215">
        <v>0</v>
      </c>
      <c r="G84" s="215">
        <v>0</v>
      </c>
      <c r="H84" s="215">
        <v>0</v>
      </c>
      <c r="I84" s="215">
        <v>0</v>
      </c>
      <c r="J84" s="215">
        <v>0</v>
      </c>
      <c r="K84" s="215">
        <v>350</v>
      </c>
      <c r="L84" s="215">
        <v>0</v>
      </c>
      <c r="M84" s="215">
        <v>0</v>
      </c>
      <c r="N84" s="215">
        <v>0</v>
      </c>
      <c r="O84" s="215">
        <v>350</v>
      </c>
      <c r="Q84" s="215">
        <f t="shared" si="5"/>
        <v>0</v>
      </c>
      <c r="R84" s="215">
        <f t="shared" si="6"/>
        <v>0</v>
      </c>
      <c r="S84" s="215">
        <f t="shared" si="7"/>
        <v>0</v>
      </c>
      <c r="T84" s="215">
        <f t="shared" si="8"/>
        <v>700</v>
      </c>
      <c r="U84" s="215">
        <f t="shared" si="9"/>
        <v>350</v>
      </c>
    </row>
    <row r="85" spans="1:21" ht="15.5" x14ac:dyDescent="0.35">
      <c r="B85" s="214" t="s">
        <v>600</v>
      </c>
      <c r="C85" s="215">
        <v>0</v>
      </c>
      <c r="D85" s="215">
        <v>256</v>
      </c>
      <c r="E85" s="215">
        <v>256</v>
      </c>
      <c r="F85" s="215">
        <v>256</v>
      </c>
      <c r="G85" s="215">
        <v>256</v>
      </c>
      <c r="H85" s="215">
        <v>206.45</v>
      </c>
      <c r="I85" s="215">
        <v>300</v>
      </c>
      <c r="J85" s="215">
        <v>4622.79</v>
      </c>
      <c r="K85" s="215">
        <v>1407.22</v>
      </c>
      <c r="L85" s="215">
        <v>1107.22</v>
      </c>
      <c r="M85" s="215">
        <v>1107.22</v>
      </c>
      <c r="N85" s="215">
        <v>1107.22</v>
      </c>
      <c r="O85" s="215">
        <v>10882.12</v>
      </c>
      <c r="Q85" s="215">
        <f t="shared" si="5"/>
        <v>13286.64</v>
      </c>
      <c r="R85" s="215">
        <f t="shared" si="6"/>
        <v>13286.64</v>
      </c>
      <c r="S85" s="215">
        <f t="shared" si="7"/>
        <v>13286.64</v>
      </c>
      <c r="T85" s="215">
        <f t="shared" si="8"/>
        <v>19303.34</v>
      </c>
      <c r="U85" s="215">
        <f t="shared" si="9"/>
        <v>10882.119999999999</v>
      </c>
    </row>
    <row r="86" spans="1:21" ht="15.5" x14ac:dyDescent="0.35">
      <c r="B86" s="214" t="s">
        <v>601</v>
      </c>
      <c r="C86" s="215">
        <v>99</v>
      </c>
      <c r="D86" s="215">
        <v>99</v>
      </c>
      <c r="E86" s="215">
        <v>99</v>
      </c>
      <c r="F86" s="215">
        <v>99</v>
      </c>
      <c r="G86" s="215">
        <v>99</v>
      </c>
      <c r="H86" s="215">
        <v>99</v>
      </c>
      <c r="I86" s="215">
        <v>99</v>
      </c>
      <c r="J86" s="215">
        <v>99</v>
      </c>
      <c r="K86" s="215">
        <v>128</v>
      </c>
      <c r="L86" s="215">
        <v>99</v>
      </c>
      <c r="M86" s="215">
        <v>397</v>
      </c>
      <c r="N86" s="215">
        <v>0</v>
      </c>
      <c r="O86" s="215">
        <v>1416</v>
      </c>
      <c r="Q86" s="215">
        <f t="shared" si="5"/>
        <v>0</v>
      </c>
      <c r="R86" s="215">
        <f t="shared" si="6"/>
        <v>2382</v>
      </c>
      <c r="S86" s="215">
        <f t="shared" si="7"/>
        <v>1984</v>
      </c>
      <c r="T86" s="215">
        <f t="shared" si="8"/>
        <v>1644</v>
      </c>
      <c r="U86" s="215">
        <f t="shared" si="9"/>
        <v>1416</v>
      </c>
    </row>
    <row r="87" spans="1:21" ht="15.5" x14ac:dyDescent="0.35">
      <c r="B87" s="214" t="s">
        <v>602</v>
      </c>
      <c r="C87" s="215">
        <v>0</v>
      </c>
      <c r="D87" s="215">
        <v>0</v>
      </c>
      <c r="E87" s="215">
        <v>0</v>
      </c>
      <c r="F87" s="215">
        <v>0</v>
      </c>
      <c r="G87" s="215">
        <v>0</v>
      </c>
      <c r="H87" s="215">
        <v>0</v>
      </c>
      <c r="I87" s="215">
        <v>0</v>
      </c>
      <c r="J87" s="215">
        <v>1280</v>
      </c>
      <c r="K87" s="215">
        <v>0</v>
      </c>
      <c r="L87" s="215">
        <v>0</v>
      </c>
      <c r="M87" s="215">
        <v>0</v>
      </c>
      <c r="N87" s="215">
        <v>0</v>
      </c>
      <c r="O87" s="215">
        <v>1280</v>
      </c>
      <c r="Q87" s="215">
        <f t="shared" si="5"/>
        <v>0</v>
      </c>
      <c r="R87" s="215">
        <f t="shared" si="6"/>
        <v>0</v>
      </c>
      <c r="S87" s="215">
        <f t="shared" si="7"/>
        <v>0</v>
      </c>
      <c r="T87" s="215">
        <f t="shared" si="8"/>
        <v>2560</v>
      </c>
      <c r="U87" s="215">
        <f t="shared" si="9"/>
        <v>1280</v>
      </c>
    </row>
    <row r="88" spans="1:21" ht="15.5" x14ac:dyDescent="0.35">
      <c r="B88" s="214" t="s">
        <v>603</v>
      </c>
      <c r="C88" s="215">
        <v>0</v>
      </c>
      <c r="D88" s="215">
        <v>0</v>
      </c>
      <c r="E88" s="215">
        <v>0</v>
      </c>
      <c r="F88" s="215">
        <v>0</v>
      </c>
      <c r="G88" s="215">
        <v>0</v>
      </c>
      <c r="H88" s="215">
        <v>0</v>
      </c>
      <c r="I88" s="215">
        <v>0</v>
      </c>
      <c r="J88" s="215">
        <v>0</v>
      </c>
      <c r="K88" s="215">
        <v>11.5</v>
      </c>
      <c r="L88" s="215">
        <v>73.8</v>
      </c>
      <c r="M88" s="215">
        <v>48</v>
      </c>
      <c r="N88" s="215">
        <v>21.6</v>
      </c>
      <c r="O88" s="215">
        <v>154.9</v>
      </c>
      <c r="Q88" s="215">
        <f t="shared" si="5"/>
        <v>259.20000000000005</v>
      </c>
      <c r="R88" s="215">
        <f t="shared" si="6"/>
        <v>417.59999999999997</v>
      </c>
      <c r="S88" s="215">
        <f t="shared" si="7"/>
        <v>573.6</v>
      </c>
      <c r="T88" s="215">
        <f t="shared" si="8"/>
        <v>309.8</v>
      </c>
      <c r="U88" s="215">
        <f t="shared" si="9"/>
        <v>154.9</v>
      </c>
    </row>
    <row r="89" spans="1:21" ht="15.5" x14ac:dyDescent="0.35">
      <c r="B89" s="214" t="s">
        <v>604</v>
      </c>
      <c r="C89" s="215">
        <v>0</v>
      </c>
      <c r="D89" s="215">
        <v>0</v>
      </c>
      <c r="E89" s="215">
        <v>0</v>
      </c>
      <c r="F89" s="215">
        <v>0</v>
      </c>
      <c r="G89" s="215">
        <v>0</v>
      </c>
      <c r="H89" s="215">
        <v>0</v>
      </c>
      <c r="I89" s="215">
        <v>0</v>
      </c>
      <c r="J89" s="215">
        <v>0</v>
      </c>
      <c r="K89" s="215">
        <v>0</v>
      </c>
      <c r="L89" s="215">
        <v>0</v>
      </c>
      <c r="M89" s="215">
        <v>148.74</v>
      </c>
      <c r="N89" s="215">
        <v>0</v>
      </c>
      <c r="O89" s="215">
        <v>148.74</v>
      </c>
      <c r="Q89" s="215">
        <f t="shared" si="5"/>
        <v>0</v>
      </c>
      <c r="R89" s="215">
        <f t="shared" si="6"/>
        <v>892.44</v>
      </c>
      <c r="S89" s="215">
        <f t="shared" si="7"/>
        <v>594.96</v>
      </c>
      <c r="T89" s="215">
        <f t="shared" si="8"/>
        <v>297.48</v>
      </c>
      <c r="U89" s="215">
        <f t="shared" si="9"/>
        <v>148.74</v>
      </c>
    </row>
    <row r="90" spans="1:21" ht="15.5" x14ac:dyDescent="0.35">
      <c r="A90" s="210"/>
      <c r="B90" s="214" t="s">
        <v>605</v>
      </c>
      <c r="C90" s="215">
        <v>0</v>
      </c>
      <c r="D90" s="215">
        <v>0</v>
      </c>
      <c r="E90" s="215">
        <v>45</v>
      </c>
      <c r="F90" s="215">
        <v>1080</v>
      </c>
      <c r="G90" s="215">
        <v>225</v>
      </c>
      <c r="H90" s="215">
        <v>540</v>
      </c>
      <c r="I90" s="215">
        <v>125</v>
      </c>
      <c r="J90" s="215">
        <v>0</v>
      </c>
      <c r="K90" s="215">
        <v>0</v>
      </c>
      <c r="L90" s="215">
        <v>0</v>
      </c>
      <c r="M90" s="215">
        <v>0</v>
      </c>
      <c r="N90" s="215">
        <v>100</v>
      </c>
      <c r="O90" s="215">
        <v>2115</v>
      </c>
      <c r="Q90" s="215">
        <f t="shared" si="5"/>
        <v>1200</v>
      </c>
      <c r="R90" s="215">
        <f t="shared" si="6"/>
        <v>600</v>
      </c>
      <c r="S90" s="215">
        <f t="shared" si="7"/>
        <v>400</v>
      </c>
      <c r="T90" s="215">
        <f t="shared" si="8"/>
        <v>450</v>
      </c>
      <c r="U90" s="215">
        <f t="shared" si="9"/>
        <v>2115</v>
      </c>
    </row>
    <row r="91" spans="1:21" ht="15.5" x14ac:dyDescent="0.35">
      <c r="B91" s="214" t="s">
        <v>606</v>
      </c>
      <c r="C91" s="215">
        <v>2.84</v>
      </c>
      <c r="D91" s="215">
        <v>0</v>
      </c>
      <c r="E91" s="215">
        <v>0</v>
      </c>
      <c r="F91" s="215">
        <v>0</v>
      </c>
      <c r="G91" s="215">
        <v>0</v>
      </c>
      <c r="H91" s="215">
        <v>0</v>
      </c>
      <c r="I91" s="215">
        <v>75.23</v>
      </c>
      <c r="J91" s="215">
        <v>0</v>
      </c>
      <c r="K91" s="215">
        <v>0</v>
      </c>
      <c r="L91" s="215">
        <v>0</v>
      </c>
      <c r="M91" s="215">
        <v>0</v>
      </c>
      <c r="N91" s="215">
        <v>0</v>
      </c>
      <c r="O91" s="215">
        <v>78.069999999999993</v>
      </c>
      <c r="Q91" s="215">
        <f t="shared" si="5"/>
        <v>0</v>
      </c>
      <c r="R91" s="215">
        <f t="shared" si="6"/>
        <v>0</v>
      </c>
      <c r="S91" s="215">
        <f t="shared" si="7"/>
        <v>0</v>
      </c>
      <c r="T91" s="215">
        <f t="shared" si="8"/>
        <v>150.46</v>
      </c>
      <c r="U91" s="215">
        <f t="shared" si="9"/>
        <v>78.070000000000007</v>
      </c>
    </row>
    <row r="92" spans="1:21" ht="15.5" x14ac:dyDescent="0.35">
      <c r="A92" s="21">
        <v>9</v>
      </c>
      <c r="B92" s="212" t="s">
        <v>607</v>
      </c>
      <c r="C92" s="216">
        <v>15475.18</v>
      </c>
      <c r="D92" s="216">
        <v>2053.87</v>
      </c>
      <c r="E92" s="216">
        <v>3083.15</v>
      </c>
      <c r="F92" s="216">
        <v>1202.6500000000001</v>
      </c>
      <c r="G92" s="216">
        <v>6798.96</v>
      </c>
      <c r="H92" s="216">
        <v>7542.87</v>
      </c>
      <c r="I92" s="216">
        <v>1458.99</v>
      </c>
      <c r="J92" s="216">
        <v>9822.9500000000007</v>
      </c>
      <c r="K92" s="216">
        <v>3470.28</v>
      </c>
      <c r="L92" s="216">
        <v>1775.6</v>
      </c>
      <c r="M92" s="216">
        <v>2899.94</v>
      </c>
      <c r="N92" s="216">
        <v>1765.76</v>
      </c>
      <c r="O92" s="216">
        <v>57350.2</v>
      </c>
      <c r="Q92" s="216">
        <f t="shared" si="5"/>
        <v>21189.119999999999</v>
      </c>
      <c r="R92" s="216">
        <f t="shared" si="6"/>
        <v>27994.199999999997</v>
      </c>
      <c r="S92" s="216">
        <f t="shared" si="7"/>
        <v>25765.200000000001</v>
      </c>
      <c r="T92" s="216">
        <f t="shared" si="8"/>
        <v>42387.039999999994</v>
      </c>
      <c r="U92" s="216">
        <f t="shared" si="9"/>
        <v>57350.2</v>
      </c>
    </row>
    <row r="93" spans="1:21" ht="15.5" x14ac:dyDescent="0.35">
      <c r="B93" s="212" t="s">
        <v>608</v>
      </c>
      <c r="C93" s="213"/>
      <c r="D93" s="213"/>
      <c r="E93" s="213"/>
      <c r="F93" s="213"/>
      <c r="G93" s="213"/>
      <c r="H93" s="213"/>
      <c r="I93" s="213"/>
      <c r="J93" s="213"/>
      <c r="K93" s="213"/>
      <c r="L93" s="213"/>
      <c r="M93" s="213"/>
      <c r="N93" s="213"/>
      <c r="O93" s="213"/>
      <c r="Q93" s="213">
        <f t="shared" si="5"/>
        <v>0</v>
      </c>
      <c r="R93" s="213">
        <f t="shared" si="6"/>
        <v>0</v>
      </c>
      <c r="S93" s="213">
        <f t="shared" si="7"/>
        <v>0</v>
      </c>
      <c r="T93" s="213">
        <f t="shared" si="8"/>
        <v>0</v>
      </c>
      <c r="U93" s="213">
        <f t="shared" si="9"/>
        <v>0</v>
      </c>
    </row>
    <row r="94" spans="1:21" ht="15.5" x14ac:dyDescent="0.35">
      <c r="B94" s="214" t="s">
        <v>609</v>
      </c>
      <c r="C94" s="215">
        <v>0</v>
      </c>
      <c r="D94" s="215">
        <v>0</v>
      </c>
      <c r="E94" s="215">
        <v>0</v>
      </c>
      <c r="F94" s="215">
        <v>0</v>
      </c>
      <c r="G94" s="215">
        <v>0</v>
      </c>
      <c r="H94" s="215">
        <v>0</v>
      </c>
      <c r="I94" s="215">
        <v>0</v>
      </c>
      <c r="J94" s="215">
        <v>0</v>
      </c>
      <c r="K94" s="215">
        <v>0</v>
      </c>
      <c r="L94" s="215">
        <v>1715.42</v>
      </c>
      <c r="M94" s="215">
        <v>0</v>
      </c>
      <c r="N94" s="215">
        <v>514.16</v>
      </c>
      <c r="O94" s="215">
        <v>2229.58</v>
      </c>
      <c r="Q94" s="215">
        <f t="shared" si="5"/>
        <v>6169.92</v>
      </c>
      <c r="R94" s="215">
        <f t="shared" si="6"/>
        <v>3084.96</v>
      </c>
      <c r="S94" s="215">
        <f t="shared" si="7"/>
        <v>8918.32</v>
      </c>
      <c r="T94" s="215">
        <f t="shared" si="8"/>
        <v>4459.16</v>
      </c>
      <c r="U94" s="215">
        <f t="shared" si="9"/>
        <v>2229.58</v>
      </c>
    </row>
    <row r="95" spans="1:21" ht="15.5" x14ac:dyDescent="0.35">
      <c r="B95" s="214" t="s">
        <v>610</v>
      </c>
      <c r="C95" s="215">
        <v>1720.67</v>
      </c>
      <c r="D95" s="215">
        <v>4650</v>
      </c>
      <c r="E95" s="215">
        <v>1333.7</v>
      </c>
      <c r="F95" s="215">
        <v>1558.63</v>
      </c>
      <c r="G95" s="215">
        <v>0</v>
      </c>
      <c r="H95" s="215">
        <v>0</v>
      </c>
      <c r="I95" s="215">
        <v>0</v>
      </c>
      <c r="J95" s="215">
        <v>0</v>
      </c>
      <c r="K95" s="215">
        <v>670.77</v>
      </c>
      <c r="L95" s="215">
        <v>290</v>
      </c>
      <c r="M95" s="215">
        <v>0</v>
      </c>
      <c r="N95" s="215">
        <v>509.3</v>
      </c>
      <c r="O95" s="215">
        <v>10733.07</v>
      </c>
      <c r="Q95" s="215">
        <f t="shared" si="5"/>
        <v>6111.6</v>
      </c>
      <c r="R95" s="215">
        <f t="shared" si="6"/>
        <v>3055.8</v>
      </c>
      <c r="S95" s="215">
        <f t="shared" si="7"/>
        <v>3197.2</v>
      </c>
      <c r="T95" s="215">
        <f t="shared" si="8"/>
        <v>2940.14</v>
      </c>
      <c r="U95" s="215">
        <f t="shared" si="9"/>
        <v>10733.07</v>
      </c>
    </row>
    <row r="96" spans="1:21" ht="15.5" x14ac:dyDescent="0.35">
      <c r="B96" s="214" t="s">
        <v>611</v>
      </c>
      <c r="C96" s="215">
        <v>1160</v>
      </c>
      <c r="D96" s="215">
        <v>1261.33</v>
      </c>
      <c r="E96" s="215">
        <v>386.54</v>
      </c>
      <c r="F96" s="215">
        <v>985</v>
      </c>
      <c r="G96" s="215">
        <v>1870</v>
      </c>
      <c r="H96" s="215">
        <v>2420</v>
      </c>
      <c r="I96" s="215">
        <v>0</v>
      </c>
      <c r="J96" s="215">
        <v>0</v>
      </c>
      <c r="K96" s="215">
        <v>236.03</v>
      </c>
      <c r="L96" s="215">
        <v>1540.36</v>
      </c>
      <c r="M96" s="215">
        <v>2190.0100000000002</v>
      </c>
      <c r="N96" s="215">
        <v>235</v>
      </c>
      <c r="O96" s="215">
        <v>12284.27</v>
      </c>
      <c r="Q96" s="215">
        <f t="shared" si="5"/>
        <v>2820</v>
      </c>
      <c r="R96" s="215">
        <f t="shared" si="6"/>
        <v>14550.060000000001</v>
      </c>
      <c r="S96" s="215">
        <f t="shared" si="7"/>
        <v>15861.48</v>
      </c>
      <c r="T96" s="215">
        <f t="shared" si="8"/>
        <v>8402.7999999999993</v>
      </c>
      <c r="U96" s="215">
        <f t="shared" si="9"/>
        <v>12284.27</v>
      </c>
    </row>
    <row r="97" spans="1:21" ht="15.5" x14ac:dyDescent="0.35">
      <c r="B97" s="214" t="s">
        <v>612</v>
      </c>
      <c r="C97" s="215">
        <v>19.95</v>
      </c>
      <c r="D97" s="215">
        <v>0</v>
      </c>
      <c r="E97" s="215">
        <v>80.3</v>
      </c>
      <c r="F97" s="215">
        <v>0</v>
      </c>
      <c r="G97" s="215">
        <v>0</v>
      </c>
      <c r="H97" s="215">
        <v>-31.98</v>
      </c>
      <c r="I97" s="215">
        <v>0</v>
      </c>
      <c r="J97" s="215">
        <v>0</v>
      </c>
      <c r="K97" s="215">
        <v>0</v>
      </c>
      <c r="L97" s="215">
        <v>0</v>
      </c>
      <c r="M97" s="215">
        <v>0</v>
      </c>
      <c r="N97" s="215">
        <v>0</v>
      </c>
      <c r="O97" s="215">
        <v>68.27</v>
      </c>
      <c r="Q97" s="215">
        <f t="shared" si="5"/>
        <v>0</v>
      </c>
      <c r="R97" s="215">
        <f t="shared" si="6"/>
        <v>0</v>
      </c>
      <c r="S97" s="215">
        <f t="shared" si="7"/>
        <v>0</v>
      </c>
      <c r="T97" s="215">
        <f t="shared" si="8"/>
        <v>0</v>
      </c>
      <c r="U97" s="215">
        <f t="shared" si="9"/>
        <v>68.27</v>
      </c>
    </row>
    <row r="98" spans="1:21" ht="15.5" x14ac:dyDescent="0.35">
      <c r="B98" s="214" t="s">
        <v>613</v>
      </c>
      <c r="C98" s="215">
        <v>200</v>
      </c>
      <c r="D98" s="215">
        <v>0</v>
      </c>
      <c r="E98" s="215">
        <v>0</v>
      </c>
      <c r="F98" s="215">
        <v>0</v>
      </c>
      <c r="G98" s="215">
        <v>125</v>
      </c>
      <c r="H98" s="215">
        <v>980</v>
      </c>
      <c r="I98" s="215">
        <v>0</v>
      </c>
      <c r="J98" s="215">
        <v>0</v>
      </c>
      <c r="K98" s="215">
        <v>0</v>
      </c>
      <c r="L98" s="215">
        <v>0</v>
      </c>
      <c r="M98" s="215">
        <v>515</v>
      </c>
      <c r="N98" s="215">
        <v>0</v>
      </c>
      <c r="O98" s="215">
        <v>1820</v>
      </c>
      <c r="Q98" s="215">
        <f t="shared" si="5"/>
        <v>0</v>
      </c>
      <c r="R98" s="215">
        <f t="shared" si="6"/>
        <v>3090</v>
      </c>
      <c r="S98" s="215">
        <f t="shared" si="7"/>
        <v>2060</v>
      </c>
      <c r="T98" s="215">
        <f t="shared" si="8"/>
        <v>1030</v>
      </c>
      <c r="U98" s="215">
        <f t="shared" si="9"/>
        <v>1820</v>
      </c>
    </row>
    <row r="99" spans="1:21" ht="15.5" x14ac:dyDescent="0.35">
      <c r="A99" s="210"/>
      <c r="B99" s="214" t="s">
        <v>614</v>
      </c>
      <c r="C99" s="215">
        <v>0</v>
      </c>
      <c r="D99" s="215">
        <v>0</v>
      </c>
      <c r="E99" s="215">
        <v>0</v>
      </c>
      <c r="F99" s="215">
        <v>0</v>
      </c>
      <c r="G99" s="215">
        <v>0</v>
      </c>
      <c r="H99" s="215">
        <v>0</v>
      </c>
      <c r="I99" s="215">
        <v>0</v>
      </c>
      <c r="J99" s="215">
        <v>0</v>
      </c>
      <c r="K99" s="215">
        <v>152</v>
      </c>
      <c r="L99" s="215">
        <v>5140</v>
      </c>
      <c r="M99" s="215">
        <v>61.19</v>
      </c>
      <c r="N99" s="215">
        <v>0</v>
      </c>
      <c r="O99" s="215">
        <v>5353.19</v>
      </c>
      <c r="Q99" s="215">
        <f t="shared" si="5"/>
        <v>0</v>
      </c>
      <c r="R99" s="215">
        <f t="shared" si="6"/>
        <v>367.14</v>
      </c>
      <c r="S99" s="215">
        <f t="shared" si="7"/>
        <v>20804.759999999998</v>
      </c>
      <c r="T99" s="215">
        <f t="shared" si="8"/>
        <v>10706.38</v>
      </c>
      <c r="U99" s="215">
        <f t="shared" si="9"/>
        <v>5353.19</v>
      </c>
    </row>
    <row r="100" spans="1:21" ht="15.5" x14ac:dyDescent="0.35">
      <c r="B100" s="214" t="s">
        <v>615</v>
      </c>
      <c r="C100" s="215">
        <v>0</v>
      </c>
      <c r="D100" s="215">
        <v>0</v>
      </c>
      <c r="E100" s="215">
        <v>560</v>
      </c>
      <c r="F100" s="215">
        <v>4100</v>
      </c>
      <c r="G100" s="215">
        <v>0</v>
      </c>
      <c r="H100" s="215">
        <v>6260</v>
      </c>
      <c r="I100" s="215">
        <v>0</v>
      </c>
      <c r="J100" s="215">
        <v>0</v>
      </c>
      <c r="K100" s="215">
        <v>2245</v>
      </c>
      <c r="L100" s="215">
        <v>0</v>
      </c>
      <c r="M100" s="215">
        <v>0</v>
      </c>
      <c r="N100" s="215">
        <v>0</v>
      </c>
      <c r="O100" s="215">
        <v>13165</v>
      </c>
      <c r="Q100" s="215">
        <f t="shared" si="5"/>
        <v>0</v>
      </c>
      <c r="R100" s="215">
        <f t="shared" si="6"/>
        <v>0</v>
      </c>
      <c r="S100" s="215">
        <f t="shared" si="7"/>
        <v>0</v>
      </c>
      <c r="T100" s="215">
        <f t="shared" si="8"/>
        <v>4490</v>
      </c>
      <c r="U100" s="215">
        <f t="shared" si="9"/>
        <v>13165</v>
      </c>
    </row>
    <row r="101" spans="1:21" ht="15.5" x14ac:dyDescent="0.35">
      <c r="A101" s="21">
        <v>13</v>
      </c>
      <c r="B101" s="212" t="s">
        <v>616</v>
      </c>
      <c r="C101" s="216">
        <v>3100.62</v>
      </c>
      <c r="D101" s="216">
        <v>5911.33</v>
      </c>
      <c r="E101" s="216">
        <v>2360.54</v>
      </c>
      <c r="F101" s="216">
        <v>6643.63</v>
      </c>
      <c r="G101" s="216">
        <v>1995</v>
      </c>
      <c r="H101" s="216">
        <v>9628.02</v>
      </c>
      <c r="I101" s="216">
        <v>0</v>
      </c>
      <c r="J101" s="216">
        <v>0</v>
      </c>
      <c r="K101" s="216">
        <v>3303.8</v>
      </c>
      <c r="L101" s="216">
        <v>8685.7800000000007</v>
      </c>
      <c r="M101" s="216">
        <v>2766.2</v>
      </c>
      <c r="N101" s="216">
        <v>1258.46</v>
      </c>
      <c r="O101" s="216">
        <v>45653.38</v>
      </c>
      <c r="Q101" s="216">
        <f t="shared" si="5"/>
        <v>15101.52</v>
      </c>
      <c r="R101" s="216">
        <f t="shared" si="6"/>
        <v>24147.96</v>
      </c>
      <c r="S101" s="216">
        <f t="shared" si="7"/>
        <v>50841.759999999995</v>
      </c>
      <c r="T101" s="216">
        <f t="shared" si="8"/>
        <v>32028.480000000003</v>
      </c>
      <c r="U101" s="216">
        <f t="shared" si="9"/>
        <v>45653.38</v>
      </c>
    </row>
    <row r="102" spans="1:21" ht="15.5" x14ac:dyDescent="0.35">
      <c r="B102" s="212" t="s">
        <v>617</v>
      </c>
      <c r="C102" s="213"/>
      <c r="D102" s="213"/>
      <c r="E102" s="213"/>
      <c r="F102" s="213"/>
      <c r="G102" s="213"/>
      <c r="H102" s="213"/>
      <c r="I102" s="213"/>
      <c r="J102" s="213"/>
      <c r="K102" s="213"/>
      <c r="L102" s="213"/>
      <c r="M102" s="213"/>
      <c r="N102" s="213"/>
      <c r="O102" s="213"/>
      <c r="Q102" s="213">
        <f t="shared" si="5"/>
        <v>0</v>
      </c>
      <c r="R102" s="213">
        <f t="shared" si="6"/>
        <v>0</v>
      </c>
      <c r="S102" s="213">
        <f t="shared" si="7"/>
        <v>0</v>
      </c>
      <c r="T102" s="213">
        <f t="shared" si="8"/>
        <v>0</v>
      </c>
      <c r="U102" s="213">
        <f t="shared" si="9"/>
        <v>0</v>
      </c>
    </row>
    <row r="103" spans="1:21" ht="15.5" x14ac:dyDescent="0.35">
      <c r="B103" s="214" t="s">
        <v>618</v>
      </c>
      <c r="C103" s="215">
        <v>645</v>
      </c>
      <c r="D103" s="215">
        <v>645</v>
      </c>
      <c r="E103" s="215">
        <v>667.17</v>
      </c>
      <c r="F103" s="215">
        <v>682.98</v>
      </c>
      <c r="G103" s="215">
        <v>1175</v>
      </c>
      <c r="H103" s="215">
        <v>1820</v>
      </c>
      <c r="I103" s="215">
        <v>0</v>
      </c>
      <c r="J103" s="215">
        <v>0</v>
      </c>
      <c r="K103" s="215">
        <v>0</v>
      </c>
      <c r="L103" s="215">
        <v>0</v>
      </c>
      <c r="M103" s="215">
        <v>0</v>
      </c>
      <c r="N103" s="215">
        <v>0</v>
      </c>
      <c r="O103" s="215">
        <v>5635.15</v>
      </c>
      <c r="Q103" s="215">
        <f t="shared" si="5"/>
        <v>0</v>
      </c>
      <c r="R103" s="215">
        <f t="shared" si="6"/>
        <v>0</v>
      </c>
      <c r="S103" s="215">
        <f t="shared" si="7"/>
        <v>0</v>
      </c>
      <c r="T103" s="215">
        <f t="shared" si="8"/>
        <v>0</v>
      </c>
      <c r="U103" s="215">
        <f t="shared" si="9"/>
        <v>5635.15</v>
      </c>
    </row>
    <row r="104" spans="1:21" ht="15.5" x14ac:dyDescent="0.35">
      <c r="B104" s="214" t="s">
        <v>619</v>
      </c>
      <c r="C104" s="215">
        <v>0</v>
      </c>
      <c r="D104" s="215">
        <v>0</v>
      </c>
      <c r="E104" s="215">
        <v>0</v>
      </c>
      <c r="F104" s="215">
        <v>0</v>
      </c>
      <c r="G104" s="215">
        <v>0</v>
      </c>
      <c r="H104" s="215">
        <v>0</v>
      </c>
      <c r="I104" s="215">
        <v>1950</v>
      </c>
      <c r="J104" s="215">
        <v>0</v>
      </c>
      <c r="K104" s="215">
        <v>0</v>
      </c>
      <c r="L104" s="215">
        <v>0</v>
      </c>
      <c r="M104" s="215">
        <v>0</v>
      </c>
      <c r="N104" s="215">
        <v>0</v>
      </c>
      <c r="O104" s="215">
        <v>1950</v>
      </c>
      <c r="Q104" s="215">
        <f t="shared" si="5"/>
        <v>0</v>
      </c>
      <c r="R104" s="215">
        <f t="shared" si="6"/>
        <v>0</v>
      </c>
      <c r="S104" s="215">
        <f t="shared" si="7"/>
        <v>0</v>
      </c>
      <c r="T104" s="215">
        <f t="shared" si="8"/>
        <v>3900</v>
      </c>
      <c r="U104" s="215">
        <f t="shared" si="9"/>
        <v>1950</v>
      </c>
    </row>
    <row r="105" spans="1:21" ht="15.5" x14ac:dyDescent="0.35">
      <c r="B105" s="214" t="s">
        <v>620</v>
      </c>
      <c r="C105" s="215">
        <v>0</v>
      </c>
      <c r="D105" s="215">
        <v>0</v>
      </c>
      <c r="E105" s="215">
        <v>0</v>
      </c>
      <c r="F105" s="215">
        <v>0</v>
      </c>
      <c r="G105" s="215">
        <v>0</v>
      </c>
      <c r="H105" s="215">
        <v>0</v>
      </c>
      <c r="I105" s="215">
        <v>0</v>
      </c>
      <c r="J105" s="215">
        <v>0</v>
      </c>
      <c r="K105" s="215">
        <v>600</v>
      </c>
      <c r="L105" s="215">
        <v>750</v>
      </c>
      <c r="M105" s="215">
        <v>0</v>
      </c>
      <c r="N105" s="215">
        <v>250</v>
      </c>
      <c r="O105" s="215">
        <v>1600</v>
      </c>
      <c r="Q105" s="215">
        <f t="shared" si="5"/>
        <v>3000</v>
      </c>
      <c r="R105" s="215">
        <f t="shared" si="6"/>
        <v>1500</v>
      </c>
      <c r="S105" s="215">
        <f t="shared" si="7"/>
        <v>4000</v>
      </c>
      <c r="T105" s="215">
        <f t="shared" si="8"/>
        <v>3200</v>
      </c>
      <c r="U105" s="215">
        <f t="shared" si="9"/>
        <v>1600</v>
      </c>
    </row>
    <row r="106" spans="1:21" ht="15.5" x14ac:dyDescent="0.35">
      <c r="B106" s="214" t="s">
        <v>621</v>
      </c>
      <c r="C106" s="215">
        <v>0</v>
      </c>
      <c r="D106" s="215">
        <v>0</v>
      </c>
      <c r="E106" s="215">
        <v>0</v>
      </c>
      <c r="F106" s="215">
        <v>0</v>
      </c>
      <c r="G106" s="215">
        <v>0</v>
      </c>
      <c r="H106" s="215">
        <v>0</v>
      </c>
      <c r="I106" s="215">
        <v>0</v>
      </c>
      <c r="J106" s="215">
        <v>429.38</v>
      </c>
      <c r="K106" s="215">
        <v>0</v>
      </c>
      <c r="L106" s="215">
        <v>-79.03</v>
      </c>
      <c r="M106" s="215">
        <v>69</v>
      </c>
      <c r="N106" s="215">
        <v>0</v>
      </c>
      <c r="O106" s="215">
        <v>419.35</v>
      </c>
      <c r="Q106" s="215">
        <f t="shared" si="5"/>
        <v>0</v>
      </c>
      <c r="R106" s="215">
        <f t="shared" si="6"/>
        <v>414</v>
      </c>
      <c r="S106" s="215">
        <f t="shared" si="7"/>
        <v>-40.120000000000005</v>
      </c>
      <c r="T106" s="215">
        <f t="shared" si="8"/>
        <v>838.7</v>
      </c>
      <c r="U106" s="215">
        <f t="shared" si="9"/>
        <v>419.35</v>
      </c>
    </row>
    <row r="107" spans="1:21" ht="15.5" x14ac:dyDescent="0.35">
      <c r="B107" s="214" t="s">
        <v>622</v>
      </c>
      <c r="C107" s="215">
        <v>0</v>
      </c>
      <c r="D107" s="215">
        <v>0</v>
      </c>
      <c r="E107" s="215">
        <v>0</v>
      </c>
      <c r="F107" s="215">
        <v>0</v>
      </c>
      <c r="G107" s="215">
        <v>0</v>
      </c>
      <c r="H107" s="215">
        <v>0</v>
      </c>
      <c r="I107" s="215">
        <v>0</v>
      </c>
      <c r="J107" s="215">
        <v>0</v>
      </c>
      <c r="K107" s="215">
        <v>373.23</v>
      </c>
      <c r="L107" s="215">
        <v>0</v>
      </c>
      <c r="M107" s="215">
        <v>0</v>
      </c>
      <c r="N107" s="215">
        <v>0</v>
      </c>
      <c r="O107" s="215">
        <v>373.23</v>
      </c>
      <c r="Q107" s="215">
        <f t="shared" si="5"/>
        <v>0</v>
      </c>
      <c r="R107" s="215">
        <f t="shared" si="6"/>
        <v>0</v>
      </c>
      <c r="S107" s="215">
        <f t="shared" si="7"/>
        <v>0</v>
      </c>
      <c r="T107" s="215">
        <f t="shared" si="8"/>
        <v>746.46</v>
      </c>
      <c r="U107" s="215">
        <f t="shared" si="9"/>
        <v>373.23</v>
      </c>
    </row>
    <row r="108" spans="1:21" ht="15.5" x14ac:dyDescent="0.35">
      <c r="B108" s="214" t="s">
        <v>623</v>
      </c>
      <c r="C108" s="215">
        <v>0</v>
      </c>
      <c r="D108" s="215">
        <v>0</v>
      </c>
      <c r="E108" s="215">
        <v>0</v>
      </c>
      <c r="F108" s="215">
        <v>0</v>
      </c>
      <c r="G108" s="215">
        <v>0</v>
      </c>
      <c r="H108" s="215">
        <v>0</v>
      </c>
      <c r="I108" s="215">
        <v>0</v>
      </c>
      <c r="J108" s="215">
        <v>0</v>
      </c>
      <c r="K108" s="215">
        <v>0</v>
      </c>
      <c r="L108" s="215">
        <v>163.95</v>
      </c>
      <c r="M108" s="215">
        <v>0</v>
      </c>
      <c r="N108" s="215">
        <v>0</v>
      </c>
      <c r="O108" s="215">
        <v>163.95</v>
      </c>
      <c r="Q108" s="215">
        <f t="shared" si="5"/>
        <v>0</v>
      </c>
      <c r="R108" s="215">
        <f t="shared" si="6"/>
        <v>0</v>
      </c>
      <c r="S108" s="215">
        <f t="shared" si="7"/>
        <v>655.8</v>
      </c>
      <c r="T108" s="215">
        <f t="shared" si="8"/>
        <v>327.9</v>
      </c>
      <c r="U108" s="215">
        <f t="shared" si="9"/>
        <v>163.95</v>
      </c>
    </row>
    <row r="109" spans="1:21" ht="15.5" x14ac:dyDescent="0.35">
      <c r="A109" s="210"/>
      <c r="B109" s="214" t="s">
        <v>624</v>
      </c>
      <c r="C109" s="215">
        <v>0</v>
      </c>
      <c r="D109" s="215">
        <v>0</v>
      </c>
      <c r="E109" s="215">
        <v>0</v>
      </c>
      <c r="F109" s="215">
        <v>0</v>
      </c>
      <c r="G109" s="215">
        <v>0</v>
      </c>
      <c r="H109" s="215">
        <v>0</v>
      </c>
      <c r="I109" s="215">
        <v>2940.39</v>
      </c>
      <c r="J109" s="215">
        <v>2532</v>
      </c>
      <c r="K109" s="215">
        <v>2832</v>
      </c>
      <c r="L109" s="215">
        <v>2832</v>
      </c>
      <c r="M109" s="215">
        <v>2832</v>
      </c>
      <c r="N109" s="215">
        <v>2832</v>
      </c>
      <c r="O109" s="215">
        <v>16800.39</v>
      </c>
      <c r="Q109" s="215">
        <f t="shared" si="5"/>
        <v>33984</v>
      </c>
      <c r="R109" s="215">
        <f t="shared" si="6"/>
        <v>33984</v>
      </c>
      <c r="S109" s="215">
        <f t="shared" si="7"/>
        <v>33984</v>
      </c>
      <c r="T109" s="215">
        <f t="shared" si="8"/>
        <v>33600.78</v>
      </c>
      <c r="U109" s="215">
        <f t="shared" si="9"/>
        <v>16800.39</v>
      </c>
    </row>
    <row r="110" spans="1:21" ht="15.5" x14ac:dyDescent="0.35">
      <c r="B110" s="214" t="s">
        <v>625</v>
      </c>
      <c r="C110" s="215">
        <v>0</v>
      </c>
      <c r="D110" s="215">
        <v>0</v>
      </c>
      <c r="E110" s="215">
        <v>0</v>
      </c>
      <c r="F110" s="215">
        <v>0</v>
      </c>
      <c r="G110" s="215">
        <v>0</v>
      </c>
      <c r="H110" s="215">
        <v>0</v>
      </c>
      <c r="I110" s="215">
        <v>800.65</v>
      </c>
      <c r="J110" s="215">
        <v>730</v>
      </c>
      <c r="K110" s="215">
        <v>730</v>
      </c>
      <c r="L110" s="215">
        <v>730</v>
      </c>
      <c r="M110" s="215">
        <v>730</v>
      </c>
      <c r="N110" s="215">
        <v>730</v>
      </c>
      <c r="O110" s="215">
        <v>4450.6499999999996</v>
      </c>
      <c r="Q110" s="215">
        <f t="shared" si="5"/>
        <v>8760</v>
      </c>
      <c r="R110" s="215">
        <f t="shared" si="6"/>
        <v>8760</v>
      </c>
      <c r="S110" s="215">
        <f t="shared" si="7"/>
        <v>8760</v>
      </c>
      <c r="T110" s="215">
        <f t="shared" si="8"/>
        <v>8901.2999999999993</v>
      </c>
      <c r="U110" s="215">
        <f t="shared" si="9"/>
        <v>4450.6499999999996</v>
      </c>
    </row>
    <row r="111" spans="1:21" ht="15.5" x14ac:dyDescent="0.35">
      <c r="A111" s="21">
        <v>10</v>
      </c>
      <c r="B111" s="212" t="s">
        <v>626</v>
      </c>
      <c r="C111" s="216">
        <v>645</v>
      </c>
      <c r="D111" s="216">
        <v>645</v>
      </c>
      <c r="E111" s="216">
        <v>667.17</v>
      </c>
      <c r="F111" s="216">
        <v>682.98</v>
      </c>
      <c r="G111" s="216">
        <v>1175</v>
      </c>
      <c r="H111" s="216">
        <v>1820</v>
      </c>
      <c r="I111" s="216">
        <v>5691.04</v>
      </c>
      <c r="J111" s="216">
        <v>3691.38</v>
      </c>
      <c r="K111" s="216">
        <v>4535.2299999999996</v>
      </c>
      <c r="L111" s="216">
        <v>4396.92</v>
      </c>
      <c r="M111" s="216">
        <v>3631</v>
      </c>
      <c r="N111" s="216">
        <v>3812</v>
      </c>
      <c r="O111" s="216">
        <v>31392.720000000001</v>
      </c>
      <c r="Q111" s="216">
        <f t="shared" si="5"/>
        <v>45744</v>
      </c>
      <c r="R111" s="216">
        <f t="shared" si="6"/>
        <v>44658</v>
      </c>
      <c r="S111" s="216">
        <f t="shared" si="7"/>
        <v>47359.68</v>
      </c>
      <c r="T111" s="216">
        <f t="shared" si="8"/>
        <v>51515.14</v>
      </c>
      <c r="U111" s="216">
        <f t="shared" si="9"/>
        <v>31392.720000000001</v>
      </c>
    </row>
    <row r="112" spans="1:21" ht="15.5" x14ac:dyDescent="0.35">
      <c r="B112" s="212" t="s">
        <v>627</v>
      </c>
      <c r="C112" s="213"/>
      <c r="D112" s="213"/>
      <c r="E112" s="213"/>
      <c r="F112" s="213"/>
      <c r="G112" s="213"/>
      <c r="H112" s="213"/>
      <c r="I112" s="213"/>
      <c r="J112" s="213"/>
      <c r="K112" s="213"/>
      <c r="L112" s="213"/>
      <c r="M112" s="213"/>
      <c r="N112" s="213"/>
      <c r="O112" s="213"/>
      <c r="Q112" s="213">
        <f t="shared" si="5"/>
        <v>0</v>
      </c>
      <c r="R112" s="213">
        <f t="shared" si="6"/>
        <v>0</v>
      </c>
      <c r="S112" s="213">
        <f t="shared" si="7"/>
        <v>0</v>
      </c>
      <c r="T112" s="213">
        <f t="shared" si="8"/>
        <v>0</v>
      </c>
      <c r="U112" s="213">
        <f t="shared" si="9"/>
        <v>0</v>
      </c>
    </row>
    <row r="113" spans="1:21" ht="15.5" x14ac:dyDescent="0.35">
      <c r="B113" s="214" t="s">
        <v>628</v>
      </c>
      <c r="C113" s="215">
        <v>776.97</v>
      </c>
      <c r="D113" s="215">
        <v>704.69</v>
      </c>
      <c r="E113" s="215">
        <v>234.76</v>
      </c>
      <c r="F113" s="215">
        <v>960</v>
      </c>
      <c r="G113" s="215">
        <v>0</v>
      </c>
      <c r="H113" s="215">
        <v>1475.28</v>
      </c>
      <c r="I113" s="215">
        <v>1205.79</v>
      </c>
      <c r="J113" s="215">
        <v>502.98</v>
      </c>
      <c r="K113" s="215">
        <v>2330</v>
      </c>
      <c r="L113" s="215">
        <v>818.79</v>
      </c>
      <c r="M113" s="215">
        <v>2001.93</v>
      </c>
      <c r="N113" s="215">
        <v>45.12</v>
      </c>
      <c r="O113" s="215">
        <v>11056.31</v>
      </c>
      <c r="Q113" s="215">
        <f t="shared" si="5"/>
        <v>541.43999999999994</v>
      </c>
      <c r="R113" s="215">
        <f t="shared" si="6"/>
        <v>12282.3</v>
      </c>
      <c r="S113" s="215">
        <f t="shared" si="7"/>
        <v>11463.36</v>
      </c>
      <c r="T113" s="215">
        <f t="shared" si="8"/>
        <v>13809.22</v>
      </c>
      <c r="U113" s="215">
        <f t="shared" si="9"/>
        <v>11056.31</v>
      </c>
    </row>
    <row r="114" spans="1:21" ht="15.5" x14ac:dyDescent="0.35">
      <c r="B114" s="214" t="s">
        <v>629</v>
      </c>
      <c r="C114" s="215">
        <v>3414.03</v>
      </c>
      <c r="D114" s="215">
        <v>532.35</v>
      </c>
      <c r="E114" s="215">
        <v>511.46</v>
      </c>
      <c r="F114" s="215">
        <v>2075.9899999999998</v>
      </c>
      <c r="G114" s="215">
        <v>0</v>
      </c>
      <c r="H114" s="215">
        <v>861.56</v>
      </c>
      <c r="I114" s="215">
        <v>2205.25</v>
      </c>
      <c r="J114" s="215">
        <v>0</v>
      </c>
      <c r="K114" s="215">
        <v>1872.8</v>
      </c>
      <c r="L114" s="215">
        <v>2179.4699999999998</v>
      </c>
      <c r="M114" s="215">
        <v>601.88</v>
      </c>
      <c r="N114" s="215">
        <v>3883.34</v>
      </c>
      <c r="O114" s="215">
        <v>18138.13</v>
      </c>
      <c r="Q114" s="215">
        <f t="shared" si="5"/>
        <v>46600.08</v>
      </c>
      <c r="R114" s="215">
        <f t="shared" si="6"/>
        <v>26911.32</v>
      </c>
      <c r="S114" s="215">
        <f t="shared" si="7"/>
        <v>26658.760000000002</v>
      </c>
      <c r="T114" s="215">
        <f t="shared" si="8"/>
        <v>21485.480000000003</v>
      </c>
      <c r="U114" s="215">
        <f t="shared" si="9"/>
        <v>18138.129999999997</v>
      </c>
    </row>
    <row r="115" spans="1:21" ht="15.5" x14ac:dyDescent="0.35">
      <c r="B115" s="214" t="s">
        <v>630</v>
      </c>
      <c r="C115" s="215">
        <v>610</v>
      </c>
      <c r="D115" s="215">
        <v>775</v>
      </c>
      <c r="E115" s="215">
        <v>205.3</v>
      </c>
      <c r="F115" s="215">
        <v>0</v>
      </c>
      <c r="G115" s="215">
        <v>650</v>
      </c>
      <c r="H115" s="215">
        <v>0</v>
      </c>
      <c r="I115" s="215">
        <v>309.3</v>
      </c>
      <c r="J115" s="215">
        <v>0</v>
      </c>
      <c r="K115" s="215">
        <v>0</v>
      </c>
      <c r="L115" s="215">
        <v>0</v>
      </c>
      <c r="M115" s="215">
        <v>0</v>
      </c>
      <c r="N115" s="215">
        <v>0</v>
      </c>
      <c r="O115" s="215">
        <v>2549.6</v>
      </c>
      <c r="Q115" s="215">
        <f t="shared" si="5"/>
        <v>0</v>
      </c>
      <c r="R115" s="215">
        <f t="shared" si="6"/>
        <v>0</v>
      </c>
      <c r="S115" s="215">
        <f t="shared" si="7"/>
        <v>0</v>
      </c>
      <c r="T115" s="215">
        <f t="shared" si="8"/>
        <v>618.6</v>
      </c>
      <c r="U115" s="215">
        <f t="shared" si="9"/>
        <v>2549.6000000000004</v>
      </c>
    </row>
    <row r="116" spans="1:21" ht="15.5" x14ac:dyDescent="0.35">
      <c r="B116" s="214" t="s">
        <v>631</v>
      </c>
      <c r="C116" s="215">
        <v>1500</v>
      </c>
      <c r="D116" s="215">
        <v>1500</v>
      </c>
      <c r="E116" s="215">
        <v>750</v>
      </c>
      <c r="F116" s="215">
        <v>0</v>
      </c>
      <c r="G116" s="215">
        <v>0</v>
      </c>
      <c r="H116" s="215">
        <v>800</v>
      </c>
      <c r="I116" s="215">
        <v>0</v>
      </c>
      <c r="J116" s="215">
        <v>0</v>
      </c>
      <c r="K116" s="215">
        <v>645</v>
      </c>
      <c r="L116" s="215">
        <v>0</v>
      </c>
      <c r="M116" s="215">
        <v>396.41</v>
      </c>
      <c r="N116" s="215">
        <v>0</v>
      </c>
      <c r="O116" s="215">
        <v>5591.41</v>
      </c>
      <c r="Q116" s="215">
        <f t="shared" si="5"/>
        <v>0</v>
      </c>
      <c r="R116" s="215">
        <f t="shared" si="6"/>
        <v>2378.46</v>
      </c>
      <c r="S116" s="215">
        <f t="shared" si="7"/>
        <v>1585.64</v>
      </c>
      <c r="T116" s="215">
        <f t="shared" si="8"/>
        <v>2082.8200000000002</v>
      </c>
      <c r="U116" s="215">
        <f t="shared" si="9"/>
        <v>5591.41</v>
      </c>
    </row>
    <row r="117" spans="1:21" ht="15.5" x14ac:dyDescent="0.35">
      <c r="B117" s="214" t="s">
        <v>632</v>
      </c>
      <c r="C117" s="215">
        <v>1009.81</v>
      </c>
      <c r="D117" s="215">
        <v>510.19</v>
      </c>
      <c r="E117" s="215">
        <v>1369.28</v>
      </c>
      <c r="F117" s="215">
        <v>1819.9</v>
      </c>
      <c r="G117" s="215">
        <v>674.13</v>
      </c>
      <c r="H117" s="215">
        <v>4162.29</v>
      </c>
      <c r="I117" s="215">
        <v>857</v>
      </c>
      <c r="J117" s="215">
        <v>0</v>
      </c>
      <c r="K117" s="215">
        <v>0</v>
      </c>
      <c r="L117" s="215">
        <v>0</v>
      </c>
      <c r="M117" s="215">
        <v>0</v>
      </c>
      <c r="N117" s="215">
        <v>209.99</v>
      </c>
      <c r="O117" s="215">
        <v>10612.59</v>
      </c>
      <c r="Q117" s="215">
        <f t="shared" si="5"/>
        <v>2519.88</v>
      </c>
      <c r="R117" s="215">
        <f t="shared" si="6"/>
        <v>1259.94</v>
      </c>
      <c r="S117" s="215">
        <f t="shared" si="7"/>
        <v>839.96</v>
      </c>
      <c r="T117" s="215">
        <f t="shared" si="8"/>
        <v>2133.98</v>
      </c>
      <c r="U117" s="215">
        <f t="shared" si="9"/>
        <v>10612.59</v>
      </c>
    </row>
    <row r="118" spans="1:21" ht="15.5" x14ac:dyDescent="0.35">
      <c r="B118" s="214" t="s">
        <v>634</v>
      </c>
      <c r="C118" s="215">
        <v>0</v>
      </c>
      <c r="D118" s="215">
        <v>0</v>
      </c>
      <c r="E118" s="215">
        <v>0</v>
      </c>
      <c r="F118" s="215">
        <v>0</v>
      </c>
      <c r="G118" s="215">
        <v>1405</v>
      </c>
      <c r="H118" s="215">
        <v>954.6</v>
      </c>
      <c r="I118" s="215">
        <v>0</v>
      </c>
      <c r="J118" s="215">
        <v>0</v>
      </c>
      <c r="K118" s="215">
        <v>0</v>
      </c>
      <c r="L118" s="215">
        <v>633.25</v>
      </c>
      <c r="M118" s="215">
        <v>0</v>
      </c>
      <c r="N118" s="215">
        <v>1225</v>
      </c>
      <c r="O118" s="215">
        <v>4217.8500000000004</v>
      </c>
      <c r="Q118" s="215">
        <f t="shared" si="5"/>
        <v>14700</v>
      </c>
      <c r="R118" s="215">
        <f t="shared" si="6"/>
        <v>7350</v>
      </c>
      <c r="S118" s="215">
        <f t="shared" si="7"/>
        <v>7433</v>
      </c>
      <c r="T118" s="215">
        <f t="shared" si="8"/>
        <v>3716.5</v>
      </c>
      <c r="U118" s="215">
        <f t="shared" si="9"/>
        <v>4217.8500000000004</v>
      </c>
    </row>
    <row r="119" spans="1:21" ht="15.5" x14ac:dyDescent="0.35">
      <c r="B119" s="214" t="s">
        <v>635</v>
      </c>
      <c r="C119" s="215">
        <v>266.61</v>
      </c>
      <c r="D119" s="215">
        <v>0</v>
      </c>
      <c r="E119" s="215">
        <v>125</v>
      </c>
      <c r="F119" s="215">
        <v>-105</v>
      </c>
      <c r="G119" s="215">
        <v>0</v>
      </c>
      <c r="H119" s="215">
        <v>0</v>
      </c>
      <c r="I119" s="215">
        <v>1123.32</v>
      </c>
      <c r="J119" s="215">
        <v>161.49</v>
      </c>
      <c r="K119" s="215">
        <v>397.86</v>
      </c>
      <c r="L119" s="215">
        <v>953.46</v>
      </c>
      <c r="M119" s="215">
        <v>1018.7</v>
      </c>
      <c r="N119" s="215">
        <v>1322.35</v>
      </c>
      <c r="O119" s="215">
        <v>5263.79</v>
      </c>
      <c r="Q119" s="215">
        <f t="shared" si="5"/>
        <v>15868.199999999999</v>
      </c>
      <c r="R119" s="215">
        <f t="shared" si="6"/>
        <v>14046.300000000001</v>
      </c>
      <c r="S119" s="215">
        <f t="shared" si="7"/>
        <v>13178.04</v>
      </c>
      <c r="T119" s="215">
        <f t="shared" si="8"/>
        <v>9954.36</v>
      </c>
      <c r="U119" s="215">
        <f t="shared" si="9"/>
        <v>5263.7899999999991</v>
      </c>
    </row>
    <row r="120" spans="1:21" ht="15.5" x14ac:dyDescent="0.35">
      <c r="B120" s="214" t="s">
        <v>636</v>
      </c>
      <c r="C120" s="215">
        <v>0</v>
      </c>
      <c r="D120" s="215">
        <v>0</v>
      </c>
      <c r="E120" s="215">
        <v>-118</v>
      </c>
      <c r="F120" s="215">
        <v>0</v>
      </c>
      <c r="G120" s="215">
        <v>0</v>
      </c>
      <c r="H120" s="215">
        <v>128.99</v>
      </c>
      <c r="I120" s="215">
        <v>0</v>
      </c>
      <c r="J120" s="215">
        <v>0</v>
      </c>
      <c r="K120" s="215">
        <v>0</v>
      </c>
      <c r="L120" s="215">
        <v>0</v>
      </c>
      <c r="M120" s="215">
        <v>107.48</v>
      </c>
      <c r="N120" s="215">
        <v>0</v>
      </c>
      <c r="O120" s="215">
        <v>118.47</v>
      </c>
      <c r="Q120" s="215">
        <f t="shared" si="5"/>
        <v>0</v>
      </c>
      <c r="R120" s="215">
        <f t="shared" si="6"/>
        <v>644.88</v>
      </c>
      <c r="S120" s="215">
        <f t="shared" si="7"/>
        <v>429.92</v>
      </c>
      <c r="T120" s="215">
        <f t="shared" si="8"/>
        <v>214.96</v>
      </c>
      <c r="U120" s="215">
        <f t="shared" si="9"/>
        <v>118.47000000000001</v>
      </c>
    </row>
    <row r="121" spans="1:21" ht="15.5" x14ac:dyDescent="0.35">
      <c r="B121" s="214" t="s">
        <v>637</v>
      </c>
      <c r="C121" s="215">
        <v>0</v>
      </c>
      <c r="D121" s="215">
        <v>75</v>
      </c>
      <c r="E121" s="215">
        <v>0</v>
      </c>
      <c r="F121" s="215">
        <v>50</v>
      </c>
      <c r="G121" s="215">
        <v>50</v>
      </c>
      <c r="H121" s="215">
        <v>25</v>
      </c>
      <c r="I121" s="215">
        <v>0</v>
      </c>
      <c r="J121" s="215">
        <v>0</v>
      </c>
      <c r="K121" s="215">
        <v>0</v>
      </c>
      <c r="L121" s="215">
        <v>0</v>
      </c>
      <c r="M121" s="215">
        <v>0</v>
      </c>
      <c r="N121" s="215">
        <v>0</v>
      </c>
      <c r="O121" s="215">
        <v>200</v>
      </c>
      <c r="Q121" s="215">
        <f t="shared" si="5"/>
        <v>0</v>
      </c>
      <c r="R121" s="215">
        <f t="shared" si="6"/>
        <v>0</v>
      </c>
      <c r="S121" s="215">
        <f t="shared" si="7"/>
        <v>0</v>
      </c>
      <c r="T121" s="215">
        <f t="shared" si="8"/>
        <v>0</v>
      </c>
      <c r="U121" s="215">
        <f t="shared" si="9"/>
        <v>200</v>
      </c>
    </row>
    <row r="122" spans="1:21" ht="15.5" x14ac:dyDescent="0.35">
      <c r="B122" s="214" t="s">
        <v>638</v>
      </c>
      <c r="C122" s="215">
        <v>0</v>
      </c>
      <c r="D122" s="215">
        <v>0</v>
      </c>
      <c r="E122" s="215">
        <v>0</v>
      </c>
      <c r="F122" s="215">
        <v>0</v>
      </c>
      <c r="G122" s="215">
        <v>315</v>
      </c>
      <c r="H122" s="215">
        <v>370</v>
      </c>
      <c r="I122" s="215">
        <v>0</v>
      </c>
      <c r="J122" s="215">
        <v>0</v>
      </c>
      <c r="K122" s="215">
        <v>0</v>
      </c>
      <c r="L122" s="215">
        <v>0</v>
      </c>
      <c r="M122" s="215">
        <v>0</v>
      </c>
      <c r="N122" s="215">
        <v>0</v>
      </c>
      <c r="O122" s="215">
        <v>685</v>
      </c>
      <c r="Q122" s="215">
        <f t="shared" si="5"/>
        <v>0</v>
      </c>
      <c r="R122" s="215">
        <f t="shared" si="6"/>
        <v>0</v>
      </c>
      <c r="S122" s="215">
        <f t="shared" si="7"/>
        <v>0</v>
      </c>
      <c r="T122" s="215">
        <f t="shared" si="8"/>
        <v>0</v>
      </c>
      <c r="U122" s="215">
        <f t="shared" si="9"/>
        <v>685</v>
      </c>
    </row>
    <row r="123" spans="1:21" ht="15.5" x14ac:dyDescent="0.35">
      <c r="B123" s="214" t="s">
        <v>639</v>
      </c>
      <c r="C123" s="215">
        <v>0</v>
      </c>
      <c r="D123" s="215">
        <v>445</v>
      </c>
      <c r="E123" s="215">
        <v>0</v>
      </c>
      <c r="F123" s="215">
        <v>470</v>
      </c>
      <c r="G123" s="215">
        <v>1515</v>
      </c>
      <c r="H123" s="215">
        <v>504.68</v>
      </c>
      <c r="I123" s="215">
        <v>0</v>
      </c>
      <c r="J123" s="215">
        <v>0</v>
      </c>
      <c r="K123" s="215">
        <v>0</v>
      </c>
      <c r="L123" s="215">
        <v>730</v>
      </c>
      <c r="M123" s="215">
        <v>900</v>
      </c>
      <c r="N123" s="215">
        <v>0</v>
      </c>
      <c r="O123" s="215">
        <v>4564.68</v>
      </c>
      <c r="Q123" s="215">
        <f t="shared" si="5"/>
        <v>0</v>
      </c>
      <c r="R123" s="215">
        <f t="shared" si="6"/>
        <v>5400</v>
      </c>
      <c r="S123" s="215">
        <f t="shared" si="7"/>
        <v>6520</v>
      </c>
      <c r="T123" s="215">
        <f t="shared" si="8"/>
        <v>3260</v>
      </c>
      <c r="U123" s="215">
        <f t="shared" si="9"/>
        <v>4564.68</v>
      </c>
    </row>
    <row r="124" spans="1:21" ht="15.5" x14ac:dyDescent="0.35">
      <c r="A124" s="210"/>
      <c r="B124" s="214" t="s">
        <v>640</v>
      </c>
      <c r="C124" s="215">
        <v>0</v>
      </c>
      <c r="D124" s="215">
        <v>0</v>
      </c>
      <c r="E124" s="215">
        <v>0</v>
      </c>
      <c r="F124" s="215">
        <v>0</v>
      </c>
      <c r="G124" s="215">
        <v>0</v>
      </c>
      <c r="H124" s="215">
        <v>0</v>
      </c>
      <c r="I124" s="215">
        <v>0</v>
      </c>
      <c r="J124" s="215">
        <v>38.5</v>
      </c>
      <c r="K124" s="215">
        <v>0</v>
      </c>
      <c r="L124" s="215">
        <v>0</v>
      </c>
      <c r="M124" s="215">
        <v>0</v>
      </c>
      <c r="N124" s="215">
        <v>0</v>
      </c>
      <c r="O124" s="215">
        <v>38.5</v>
      </c>
      <c r="Q124" s="215">
        <f t="shared" si="5"/>
        <v>0</v>
      </c>
      <c r="R124" s="215">
        <f t="shared" si="6"/>
        <v>0</v>
      </c>
      <c r="S124" s="215">
        <f t="shared" si="7"/>
        <v>0</v>
      </c>
      <c r="T124" s="215">
        <f t="shared" si="8"/>
        <v>77</v>
      </c>
      <c r="U124" s="215">
        <f t="shared" si="9"/>
        <v>38.5</v>
      </c>
    </row>
    <row r="125" spans="1:21" ht="15.5" x14ac:dyDescent="0.35">
      <c r="A125" s="21">
        <v>11</v>
      </c>
      <c r="B125" s="212" t="s">
        <v>641</v>
      </c>
      <c r="C125" s="216">
        <v>7577.42</v>
      </c>
      <c r="D125" s="216">
        <v>4542.2299999999996</v>
      </c>
      <c r="E125" s="216">
        <v>3077.8</v>
      </c>
      <c r="F125" s="216">
        <v>5270.89</v>
      </c>
      <c r="G125" s="216">
        <v>4609.13</v>
      </c>
      <c r="H125" s="216">
        <v>9282.4</v>
      </c>
      <c r="I125" s="216">
        <v>5700.66</v>
      </c>
      <c r="J125" s="216">
        <v>702.97</v>
      </c>
      <c r="K125" s="216">
        <v>5245.66</v>
      </c>
      <c r="L125" s="216">
        <v>5314.97</v>
      </c>
      <c r="M125" s="216">
        <v>5026.3999999999996</v>
      </c>
      <c r="N125" s="216">
        <v>6685.8</v>
      </c>
      <c r="O125" s="216">
        <v>63036.33</v>
      </c>
      <c r="Q125" s="216">
        <f t="shared" si="5"/>
        <v>80229.600000000006</v>
      </c>
      <c r="R125" s="216">
        <f t="shared" si="6"/>
        <v>70273.200000000012</v>
      </c>
      <c r="S125" s="216">
        <f t="shared" si="7"/>
        <v>68108.679999999993</v>
      </c>
      <c r="T125" s="216">
        <f t="shared" si="8"/>
        <v>57352.920000000006</v>
      </c>
      <c r="U125" s="216">
        <f t="shared" si="9"/>
        <v>63036.330000000009</v>
      </c>
    </row>
    <row r="126" spans="1:21" ht="15.5" x14ac:dyDescent="0.35">
      <c r="B126" s="212" t="s">
        <v>642</v>
      </c>
      <c r="C126" s="213"/>
      <c r="D126" s="213"/>
      <c r="E126" s="213"/>
      <c r="F126" s="213"/>
      <c r="G126" s="213"/>
      <c r="H126" s="213"/>
      <c r="I126" s="213"/>
      <c r="J126" s="213"/>
      <c r="K126" s="213"/>
      <c r="L126" s="213"/>
      <c r="M126" s="213"/>
      <c r="N126" s="213"/>
      <c r="O126" s="213"/>
      <c r="Q126" s="213">
        <f t="shared" si="5"/>
        <v>0</v>
      </c>
      <c r="R126" s="213">
        <f t="shared" si="6"/>
        <v>0</v>
      </c>
      <c r="S126" s="213">
        <f t="shared" si="7"/>
        <v>0</v>
      </c>
      <c r="T126" s="213">
        <f t="shared" si="8"/>
        <v>0</v>
      </c>
      <c r="U126" s="213">
        <f t="shared" si="9"/>
        <v>0</v>
      </c>
    </row>
    <row r="127" spans="1:21" ht="15.5" x14ac:dyDescent="0.35">
      <c r="B127" s="214" t="s">
        <v>643</v>
      </c>
      <c r="C127" s="215">
        <v>0</v>
      </c>
      <c r="D127" s="215">
        <v>0</v>
      </c>
      <c r="E127" s="215">
        <v>0</v>
      </c>
      <c r="F127" s="215">
        <v>0</v>
      </c>
      <c r="G127" s="215">
        <v>0</v>
      </c>
      <c r="H127" s="215">
        <v>0</v>
      </c>
      <c r="I127" s="215">
        <v>0</v>
      </c>
      <c r="J127" s="215">
        <v>19.34</v>
      </c>
      <c r="K127" s="215">
        <v>0</v>
      </c>
      <c r="L127" s="215">
        <v>169.81</v>
      </c>
      <c r="M127" s="215">
        <v>0</v>
      </c>
      <c r="N127" s="215">
        <v>0</v>
      </c>
      <c r="O127" s="215">
        <v>189.15</v>
      </c>
      <c r="Q127" s="215">
        <f t="shared" si="5"/>
        <v>0</v>
      </c>
      <c r="R127" s="215">
        <f t="shared" si="6"/>
        <v>0</v>
      </c>
      <c r="S127" s="215">
        <f t="shared" si="7"/>
        <v>679.24</v>
      </c>
      <c r="T127" s="215">
        <f t="shared" si="8"/>
        <v>378.3</v>
      </c>
      <c r="U127" s="215">
        <f t="shared" si="9"/>
        <v>189.15</v>
      </c>
    </row>
    <row r="128" spans="1:21" ht="15.5" x14ac:dyDescent="0.35">
      <c r="B128" s="214" t="s">
        <v>644</v>
      </c>
      <c r="C128" s="215">
        <v>0</v>
      </c>
      <c r="D128" s="215">
        <v>0</v>
      </c>
      <c r="E128" s="215">
        <v>0</v>
      </c>
      <c r="F128" s="215">
        <v>0</v>
      </c>
      <c r="G128" s="215">
        <v>0</v>
      </c>
      <c r="H128" s="215">
        <v>0</v>
      </c>
      <c r="I128" s="215">
        <v>0</v>
      </c>
      <c r="J128" s="215">
        <v>0</v>
      </c>
      <c r="K128" s="215">
        <v>47.57</v>
      </c>
      <c r="L128" s="215">
        <v>0</v>
      </c>
      <c r="M128" s="215">
        <v>0</v>
      </c>
      <c r="N128" s="215">
        <v>1916.73</v>
      </c>
      <c r="O128" s="215">
        <v>1964.3</v>
      </c>
      <c r="Q128" s="215">
        <f t="shared" si="5"/>
        <v>23000.760000000002</v>
      </c>
      <c r="R128" s="215">
        <f t="shared" si="6"/>
        <v>11500.380000000001</v>
      </c>
      <c r="S128" s="215">
        <f t="shared" si="7"/>
        <v>7666.92</v>
      </c>
      <c r="T128" s="215">
        <f t="shared" si="8"/>
        <v>3928.6</v>
      </c>
      <c r="U128" s="215">
        <f t="shared" si="9"/>
        <v>1964.3</v>
      </c>
    </row>
    <row r="129" spans="1:21" ht="15.5" x14ac:dyDescent="0.35">
      <c r="B129" s="214" t="s">
        <v>645</v>
      </c>
      <c r="C129" s="215">
        <v>0</v>
      </c>
      <c r="D129" s="215">
        <v>887</v>
      </c>
      <c r="E129" s="215">
        <v>0</v>
      </c>
      <c r="F129" s="215">
        <v>1186.18</v>
      </c>
      <c r="G129" s="215">
        <v>106</v>
      </c>
      <c r="H129" s="215">
        <v>0</v>
      </c>
      <c r="I129" s="215">
        <v>523.29999999999995</v>
      </c>
      <c r="J129" s="215">
        <v>0</v>
      </c>
      <c r="K129" s="215">
        <v>0</v>
      </c>
      <c r="L129" s="215">
        <v>0</v>
      </c>
      <c r="M129" s="215">
        <v>0</v>
      </c>
      <c r="N129" s="215">
        <v>0</v>
      </c>
      <c r="O129" s="215">
        <v>2702.48</v>
      </c>
      <c r="Q129" s="215">
        <f t="shared" si="5"/>
        <v>0</v>
      </c>
      <c r="R129" s="215">
        <f t="shared" si="6"/>
        <v>0</v>
      </c>
      <c r="S129" s="215">
        <f t="shared" si="7"/>
        <v>0</v>
      </c>
      <c r="T129" s="215">
        <f t="shared" si="8"/>
        <v>1046.5999999999999</v>
      </c>
      <c r="U129" s="215">
        <f t="shared" si="9"/>
        <v>2702.4800000000005</v>
      </c>
    </row>
    <row r="130" spans="1:21" ht="15.5" x14ac:dyDescent="0.35">
      <c r="B130" s="214" t="s">
        <v>646</v>
      </c>
      <c r="C130" s="215">
        <v>0</v>
      </c>
      <c r="D130" s="215">
        <v>24.95</v>
      </c>
      <c r="E130" s="215">
        <v>24.95</v>
      </c>
      <c r="F130" s="215">
        <v>24.95</v>
      </c>
      <c r="G130" s="215">
        <v>0</v>
      </c>
      <c r="H130" s="215">
        <v>49.9</v>
      </c>
      <c r="I130" s="215">
        <v>0</v>
      </c>
      <c r="J130" s="215">
        <v>0</v>
      </c>
      <c r="K130" s="215">
        <v>0</v>
      </c>
      <c r="L130" s="215">
        <v>0</v>
      </c>
      <c r="M130" s="215">
        <v>0</v>
      </c>
      <c r="N130" s="215">
        <v>0</v>
      </c>
      <c r="O130" s="215">
        <v>124.75</v>
      </c>
      <c r="Q130" s="215">
        <f t="shared" si="5"/>
        <v>0</v>
      </c>
      <c r="R130" s="215">
        <f t="shared" si="6"/>
        <v>0</v>
      </c>
      <c r="S130" s="215">
        <f t="shared" si="7"/>
        <v>0</v>
      </c>
      <c r="T130" s="215">
        <f t="shared" si="8"/>
        <v>0</v>
      </c>
      <c r="U130" s="215">
        <f t="shared" si="9"/>
        <v>124.75</v>
      </c>
    </row>
    <row r="131" spans="1:21" ht="15.5" x14ac:dyDescent="0.35">
      <c r="B131" s="214" t="s">
        <v>647</v>
      </c>
      <c r="C131" s="215">
        <v>107.48</v>
      </c>
      <c r="D131" s="215">
        <v>0</v>
      </c>
      <c r="E131" s="215">
        <v>344.33</v>
      </c>
      <c r="F131" s="215">
        <v>458.25</v>
      </c>
      <c r="G131" s="215">
        <v>113.92</v>
      </c>
      <c r="H131" s="215">
        <v>0</v>
      </c>
      <c r="I131" s="215">
        <v>0</v>
      </c>
      <c r="J131" s="215">
        <v>0</v>
      </c>
      <c r="K131" s="215">
        <v>343.47</v>
      </c>
      <c r="L131" s="215">
        <v>341.76</v>
      </c>
      <c r="M131" s="215">
        <v>0</v>
      </c>
      <c r="N131" s="215">
        <v>0</v>
      </c>
      <c r="O131" s="215">
        <v>1709.21</v>
      </c>
      <c r="Q131" s="215">
        <f t="shared" si="5"/>
        <v>0</v>
      </c>
      <c r="R131" s="215">
        <f t="shared" si="6"/>
        <v>0</v>
      </c>
      <c r="S131" s="215">
        <f t="shared" si="7"/>
        <v>1367.04</v>
      </c>
      <c r="T131" s="215">
        <f t="shared" si="8"/>
        <v>1370.46</v>
      </c>
      <c r="U131" s="215">
        <f t="shared" si="9"/>
        <v>1709.2099999999998</v>
      </c>
    </row>
    <row r="132" spans="1:21" ht="15.5" x14ac:dyDescent="0.35">
      <c r="B132" s="214" t="s">
        <v>648</v>
      </c>
      <c r="C132" s="215">
        <v>3579.82</v>
      </c>
      <c r="D132" s="215">
        <v>0</v>
      </c>
      <c r="E132" s="215">
        <v>2473</v>
      </c>
      <c r="F132" s="215">
        <v>2888.16</v>
      </c>
      <c r="G132" s="215">
        <v>2662.76</v>
      </c>
      <c r="H132" s="215">
        <v>3499.83</v>
      </c>
      <c r="I132" s="215">
        <v>2225.91</v>
      </c>
      <c r="J132" s="215">
        <v>1604.25</v>
      </c>
      <c r="K132" s="215">
        <v>1877.54</v>
      </c>
      <c r="L132" s="215">
        <v>1964.2</v>
      </c>
      <c r="M132" s="215">
        <v>1660.11</v>
      </c>
      <c r="N132" s="215">
        <v>2263.5100000000002</v>
      </c>
      <c r="O132" s="215">
        <v>26699.09</v>
      </c>
      <c r="Q132" s="215">
        <f t="shared" si="5"/>
        <v>27162.120000000003</v>
      </c>
      <c r="R132" s="215">
        <f t="shared" si="6"/>
        <v>23541.72</v>
      </c>
      <c r="S132" s="215">
        <f t="shared" si="7"/>
        <v>23551.279999999999</v>
      </c>
      <c r="T132" s="215">
        <f t="shared" si="8"/>
        <v>23191.040000000001</v>
      </c>
      <c r="U132" s="215">
        <f t="shared" si="9"/>
        <v>26699.090000000004</v>
      </c>
    </row>
    <row r="133" spans="1:21" ht="15.5" x14ac:dyDescent="0.35">
      <c r="B133" s="214" t="s">
        <v>649</v>
      </c>
      <c r="C133" s="215">
        <v>1950</v>
      </c>
      <c r="D133" s="215">
        <v>1950</v>
      </c>
      <c r="E133" s="215">
        <v>1950</v>
      </c>
      <c r="F133" s="215">
        <v>0</v>
      </c>
      <c r="G133" s="215">
        <v>1950</v>
      </c>
      <c r="H133" s="215">
        <v>3900</v>
      </c>
      <c r="I133" s="215">
        <v>1950</v>
      </c>
      <c r="J133" s="215">
        <v>1950</v>
      </c>
      <c r="K133" s="215">
        <v>1950</v>
      </c>
      <c r="L133" s="215">
        <v>1950</v>
      </c>
      <c r="M133" s="215">
        <v>1950</v>
      </c>
      <c r="N133" s="215">
        <v>1950</v>
      </c>
      <c r="O133" s="215">
        <v>23400</v>
      </c>
      <c r="Q133" s="215">
        <f t="shared" si="5"/>
        <v>23400</v>
      </c>
      <c r="R133" s="215">
        <f t="shared" si="6"/>
        <v>23400</v>
      </c>
      <c r="S133" s="215">
        <f t="shared" si="7"/>
        <v>23400</v>
      </c>
      <c r="T133" s="215">
        <f t="shared" si="8"/>
        <v>23400</v>
      </c>
      <c r="U133" s="215">
        <f t="shared" si="9"/>
        <v>23400</v>
      </c>
    </row>
    <row r="134" spans="1:21" ht="15.5" x14ac:dyDescent="0.35">
      <c r="B134" s="214" t="s">
        <v>650</v>
      </c>
      <c r="C134" s="215">
        <v>133.84</v>
      </c>
      <c r="D134" s="215">
        <v>138.13999999999999</v>
      </c>
      <c r="E134" s="215">
        <v>138.13999999999999</v>
      </c>
      <c r="F134" s="215">
        <v>138.13999999999999</v>
      </c>
      <c r="G134" s="215">
        <v>138</v>
      </c>
      <c r="H134" s="215">
        <v>138.01</v>
      </c>
      <c r="I134" s="215">
        <v>133.84</v>
      </c>
      <c r="J134" s="215">
        <v>137.16</v>
      </c>
      <c r="K134" s="215">
        <v>158.1</v>
      </c>
      <c r="L134" s="215">
        <v>145.59</v>
      </c>
      <c r="M134" s="215">
        <v>138.36000000000001</v>
      </c>
      <c r="N134" s="215">
        <v>138.36000000000001</v>
      </c>
      <c r="O134" s="215">
        <v>1675.68</v>
      </c>
      <c r="Q134" s="215">
        <f t="shared" si="5"/>
        <v>1660.3200000000002</v>
      </c>
      <c r="R134" s="215">
        <f t="shared" si="6"/>
        <v>1660.3200000000002</v>
      </c>
      <c r="S134" s="215">
        <f t="shared" si="7"/>
        <v>1689.2400000000002</v>
      </c>
      <c r="T134" s="215">
        <f t="shared" si="8"/>
        <v>1702.8200000000002</v>
      </c>
      <c r="U134" s="215">
        <f t="shared" si="9"/>
        <v>1675.6799999999998</v>
      </c>
    </row>
    <row r="135" spans="1:21" ht="15.5" x14ac:dyDescent="0.35">
      <c r="B135" s="214" t="s">
        <v>651</v>
      </c>
      <c r="C135" s="215">
        <v>180</v>
      </c>
      <c r="D135" s="215">
        <v>180</v>
      </c>
      <c r="E135" s="215">
        <v>-608</v>
      </c>
      <c r="F135" s="215">
        <v>180</v>
      </c>
      <c r="G135" s="215">
        <v>180</v>
      </c>
      <c r="H135" s="215">
        <v>605.5</v>
      </c>
      <c r="I135" s="215">
        <v>180</v>
      </c>
      <c r="J135" s="215">
        <v>180</v>
      </c>
      <c r="K135" s="215">
        <v>180</v>
      </c>
      <c r="L135" s="215">
        <v>180</v>
      </c>
      <c r="M135" s="215">
        <v>703.5</v>
      </c>
      <c r="N135" s="215">
        <v>180</v>
      </c>
      <c r="O135" s="215">
        <v>2321</v>
      </c>
      <c r="Q135" s="215">
        <f t="shared" si="5"/>
        <v>2160</v>
      </c>
      <c r="R135" s="215">
        <f t="shared" si="6"/>
        <v>5301</v>
      </c>
      <c r="S135" s="215">
        <f t="shared" si="7"/>
        <v>4254</v>
      </c>
      <c r="T135" s="215">
        <f t="shared" si="8"/>
        <v>3207</v>
      </c>
      <c r="U135" s="215">
        <f t="shared" si="9"/>
        <v>2321</v>
      </c>
    </row>
    <row r="136" spans="1:21" ht="15.5" x14ac:dyDescent="0.35">
      <c r="A136" s="210"/>
      <c r="B136" s="214" t="s">
        <v>652</v>
      </c>
      <c r="C136" s="215">
        <v>0</v>
      </c>
      <c r="D136" s="215">
        <v>0</v>
      </c>
      <c r="E136" s="215">
        <v>0</v>
      </c>
      <c r="F136" s="215">
        <v>0</v>
      </c>
      <c r="G136" s="215">
        <v>0</v>
      </c>
      <c r="H136" s="215">
        <v>878.31</v>
      </c>
      <c r="I136" s="215">
        <v>0</v>
      </c>
      <c r="J136" s="215">
        <v>0</v>
      </c>
      <c r="K136" s="215">
        <v>900</v>
      </c>
      <c r="L136" s="215">
        <v>225</v>
      </c>
      <c r="M136" s="215">
        <v>900</v>
      </c>
      <c r="N136" s="215">
        <v>900</v>
      </c>
      <c r="O136" s="215">
        <v>3803.31</v>
      </c>
      <c r="Q136" s="215">
        <f t="shared" si="5"/>
        <v>10800</v>
      </c>
      <c r="R136" s="215">
        <f t="shared" si="6"/>
        <v>10800</v>
      </c>
      <c r="S136" s="215">
        <f t="shared" si="7"/>
        <v>8100</v>
      </c>
      <c r="T136" s="215">
        <f t="shared" si="8"/>
        <v>5850</v>
      </c>
      <c r="U136" s="215">
        <f t="shared" si="9"/>
        <v>3803.31</v>
      </c>
    </row>
    <row r="137" spans="1:21" ht="15.5" x14ac:dyDescent="0.35">
      <c r="A137" s="21">
        <v>12</v>
      </c>
      <c r="B137" s="212" t="s">
        <v>653</v>
      </c>
      <c r="C137" s="216">
        <v>5951.14</v>
      </c>
      <c r="D137" s="216">
        <v>3180.09</v>
      </c>
      <c r="E137" s="216">
        <v>4322.42</v>
      </c>
      <c r="F137" s="216">
        <v>4875.68</v>
      </c>
      <c r="G137" s="216">
        <v>5150.68</v>
      </c>
      <c r="H137" s="216">
        <v>9071.5499999999993</v>
      </c>
      <c r="I137" s="216">
        <v>5013.05</v>
      </c>
      <c r="J137" s="216">
        <v>3890.75</v>
      </c>
      <c r="K137" s="216">
        <v>5456.68</v>
      </c>
      <c r="L137" s="216">
        <v>4976.3599999999997</v>
      </c>
      <c r="M137" s="216">
        <v>5351.97</v>
      </c>
      <c r="N137" s="216">
        <v>7348.6</v>
      </c>
      <c r="O137" s="216">
        <v>64588.97</v>
      </c>
      <c r="Q137" s="216">
        <f t="shared" si="5"/>
        <v>88183.200000000012</v>
      </c>
      <c r="R137" s="216">
        <f t="shared" si="6"/>
        <v>76203.42</v>
      </c>
      <c r="S137" s="216">
        <f t="shared" si="7"/>
        <v>70707.72</v>
      </c>
      <c r="T137" s="216">
        <f t="shared" si="8"/>
        <v>64074.820000000007</v>
      </c>
      <c r="U137" s="216">
        <f t="shared" si="9"/>
        <v>64588.97</v>
      </c>
    </row>
    <row r="138" spans="1:21" ht="15.5" x14ac:dyDescent="0.35">
      <c r="B138" s="212" t="s">
        <v>654</v>
      </c>
      <c r="C138" s="213"/>
      <c r="D138" s="213"/>
      <c r="E138" s="213"/>
      <c r="F138" s="213"/>
      <c r="G138" s="213"/>
      <c r="H138" s="213"/>
      <c r="I138" s="213"/>
      <c r="J138" s="213"/>
      <c r="K138" s="213"/>
      <c r="L138" s="213"/>
      <c r="M138" s="213"/>
      <c r="N138" s="213"/>
      <c r="O138" s="213"/>
      <c r="Q138" s="213">
        <f t="shared" si="5"/>
        <v>0</v>
      </c>
      <c r="R138" s="213">
        <f t="shared" si="6"/>
        <v>0</v>
      </c>
      <c r="S138" s="213">
        <f t="shared" si="7"/>
        <v>0</v>
      </c>
      <c r="T138" s="213">
        <f t="shared" si="8"/>
        <v>0</v>
      </c>
      <c r="U138" s="213">
        <f t="shared" si="9"/>
        <v>0</v>
      </c>
    </row>
    <row r="139" spans="1:21" ht="15.5" x14ac:dyDescent="0.35">
      <c r="B139" s="214" t="s">
        <v>655</v>
      </c>
      <c r="C139" s="215">
        <v>1518.99</v>
      </c>
      <c r="D139" s="215">
        <v>159.43</v>
      </c>
      <c r="E139" s="215">
        <v>108.56</v>
      </c>
      <c r="F139" s="215">
        <v>686.75</v>
      </c>
      <c r="G139" s="215">
        <v>847.37</v>
      </c>
      <c r="H139" s="215">
        <v>0</v>
      </c>
      <c r="I139" s="215">
        <v>0</v>
      </c>
      <c r="J139" s="215">
        <v>0</v>
      </c>
      <c r="K139" s="215">
        <v>0</v>
      </c>
      <c r="L139" s="215">
        <v>0</v>
      </c>
      <c r="M139" s="215">
        <v>0</v>
      </c>
      <c r="N139" s="215">
        <v>0</v>
      </c>
      <c r="O139" s="215">
        <v>3321.1</v>
      </c>
      <c r="Q139" s="215">
        <f t="shared" si="5"/>
        <v>0</v>
      </c>
      <c r="R139" s="215">
        <f t="shared" si="6"/>
        <v>0</v>
      </c>
      <c r="S139" s="215">
        <f t="shared" si="7"/>
        <v>0</v>
      </c>
      <c r="T139" s="215">
        <f t="shared" si="8"/>
        <v>0</v>
      </c>
      <c r="U139" s="215">
        <f t="shared" si="9"/>
        <v>3321.1</v>
      </c>
    </row>
    <row r="140" spans="1:21" ht="15.5" x14ac:dyDescent="0.35">
      <c r="B140" s="214" t="s">
        <v>656</v>
      </c>
      <c r="C140" s="215">
        <v>0</v>
      </c>
      <c r="D140" s="215">
        <v>721.01</v>
      </c>
      <c r="E140" s="215">
        <v>0</v>
      </c>
      <c r="F140" s="215">
        <v>0</v>
      </c>
      <c r="G140" s="215">
        <v>0</v>
      </c>
      <c r="H140" s="215">
        <v>0</v>
      </c>
      <c r="I140" s="215">
        <v>0</v>
      </c>
      <c r="J140" s="215">
        <v>0</v>
      </c>
      <c r="K140" s="215">
        <v>704.84</v>
      </c>
      <c r="L140" s="215">
        <v>576.32000000000005</v>
      </c>
      <c r="M140" s="215">
        <v>0</v>
      </c>
      <c r="N140" s="215">
        <v>0</v>
      </c>
      <c r="O140" s="215">
        <v>2002.17</v>
      </c>
      <c r="Q140" s="215">
        <f t="shared" si="5"/>
        <v>0</v>
      </c>
      <c r="R140" s="215">
        <f t="shared" si="6"/>
        <v>0</v>
      </c>
      <c r="S140" s="215">
        <f t="shared" si="7"/>
        <v>2305.2800000000002</v>
      </c>
      <c r="T140" s="215">
        <f t="shared" si="8"/>
        <v>2562.3200000000002</v>
      </c>
      <c r="U140" s="215">
        <f t="shared" si="9"/>
        <v>2002.17</v>
      </c>
    </row>
    <row r="141" spans="1:21" ht="15.5" x14ac:dyDescent="0.35">
      <c r="B141" s="214" t="s">
        <v>657</v>
      </c>
      <c r="C141" s="215">
        <v>908.05</v>
      </c>
      <c r="D141" s="215">
        <v>1033.78</v>
      </c>
      <c r="E141" s="215">
        <v>842.86</v>
      </c>
      <c r="F141" s="215">
        <v>858.39</v>
      </c>
      <c r="G141" s="215">
        <v>1328.01</v>
      </c>
      <c r="H141" s="215">
        <v>1291.6300000000001</v>
      </c>
      <c r="I141" s="215">
        <v>0</v>
      </c>
      <c r="J141" s="215">
        <v>0</v>
      </c>
      <c r="K141" s="215">
        <v>0</v>
      </c>
      <c r="L141" s="215">
        <v>0</v>
      </c>
      <c r="M141" s="215">
        <v>0</v>
      </c>
      <c r="N141" s="215">
        <v>0</v>
      </c>
      <c r="O141" s="215">
        <v>6262.72</v>
      </c>
      <c r="Q141" s="215">
        <f t="shared" si="5"/>
        <v>0</v>
      </c>
      <c r="R141" s="215">
        <f t="shared" si="6"/>
        <v>0</v>
      </c>
      <c r="S141" s="215">
        <f t="shared" si="7"/>
        <v>0</v>
      </c>
      <c r="T141" s="215">
        <f t="shared" si="8"/>
        <v>0</v>
      </c>
      <c r="U141" s="215">
        <f t="shared" si="9"/>
        <v>6262.72</v>
      </c>
    </row>
    <row r="142" spans="1:21" ht="15.5" x14ac:dyDescent="0.35">
      <c r="B142" s="214" t="s">
        <v>658</v>
      </c>
      <c r="C142" s="215">
        <v>2841.87</v>
      </c>
      <c r="D142" s="215">
        <v>3374.99</v>
      </c>
      <c r="E142" s="215">
        <v>2565.44</v>
      </c>
      <c r="F142" s="215">
        <v>2631.26</v>
      </c>
      <c r="G142" s="215">
        <v>2246.4699999999998</v>
      </c>
      <c r="H142" s="215">
        <v>2181.13</v>
      </c>
      <c r="I142" s="215">
        <v>0</v>
      </c>
      <c r="J142" s="215">
        <v>1272.04</v>
      </c>
      <c r="K142" s="215">
        <v>2020.28</v>
      </c>
      <c r="L142" s="215">
        <v>2161.02</v>
      </c>
      <c r="M142" s="215">
        <v>2331.46</v>
      </c>
      <c r="N142" s="215">
        <v>2619.0100000000002</v>
      </c>
      <c r="O142" s="215">
        <v>26244.97</v>
      </c>
      <c r="Q142" s="215">
        <f t="shared" si="5"/>
        <v>31428.120000000003</v>
      </c>
      <c r="R142" s="215">
        <f t="shared" si="6"/>
        <v>29702.82</v>
      </c>
      <c r="S142" s="215">
        <f t="shared" si="7"/>
        <v>28445.96</v>
      </c>
      <c r="T142" s="215">
        <f t="shared" si="8"/>
        <v>20807.620000000003</v>
      </c>
      <c r="U142" s="215">
        <f t="shared" si="9"/>
        <v>26244.97</v>
      </c>
    </row>
    <row r="143" spans="1:21" ht="15.5" x14ac:dyDescent="0.35">
      <c r="B143" s="214" t="s">
        <v>659</v>
      </c>
      <c r="C143" s="215">
        <v>0</v>
      </c>
      <c r="D143" s="215">
        <v>2217.0500000000002</v>
      </c>
      <c r="E143" s="215">
        <v>700.34</v>
      </c>
      <c r="F143" s="215">
        <v>739.01</v>
      </c>
      <c r="G143" s="215">
        <v>313.17</v>
      </c>
      <c r="H143" s="215">
        <v>223.12</v>
      </c>
      <c r="I143" s="215">
        <v>2930.23</v>
      </c>
      <c r="J143" s="215">
        <v>971.93</v>
      </c>
      <c r="K143" s="215">
        <v>221.03</v>
      </c>
      <c r="L143" s="215">
        <v>927.33</v>
      </c>
      <c r="M143" s="215">
        <v>1026.1400000000001</v>
      </c>
      <c r="N143" s="215">
        <v>745.29</v>
      </c>
      <c r="O143" s="215">
        <v>11014.64</v>
      </c>
      <c r="Q143" s="215">
        <f t="shared" si="5"/>
        <v>8943.48</v>
      </c>
      <c r="R143" s="215">
        <f t="shared" si="6"/>
        <v>10628.58</v>
      </c>
      <c r="S143" s="215">
        <f t="shared" si="7"/>
        <v>10795.04</v>
      </c>
      <c r="T143" s="215">
        <f t="shared" si="8"/>
        <v>13643.9</v>
      </c>
      <c r="U143" s="215">
        <f t="shared" si="9"/>
        <v>11014.64</v>
      </c>
    </row>
    <row r="144" spans="1:21" ht="15.5" x14ac:dyDescent="0.35">
      <c r="B144" s="214" t="s">
        <v>660</v>
      </c>
      <c r="C144" s="215">
        <v>0</v>
      </c>
      <c r="D144" s="215">
        <v>656.85</v>
      </c>
      <c r="E144" s="215">
        <v>1523.47</v>
      </c>
      <c r="F144" s="215">
        <v>-85.48</v>
      </c>
      <c r="G144" s="215">
        <v>862.62</v>
      </c>
      <c r="H144" s="215">
        <v>2637.51</v>
      </c>
      <c r="I144" s="215">
        <v>2519.12</v>
      </c>
      <c r="J144" s="215">
        <v>2020.64</v>
      </c>
      <c r="K144" s="215">
        <v>3255.96</v>
      </c>
      <c r="L144" s="215">
        <v>1979.16</v>
      </c>
      <c r="M144" s="215">
        <v>1290.6600000000001</v>
      </c>
      <c r="N144" s="215">
        <v>1325.04</v>
      </c>
      <c r="O144" s="215">
        <v>17985.55</v>
      </c>
      <c r="Q144" s="215">
        <f t="shared" si="5"/>
        <v>15900.48</v>
      </c>
      <c r="R144" s="215">
        <f t="shared" si="6"/>
        <v>15694.199999999999</v>
      </c>
      <c r="S144" s="215">
        <f t="shared" si="7"/>
        <v>18379.440000000002</v>
      </c>
      <c r="T144" s="215">
        <f t="shared" si="8"/>
        <v>24781.160000000003</v>
      </c>
      <c r="U144" s="215">
        <f t="shared" si="9"/>
        <v>17985.55</v>
      </c>
    </row>
    <row r="145" spans="1:21" ht="15.5" x14ac:dyDescent="0.35">
      <c r="A145" s="210"/>
      <c r="B145" s="214" t="s">
        <v>661</v>
      </c>
      <c r="C145" s="215">
        <v>0</v>
      </c>
      <c r="D145" s="215">
        <v>0</v>
      </c>
      <c r="E145" s="215">
        <v>0</v>
      </c>
      <c r="F145" s="215">
        <v>0</v>
      </c>
      <c r="G145" s="215">
        <v>0</v>
      </c>
      <c r="H145" s="215">
        <v>0</v>
      </c>
      <c r="I145" s="215">
        <v>1294.43</v>
      </c>
      <c r="J145" s="215">
        <v>2145.94</v>
      </c>
      <c r="K145" s="215">
        <v>1202.08</v>
      </c>
      <c r="L145" s="215">
        <v>1280.43</v>
      </c>
      <c r="M145" s="215">
        <v>1319.62</v>
      </c>
      <c r="N145" s="215">
        <v>1630.78</v>
      </c>
      <c r="O145" s="215">
        <v>8873.2800000000007</v>
      </c>
      <c r="Q145" s="215">
        <f t="shared" si="5"/>
        <v>19569.36</v>
      </c>
      <c r="R145" s="215">
        <f t="shared" si="6"/>
        <v>17702.399999999998</v>
      </c>
      <c r="S145" s="215">
        <f t="shared" si="7"/>
        <v>16923.32</v>
      </c>
      <c r="T145" s="215">
        <f t="shared" si="8"/>
        <v>17746.560000000001</v>
      </c>
      <c r="U145" s="215">
        <f t="shared" si="9"/>
        <v>8873.2800000000007</v>
      </c>
    </row>
    <row r="146" spans="1:21" ht="15.5" x14ac:dyDescent="0.35">
      <c r="A146" s="21">
        <v>14</v>
      </c>
      <c r="B146" s="212" t="s">
        <v>662</v>
      </c>
      <c r="C146" s="216">
        <v>5268.91</v>
      </c>
      <c r="D146" s="216">
        <v>8163.11</v>
      </c>
      <c r="E146" s="216">
        <v>5740.67</v>
      </c>
      <c r="F146" s="216">
        <v>4829.93</v>
      </c>
      <c r="G146" s="216">
        <v>5597.64</v>
      </c>
      <c r="H146" s="216">
        <v>6333.39</v>
      </c>
      <c r="I146" s="216">
        <v>6743.78</v>
      </c>
      <c r="J146" s="216">
        <v>6410.55</v>
      </c>
      <c r="K146" s="216">
        <v>7404.19</v>
      </c>
      <c r="L146" s="216">
        <v>6924.26</v>
      </c>
      <c r="M146" s="216">
        <v>5967.88</v>
      </c>
      <c r="N146" s="216">
        <v>6320.12</v>
      </c>
      <c r="O146" s="216">
        <v>75704.429999999993</v>
      </c>
      <c r="Q146" s="216">
        <f t="shared" ref="Q146:Q208" si="10">+N146*12</f>
        <v>75841.440000000002</v>
      </c>
      <c r="R146" s="216">
        <f t="shared" ref="R146:R208" si="11">+SUM(M146:N146)*6</f>
        <v>73728</v>
      </c>
      <c r="S146" s="216">
        <f t="shared" ref="S146:S208" si="12">+SUM(L146:N146)*4</f>
        <v>76849.039999999994</v>
      </c>
      <c r="T146" s="216">
        <f t="shared" ref="T146:T208" si="13">+SUM(I146:N146)*2</f>
        <v>79541.56</v>
      </c>
      <c r="U146" s="216">
        <f t="shared" ref="U146:U208" si="14">+SUM(C146:N146)</f>
        <v>75704.430000000008</v>
      </c>
    </row>
    <row r="147" spans="1:21" ht="15.5" x14ac:dyDescent="0.35">
      <c r="A147" s="210"/>
      <c r="B147" s="212" t="s">
        <v>663</v>
      </c>
      <c r="C147" s="213"/>
      <c r="D147" s="213"/>
      <c r="E147" s="213"/>
      <c r="F147" s="213"/>
      <c r="G147" s="213"/>
      <c r="H147" s="213"/>
      <c r="I147" s="213"/>
      <c r="J147" s="213"/>
      <c r="K147" s="213"/>
      <c r="L147" s="213"/>
      <c r="M147" s="213"/>
      <c r="N147" s="213"/>
      <c r="O147" s="213"/>
      <c r="Q147" s="213">
        <f t="shared" si="10"/>
        <v>0</v>
      </c>
      <c r="R147" s="213">
        <f t="shared" si="11"/>
        <v>0</v>
      </c>
      <c r="S147" s="213">
        <f t="shared" si="12"/>
        <v>0</v>
      </c>
      <c r="T147" s="213">
        <f t="shared" si="13"/>
        <v>0</v>
      </c>
      <c r="U147" s="213">
        <f t="shared" si="14"/>
        <v>0</v>
      </c>
    </row>
    <row r="148" spans="1:21" ht="15.5" x14ac:dyDescent="0.35">
      <c r="A148" s="21">
        <v>16</v>
      </c>
      <c r="B148" s="214" t="s">
        <v>664</v>
      </c>
      <c r="C148" s="215">
        <v>19057.990000000002</v>
      </c>
      <c r="D148" s="215">
        <v>7450.19</v>
      </c>
      <c r="E148" s="215">
        <v>16496.849999999999</v>
      </c>
      <c r="F148" s="215">
        <v>16496.849999999999</v>
      </c>
      <c r="G148" s="215">
        <v>16496.849999999999</v>
      </c>
      <c r="H148" s="215">
        <v>16496.849999999999</v>
      </c>
      <c r="I148" s="215">
        <v>16496.849999999999</v>
      </c>
      <c r="J148" s="215">
        <v>16496.849999999999</v>
      </c>
      <c r="K148" s="215">
        <v>20353.189999999999</v>
      </c>
      <c r="L148" s="215">
        <v>20353.189999999999</v>
      </c>
      <c r="M148" s="215">
        <v>20353.189999999999</v>
      </c>
      <c r="N148" s="215">
        <v>20353.189999999999</v>
      </c>
      <c r="O148" s="215">
        <v>206902.04</v>
      </c>
      <c r="Q148" s="215">
        <f t="shared" si="10"/>
        <v>244238.27999999997</v>
      </c>
      <c r="R148" s="215">
        <f t="shared" si="11"/>
        <v>244238.27999999997</v>
      </c>
      <c r="S148" s="215">
        <f t="shared" si="12"/>
        <v>244238.27999999997</v>
      </c>
      <c r="T148" s="215">
        <f t="shared" si="13"/>
        <v>228812.92</v>
      </c>
      <c r="U148" s="215">
        <f t="shared" si="14"/>
        <v>206902.04</v>
      </c>
    </row>
    <row r="149" spans="1:21" ht="15.5" x14ac:dyDescent="0.35">
      <c r="A149" s="21">
        <v>15</v>
      </c>
      <c r="B149" s="214" t="s">
        <v>665</v>
      </c>
      <c r="C149" s="215">
        <v>13244.91</v>
      </c>
      <c r="D149" s="215">
        <v>13652.25</v>
      </c>
      <c r="E149" s="215">
        <v>13652.25</v>
      </c>
      <c r="F149" s="215">
        <v>13652.25</v>
      </c>
      <c r="G149" s="215">
        <v>13652.25</v>
      </c>
      <c r="H149" s="215">
        <v>13652.25</v>
      </c>
      <c r="I149" s="215">
        <v>13652.25</v>
      </c>
      <c r="J149" s="215">
        <v>13652.25</v>
      </c>
      <c r="K149" s="215">
        <v>15688.81</v>
      </c>
      <c r="L149" s="215">
        <v>15688.81</v>
      </c>
      <c r="M149" s="215">
        <v>15688.81</v>
      </c>
      <c r="N149" s="215">
        <v>8165.67</v>
      </c>
      <c r="O149" s="215">
        <v>164042.76</v>
      </c>
      <c r="Q149" s="215">
        <f t="shared" si="10"/>
        <v>97988.040000000008</v>
      </c>
      <c r="R149" s="215">
        <f t="shared" si="11"/>
        <v>143126.88</v>
      </c>
      <c r="S149" s="215">
        <f t="shared" si="12"/>
        <v>158173.16</v>
      </c>
      <c r="T149" s="215">
        <f t="shared" si="13"/>
        <v>165073.19999999998</v>
      </c>
      <c r="U149" s="215">
        <f t="shared" si="14"/>
        <v>164042.76</v>
      </c>
    </row>
    <row r="150" spans="1:21" ht="15.5" x14ac:dyDescent="0.35">
      <c r="B150" s="212" t="s">
        <v>666</v>
      </c>
      <c r="C150" s="216">
        <v>32302.9</v>
      </c>
      <c r="D150" s="216">
        <v>21102.44</v>
      </c>
      <c r="E150" s="216">
        <v>30149.1</v>
      </c>
      <c r="F150" s="216">
        <v>30149.1</v>
      </c>
      <c r="G150" s="216">
        <v>30149.1</v>
      </c>
      <c r="H150" s="216">
        <v>30149.1</v>
      </c>
      <c r="I150" s="216">
        <v>30149.1</v>
      </c>
      <c r="J150" s="216">
        <v>30149.1</v>
      </c>
      <c r="K150" s="216">
        <v>36042</v>
      </c>
      <c r="L150" s="216">
        <v>36042</v>
      </c>
      <c r="M150" s="216">
        <v>36042</v>
      </c>
      <c r="N150" s="216">
        <v>28518.86</v>
      </c>
      <c r="O150" s="216">
        <v>370944.8</v>
      </c>
      <c r="Q150" s="216">
        <f t="shared" si="10"/>
        <v>342226.32</v>
      </c>
      <c r="R150" s="216">
        <f t="shared" si="11"/>
        <v>387365.16000000003</v>
      </c>
      <c r="S150" s="216">
        <f t="shared" si="12"/>
        <v>402411.44</v>
      </c>
      <c r="T150" s="216">
        <f t="shared" si="13"/>
        <v>393886.12</v>
      </c>
      <c r="U150" s="216">
        <f t="shared" si="14"/>
        <v>370944.80000000005</v>
      </c>
    </row>
    <row r="151" spans="1:21" ht="15.5" x14ac:dyDescent="0.35">
      <c r="B151" s="212" t="s">
        <v>667</v>
      </c>
      <c r="C151" s="213"/>
      <c r="D151" s="213"/>
      <c r="E151" s="213"/>
      <c r="F151" s="213"/>
      <c r="G151" s="213"/>
      <c r="H151" s="213"/>
      <c r="I151" s="213"/>
      <c r="J151" s="213"/>
      <c r="K151" s="213"/>
      <c r="L151" s="213"/>
      <c r="M151" s="213"/>
      <c r="N151" s="213"/>
      <c r="O151" s="213"/>
      <c r="Q151" s="213">
        <f t="shared" si="10"/>
        <v>0</v>
      </c>
      <c r="R151" s="213">
        <f t="shared" si="11"/>
        <v>0</v>
      </c>
      <c r="S151" s="213">
        <f t="shared" si="12"/>
        <v>0</v>
      </c>
      <c r="T151" s="213">
        <f t="shared" si="13"/>
        <v>0</v>
      </c>
      <c r="U151" s="213">
        <f t="shared" si="14"/>
        <v>0</v>
      </c>
    </row>
    <row r="152" spans="1:21" ht="15.5" x14ac:dyDescent="0.35">
      <c r="B152" s="214" t="s">
        <v>668</v>
      </c>
      <c r="C152" s="215">
        <v>0</v>
      </c>
      <c r="D152" s="215">
        <v>0</v>
      </c>
      <c r="E152" s="215">
        <v>0</v>
      </c>
      <c r="F152" s="215">
        <v>0</v>
      </c>
      <c r="G152" s="215">
        <v>0</v>
      </c>
      <c r="H152" s="215">
        <v>0</v>
      </c>
      <c r="I152" s="215">
        <v>350</v>
      </c>
      <c r="J152" s="215">
        <v>700</v>
      </c>
      <c r="K152" s="215">
        <v>250</v>
      </c>
      <c r="L152" s="215">
        <v>0</v>
      </c>
      <c r="M152" s="215">
        <v>0</v>
      </c>
      <c r="N152" s="215">
        <v>0</v>
      </c>
      <c r="O152" s="215">
        <v>1300</v>
      </c>
      <c r="Q152" s="215">
        <f t="shared" si="10"/>
        <v>0</v>
      </c>
      <c r="R152" s="215">
        <f t="shared" si="11"/>
        <v>0</v>
      </c>
      <c r="S152" s="215">
        <f t="shared" si="12"/>
        <v>0</v>
      </c>
      <c r="T152" s="215">
        <f t="shared" si="13"/>
        <v>2600</v>
      </c>
      <c r="U152" s="215">
        <f t="shared" si="14"/>
        <v>1300</v>
      </c>
    </row>
    <row r="153" spans="1:21" ht="15.5" x14ac:dyDescent="0.35">
      <c r="B153" s="214" t="s">
        <v>669</v>
      </c>
      <c r="C153" s="215">
        <v>0</v>
      </c>
      <c r="D153" s="215">
        <v>0</v>
      </c>
      <c r="E153" s="215">
        <v>0</v>
      </c>
      <c r="F153" s="215">
        <v>0</v>
      </c>
      <c r="G153" s="215">
        <v>0</v>
      </c>
      <c r="H153" s="215">
        <v>2067.13</v>
      </c>
      <c r="I153" s="215">
        <v>12911.24</v>
      </c>
      <c r="J153" s="215">
        <v>17611.93</v>
      </c>
      <c r="K153" s="215">
        <v>14937.77</v>
      </c>
      <c r="L153" s="215">
        <v>9049.4699999999993</v>
      </c>
      <c r="M153" s="215">
        <v>9581.16</v>
      </c>
      <c r="N153" s="215">
        <v>10053.01</v>
      </c>
      <c r="O153" s="215">
        <v>76211.710000000006</v>
      </c>
      <c r="Q153" s="215">
        <f t="shared" si="10"/>
        <v>120636.12</v>
      </c>
      <c r="R153" s="215">
        <f t="shared" si="11"/>
        <v>117805.01999999999</v>
      </c>
      <c r="S153" s="215">
        <f t="shared" si="12"/>
        <v>114734.56</v>
      </c>
      <c r="T153" s="215">
        <f t="shared" si="13"/>
        <v>148289.16</v>
      </c>
      <c r="U153" s="215">
        <f t="shared" si="14"/>
        <v>76211.709999999992</v>
      </c>
    </row>
    <row r="154" spans="1:21" ht="15.5" x14ac:dyDescent="0.35">
      <c r="B154" s="214" t="s">
        <v>670</v>
      </c>
      <c r="C154" s="215">
        <v>0</v>
      </c>
      <c r="D154" s="215">
        <v>0</v>
      </c>
      <c r="E154" s="215">
        <v>0</v>
      </c>
      <c r="F154" s="215">
        <v>0</v>
      </c>
      <c r="G154" s="215">
        <v>0</v>
      </c>
      <c r="H154" s="215">
        <v>128.16</v>
      </c>
      <c r="I154" s="215">
        <v>797.88</v>
      </c>
      <c r="J154" s="215">
        <v>1089.02</v>
      </c>
      <c r="K154" s="215">
        <v>994.53</v>
      </c>
      <c r="L154" s="215">
        <v>641.75</v>
      </c>
      <c r="M154" s="215">
        <v>1043.8499999999999</v>
      </c>
      <c r="N154" s="215">
        <v>631.04</v>
      </c>
      <c r="O154" s="215">
        <v>5326.23</v>
      </c>
      <c r="Q154" s="215">
        <f t="shared" si="10"/>
        <v>7572.48</v>
      </c>
      <c r="R154" s="215">
        <f t="shared" si="11"/>
        <v>10049.34</v>
      </c>
      <c r="S154" s="215">
        <f t="shared" si="12"/>
        <v>9266.56</v>
      </c>
      <c r="T154" s="215">
        <f t="shared" si="13"/>
        <v>10396.140000000001</v>
      </c>
      <c r="U154" s="215">
        <f t="shared" si="14"/>
        <v>5326.2300000000005</v>
      </c>
    </row>
    <row r="155" spans="1:21" ht="15.5" x14ac:dyDescent="0.35">
      <c r="B155" s="214" t="s">
        <v>671</v>
      </c>
      <c r="C155" s="215">
        <v>0</v>
      </c>
      <c r="D155" s="215">
        <v>0</v>
      </c>
      <c r="E155" s="215">
        <v>0</v>
      </c>
      <c r="F155" s="215">
        <v>0</v>
      </c>
      <c r="G155" s="215">
        <v>0</v>
      </c>
      <c r="H155" s="215">
        <v>29.97</v>
      </c>
      <c r="I155" s="215">
        <v>186.6</v>
      </c>
      <c r="J155" s="215">
        <v>254.7</v>
      </c>
      <c r="K155" s="215">
        <v>105.87</v>
      </c>
      <c r="L155" s="215">
        <v>150.09</v>
      </c>
      <c r="M155" s="215">
        <v>244.12</v>
      </c>
      <c r="N155" s="215">
        <v>147.57</v>
      </c>
      <c r="O155" s="215">
        <v>1118.92</v>
      </c>
      <c r="Q155" s="215">
        <f t="shared" si="10"/>
        <v>1770.84</v>
      </c>
      <c r="R155" s="215">
        <f t="shared" si="11"/>
        <v>2350.14</v>
      </c>
      <c r="S155" s="215">
        <f t="shared" si="12"/>
        <v>2167.12</v>
      </c>
      <c r="T155" s="215">
        <f t="shared" si="13"/>
        <v>2177.9</v>
      </c>
      <c r="U155" s="215">
        <f t="shared" si="14"/>
        <v>1118.92</v>
      </c>
    </row>
    <row r="156" spans="1:21" ht="15.5" x14ac:dyDescent="0.35">
      <c r="B156" s="214" t="s">
        <v>672</v>
      </c>
      <c r="C156" s="215">
        <v>0</v>
      </c>
      <c r="D156" s="215">
        <v>0</v>
      </c>
      <c r="E156" s="215">
        <v>0</v>
      </c>
      <c r="F156" s="215">
        <v>0</v>
      </c>
      <c r="G156" s="215">
        <v>0</v>
      </c>
      <c r="H156" s="215">
        <v>12.41</v>
      </c>
      <c r="I156" s="215">
        <v>73.7</v>
      </c>
      <c r="J156" s="215">
        <v>72.959999999999994</v>
      </c>
      <c r="K156" s="215">
        <v>0</v>
      </c>
      <c r="L156" s="215">
        <v>1.72</v>
      </c>
      <c r="M156" s="215">
        <v>23.55</v>
      </c>
      <c r="N156" s="215">
        <v>0</v>
      </c>
      <c r="O156" s="215">
        <v>184.34</v>
      </c>
      <c r="Q156" s="215">
        <f t="shared" si="10"/>
        <v>0</v>
      </c>
      <c r="R156" s="215">
        <f t="shared" si="11"/>
        <v>141.30000000000001</v>
      </c>
      <c r="S156" s="215">
        <f t="shared" si="12"/>
        <v>101.08</v>
      </c>
      <c r="T156" s="215">
        <f t="shared" si="13"/>
        <v>343.86</v>
      </c>
      <c r="U156" s="215">
        <f t="shared" si="14"/>
        <v>184.34</v>
      </c>
    </row>
    <row r="157" spans="1:21" ht="15.5" x14ac:dyDescent="0.35">
      <c r="B157" s="214" t="s">
        <v>673</v>
      </c>
      <c r="C157" s="215">
        <v>0</v>
      </c>
      <c r="D157" s="215">
        <v>0</v>
      </c>
      <c r="E157" s="215">
        <v>0</v>
      </c>
      <c r="F157" s="215">
        <v>0</v>
      </c>
      <c r="G157" s="215">
        <v>0</v>
      </c>
      <c r="H157" s="215">
        <v>5.78</v>
      </c>
      <c r="I157" s="215">
        <v>34.380000000000003</v>
      </c>
      <c r="J157" s="215">
        <v>34.049999999999997</v>
      </c>
      <c r="K157" s="215">
        <v>0</v>
      </c>
      <c r="L157" s="215">
        <v>0.8</v>
      </c>
      <c r="M157" s="215">
        <v>11</v>
      </c>
      <c r="N157" s="215">
        <v>0</v>
      </c>
      <c r="O157" s="215">
        <v>86.01</v>
      </c>
      <c r="Q157" s="215">
        <f t="shared" si="10"/>
        <v>0</v>
      </c>
      <c r="R157" s="215">
        <f t="shared" si="11"/>
        <v>66</v>
      </c>
      <c r="S157" s="215">
        <f t="shared" si="12"/>
        <v>47.2</v>
      </c>
      <c r="T157" s="215">
        <f t="shared" si="13"/>
        <v>160.46</v>
      </c>
      <c r="U157" s="215">
        <f t="shared" si="14"/>
        <v>86.01</v>
      </c>
    </row>
    <row r="158" spans="1:21" ht="15.5" x14ac:dyDescent="0.35">
      <c r="B158" s="214" t="s">
        <v>674</v>
      </c>
      <c r="C158" s="215">
        <v>0</v>
      </c>
      <c r="D158" s="215">
        <v>0</v>
      </c>
      <c r="E158" s="215">
        <v>0</v>
      </c>
      <c r="F158" s="215">
        <v>0</v>
      </c>
      <c r="G158" s="215">
        <v>0</v>
      </c>
      <c r="H158" s="215">
        <v>14.06</v>
      </c>
      <c r="I158" s="215">
        <v>150.94</v>
      </c>
      <c r="J158" s="215">
        <v>153.63999999999999</v>
      </c>
      <c r="K158" s="215">
        <v>109.4</v>
      </c>
      <c r="L158" s="215">
        <v>76.44</v>
      </c>
      <c r="M158" s="215">
        <v>197.07</v>
      </c>
      <c r="N158" s="215">
        <v>81.94</v>
      </c>
      <c r="O158" s="215">
        <v>783.49</v>
      </c>
      <c r="Q158" s="215">
        <f t="shared" si="10"/>
        <v>983.28</v>
      </c>
      <c r="R158" s="215">
        <f t="shared" si="11"/>
        <v>1674.06</v>
      </c>
      <c r="S158" s="215">
        <f t="shared" si="12"/>
        <v>1421.8</v>
      </c>
      <c r="T158" s="215">
        <f t="shared" si="13"/>
        <v>1538.8600000000001</v>
      </c>
      <c r="U158" s="215">
        <f t="shared" si="14"/>
        <v>783.49</v>
      </c>
    </row>
    <row r="159" spans="1:21" ht="15.5" x14ac:dyDescent="0.35">
      <c r="B159" s="214" t="s">
        <v>675</v>
      </c>
      <c r="C159" s="215">
        <v>0</v>
      </c>
      <c r="D159" s="215">
        <v>0</v>
      </c>
      <c r="E159" s="215">
        <v>0</v>
      </c>
      <c r="F159" s="215">
        <v>0</v>
      </c>
      <c r="G159" s="215">
        <v>0</v>
      </c>
      <c r="H159" s="215">
        <v>45.54</v>
      </c>
      <c r="I159" s="215">
        <v>90.92</v>
      </c>
      <c r="J159" s="215">
        <v>91</v>
      </c>
      <c r="K159" s="215">
        <v>68.97</v>
      </c>
      <c r="L159" s="215">
        <v>45.44</v>
      </c>
      <c r="M159" s="215">
        <v>69.33</v>
      </c>
      <c r="N159" s="215">
        <v>45.26</v>
      </c>
      <c r="O159" s="215">
        <v>456.46</v>
      </c>
      <c r="Q159" s="215">
        <f t="shared" si="10"/>
        <v>543.12</v>
      </c>
      <c r="R159" s="215">
        <f t="shared" si="11"/>
        <v>687.54</v>
      </c>
      <c r="S159" s="215">
        <f t="shared" si="12"/>
        <v>640.12</v>
      </c>
      <c r="T159" s="215">
        <f t="shared" si="13"/>
        <v>821.84</v>
      </c>
      <c r="U159" s="215">
        <f t="shared" si="14"/>
        <v>456.46</v>
      </c>
    </row>
    <row r="160" spans="1:21" ht="15.5" x14ac:dyDescent="0.35">
      <c r="B160" s="214" t="s">
        <v>676</v>
      </c>
      <c r="C160" s="215">
        <v>0</v>
      </c>
      <c r="D160" s="215">
        <v>0</v>
      </c>
      <c r="E160" s="215">
        <v>0</v>
      </c>
      <c r="F160" s="215">
        <v>0</v>
      </c>
      <c r="G160" s="215">
        <v>0</v>
      </c>
      <c r="H160" s="215">
        <v>0</v>
      </c>
      <c r="I160" s="215">
        <v>0</v>
      </c>
      <c r="J160" s="215">
        <v>0</v>
      </c>
      <c r="K160" s="215">
        <v>126.73</v>
      </c>
      <c r="L160" s="215">
        <v>0</v>
      </c>
      <c r="M160" s="215">
        <v>0</v>
      </c>
      <c r="N160" s="215">
        <v>0</v>
      </c>
      <c r="O160" s="215">
        <v>126.73</v>
      </c>
      <c r="Q160" s="215">
        <f t="shared" si="10"/>
        <v>0</v>
      </c>
      <c r="R160" s="215">
        <f t="shared" si="11"/>
        <v>0</v>
      </c>
      <c r="S160" s="215">
        <f t="shared" si="12"/>
        <v>0</v>
      </c>
      <c r="T160" s="215">
        <f t="shared" si="13"/>
        <v>253.46</v>
      </c>
      <c r="U160" s="215">
        <f t="shared" si="14"/>
        <v>126.73</v>
      </c>
    </row>
    <row r="161" spans="1:21" ht="15.5" x14ac:dyDescent="0.35">
      <c r="B161" s="214" t="s">
        <v>677</v>
      </c>
      <c r="C161" s="215">
        <v>1200</v>
      </c>
      <c r="D161" s="215">
        <v>0</v>
      </c>
      <c r="E161" s="215">
        <v>0</v>
      </c>
      <c r="F161" s="215">
        <v>0</v>
      </c>
      <c r="G161" s="215">
        <v>0</v>
      </c>
      <c r="H161" s="215">
        <v>0</v>
      </c>
      <c r="I161" s="215">
        <v>0</v>
      </c>
      <c r="J161" s="215">
        <v>0</v>
      </c>
      <c r="K161" s="215">
        <v>0</v>
      </c>
      <c r="L161" s="215">
        <v>0</v>
      </c>
      <c r="M161" s="215">
        <v>2150</v>
      </c>
      <c r="N161" s="215">
        <v>0</v>
      </c>
      <c r="O161" s="215">
        <v>3350</v>
      </c>
      <c r="Q161" s="215">
        <f t="shared" si="10"/>
        <v>0</v>
      </c>
      <c r="R161" s="215">
        <f t="shared" si="11"/>
        <v>12900</v>
      </c>
      <c r="S161" s="215">
        <f t="shared" si="12"/>
        <v>8600</v>
      </c>
      <c r="T161" s="215">
        <f t="shared" si="13"/>
        <v>4300</v>
      </c>
      <c r="U161" s="215">
        <f t="shared" si="14"/>
        <v>3350</v>
      </c>
    </row>
    <row r="162" spans="1:21" ht="15.5" x14ac:dyDescent="0.35">
      <c r="B162" s="214" t="s">
        <v>678</v>
      </c>
      <c r="C162" s="215">
        <v>0</v>
      </c>
      <c r="D162" s="215">
        <v>0</v>
      </c>
      <c r="E162" s="215">
        <v>0</v>
      </c>
      <c r="F162" s="215">
        <v>0</v>
      </c>
      <c r="G162" s="215">
        <v>0</v>
      </c>
      <c r="H162" s="215">
        <v>0</v>
      </c>
      <c r="I162" s="215">
        <v>0</v>
      </c>
      <c r="J162" s="215">
        <v>0</v>
      </c>
      <c r="K162" s="215">
        <v>67.849999999999994</v>
      </c>
      <c r="L162" s="215">
        <v>14.75</v>
      </c>
      <c r="M162" s="215">
        <v>11.8</v>
      </c>
      <c r="N162" s="215">
        <v>11.8</v>
      </c>
      <c r="O162" s="215">
        <v>106.2</v>
      </c>
      <c r="Q162" s="215">
        <f t="shared" si="10"/>
        <v>141.60000000000002</v>
      </c>
      <c r="R162" s="215">
        <f t="shared" si="11"/>
        <v>141.60000000000002</v>
      </c>
      <c r="S162" s="215">
        <f t="shared" si="12"/>
        <v>153.4</v>
      </c>
      <c r="T162" s="215">
        <f t="shared" si="13"/>
        <v>212.39999999999998</v>
      </c>
      <c r="U162" s="215">
        <f t="shared" si="14"/>
        <v>106.19999999999999</v>
      </c>
    </row>
    <row r="163" spans="1:21" ht="15.5" x14ac:dyDescent="0.35">
      <c r="B163" s="214" t="s">
        <v>679</v>
      </c>
      <c r="C163" s="215">
        <v>0</v>
      </c>
      <c r="D163" s="215">
        <v>0</v>
      </c>
      <c r="E163" s="215">
        <v>0</v>
      </c>
      <c r="F163" s="215">
        <v>0</v>
      </c>
      <c r="G163" s="215">
        <v>0</v>
      </c>
      <c r="H163" s="215">
        <v>0</v>
      </c>
      <c r="I163" s="215">
        <v>0</v>
      </c>
      <c r="J163" s="215">
        <v>0</v>
      </c>
      <c r="K163" s="215">
        <v>235.4</v>
      </c>
      <c r="L163" s="215">
        <v>51.24</v>
      </c>
      <c r="M163" s="215">
        <v>36.72</v>
      </c>
      <c r="N163" s="215">
        <v>36.72</v>
      </c>
      <c r="O163" s="215">
        <v>360.08</v>
      </c>
      <c r="Q163" s="215">
        <f t="shared" si="10"/>
        <v>440.64</v>
      </c>
      <c r="R163" s="215">
        <f t="shared" si="11"/>
        <v>440.64</v>
      </c>
      <c r="S163" s="215">
        <f t="shared" si="12"/>
        <v>498.72</v>
      </c>
      <c r="T163" s="215">
        <f t="shared" si="13"/>
        <v>720.16000000000008</v>
      </c>
      <c r="U163" s="215">
        <f t="shared" si="14"/>
        <v>360.08000000000004</v>
      </c>
    </row>
    <row r="164" spans="1:21" ht="15.5" x14ac:dyDescent="0.35">
      <c r="B164" s="214" t="s">
        <v>680</v>
      </c>
      <c r="C164" s="215">
        <v>0</v>
      </c>
      <c r="D164" s="215">
        <v>0</v>
      </c>
      <c r="E164" s="215">
        <v>0</v>
      </c>
      <c r="F164" s="215">
        <v>0</v>
      </c>
      <c r="G164" s="215">
        <v>0</v>
      </c>
      <c r="H164" s="215">
        <v>0</v>
      </c>
      <c r="I164" s="215">
        <v>0</v>
      </c>
      <c r="J164" s="215">
        <v>0</v>
      </c>
      <c r="K164" s="215">
        <v>1150</v>
      </c>
      <c r="L164" s="215">
        <v>1325</v>
      </c>
      <c r="M164" s="215">
        <v>725</v>
      </c>
      <c r="N164" s="215">
        <v>125</v>
      </c>
      <c r="O164" s="215">
        <v>3325</v>
      </c>
      <c r="Q164" s="215">
        <f t="shared" si="10"/>
        <v>1500</v>
      </c>
      <c r="R164" s="215">
        <f t="shared" si="11"/>
        <v>5100</v>
      </c>
      <c r="S164" s="215">
        <f t="shared" si="12"/>
        <v>8700</v>
      </c>
      <c r="T164" s="215">
        <f t="shared" si="13"/>
        <v>6650</v>
      </c>
      <c r="U164" s="215">
        <f t="shared" si="14"/>
        <v>3325</v>
      </c>
    </row>
    <row r="165" spans="1:21" ht="15.5" x14ac:dyDescent="0.35">
      <c r="A165" s="210"/>
      <c r="B165" s="214" t="s">
        <v>681</v>
      </c>
      <c r="C165" s="215">
        <v>0</v>
      </c>
      <c r="D165" s="215">
        <v>0</v>
      </c>
      <c r="E165" s="215">
        <v>0</v>
      </c>
      <c r="F165" s="215">
        <v>0</v>
      </c>
      <c r="G165" s="215">
        <v>0</v>
      </c>
      <c r="H165" s="215">
        <v>0</v>
      </c>
      <c r="I165" s="215">
        <v>0</v>
      </c>
      <c r="J165" s="215">
        <v>0</v>
      </c>
      <c r="K165" s="215">
        <v>700</v>
      </c>
      <c r="L165" s="215">
        <v>1050</v>
      </c>
      <c r="M165" s="215">
        <v>1050</v>
      </c>
      <c r="N165" s="215">
        <v>1050</v>
      </c>
      <c r="O165" s="215">
        <v>3850</v>
      </c>
      <c r="Q165" s="215">
        <f t="shared" si="10"/>
        <v>12600</v>
      </c>
      <c r="R165" s="215">
        <f t="shared" si="11"/>
        <v>12600</v>
      </c>
      <c r="S165" s="215">
        <f t="shared" si="12"/>
        <v>12600</v>
      </c>
      <c r="T165" s="215">
        <f t="shared" si="13"/>
        <v>7700</v>
      </c>
      <c r="U165" s="215">
        <f t="shared" si="14"/>
        <v>3850</v>
      </c>
    </row>
    <row r="166" spans="1:21" ht="15.5" x14ac:dyDescent="0.35">
      <c r="A166" s="21">
        <v>8</v>
      </c>
      <c r="B166" s="212" t="s">
        <v>682</v>
      </c>
      <c r="C166" s="216">
        <v>1200</v>
      </c>
      <c r="D166" s="216">
        <v>0</v>
      </c>
      <c r="E166" s="216">
        <v>0</v>
      </c>
      <c r="F166" s="216">
        <v>0</v>
      </c>
      <c r="G166" s="216">
        <v>0</v>
      </c>
      <c r="H166" s="216">
        <v>2303.0500000000002</v>
      </c>
      <c r="I166" s="216">
        <v>14595.66</v>
      </c>
      <c r="J166" s="216">
        <v>20007.3</v>
      </c>
      <c r="K166" s="216">
        <v>18746.52</v>
      </c>
      <c r="L166" s="216">
        <v>12406.7</v>
      </c>
      <c r="M166" s="216">
        <v>15143.6</v>
      </c>
      <c r="N166" s="216">
        <v>12182.34</v>
      </c>
      <c r="O166" s="216">
        <v>96585.17</v>
      </c>
      <c r="Q166" s="216">
        <f t="shared" si="10"/>
        <v>146188.08000000002</v>
      </c>
      <c r="R166" s="216">
        <f t="shared" si="11"/>
        <v>163955.64000000001</v>
      </c>
      <c r="S166" s="216">
        <f t="shared" si="12"/>
        <v>158930.56</v>
      </c>
      <c r="T166" s="216">
        <f t="shared" si="13"/>
        <v>186164.24</v>
      </c>
      <c r="U166" s="216">
        <f t="shared" si="14"/>
        <v>96585.17</v>
      </c>
    </row>
    <row r="167" spans="1:21" ht="15.5" x14ac:dyDescent="0.35">
      <c r="B167" s="212" t="s">
        <v>683</v>
      </c>
      <c r="C167" s="216">
        <v>87404.17</v>
      </c>
      <c r="D167" s="216">
        <v>62676.07</v>
      </c>
      <c r="E167" s="216">
        <v>66927.850000000006</v>
      </c>
      <c r="F167" s="216">
        <v>70729.86</v>
      </c>
      <c r="G167" s="216">
        <v>72398.509999999995</v>
      </c>
      <c r="H167" s="216">
        <v>90226.559999999998</v>
      </c>
      <c r="I167" s="216">
        <v>73852.28</v>
      </c>
      <c r="J167" s="216">
        <v>79175</v>
      </c>
      <c r="K167" s="216">
        <v>88704.36</v>
      </c>
      <c r="L167" s="216">
        <v>85022.59</v>
      </c>
      <c r="M167" s="216">
        <v>81328.990000000005</v>
      </c>
      <c r="N167" s="216">
        <v>72391.94</v>
      </c>
      <c r="O167" s="216">
        <v>930838.18</v>
      </c>
      <c r="Q167" s="216">
        <f t="shared" si="10"/>
        <v>868703.28</v>
      </c>
      <c r="R167" s="216">
        <f t="shared" si="11"/>
        <v>922325.58</v>
      </c>
      <c r="S167" s="216">
        <f t="shared" si="12"/>
        <v>954974.08000000007</v>
      </c>
      <c r="T167" s="216">
        <f t="shared" si="13"/>
        <v>960950.32</v>
      </c>
      <c r="U167" s="216">
        <f t="shared" si="14"/>
        <v>930838.17999999993</v>
      </c>
    </row>
    <row r="168" spans="1:21" ht="15.5" x14ac:dyDescent="0.35">
      <c r="B168" s="214"/>
      <c r="C168" s="215"/>
      <c r="D168" s="215"/>
      <c r="E168" s="215"/>
      <c r="F168" s="215"/>
      <c r="G168" s="215"/>
      <c r="H168" s="215"/>
      <c r="I168" s="215"/>
      <c r="J168" s="215"/>
      <c r="K168" s="215"/>
      <c r="L168" s="215"/>
      <c r="M168" s="215"/>
      <c r="N168" s="215"/>
      <c r="O168" s="215"/>
      <c r="Q168" s="215">
        <f t="shared" si="10"/>
        <v>0</v>
      </c>
      <c r="R168" s="215">
        <f t="shared" si="11"/>
        <v>0</v>
      </c>
      <c r="S168" s="215">
        <f t="shared" si="12"/>
        <v>0</v>
      </c>
      <c r="T168" s="215">
        <f t="shared" si="13"/>
        <v>0</v>
      </c>
      <c r="U168" s="215">
        <f t="shared" si="14"/>
        <v>0</v>
      </c>
    </row>
    <row r="169" spans="1:21" ht="15.5" x14ac:dyDescent="0.35">
      <c r="B169" s="212" t="s">
        <v>684</v>
      </c>
      <c r="C169" s="213">
        <v>37257.99</v>
      </c>
      <c r="D169" s="213">
        <v>45312.68</v>
      </c>
      <c r="E169" s="213">
        <v>61587.85</v>
      </c>
      <c r="F169" s="213">
        <v>45931.4</v>
      </c>
      <c r="G169" s="213">
        <v>43387.88</v>
      </c>
      <c r="H169" s="213">
        <v>38452.879999999997</v>
      </c>
      <c r="I169" s="213">
        <v>49381.54</v>
      </c>
      <c r="J169" s="213">
        <v>40796.92</v>
      </c>
      <c r="K169" s="213">
        <v>26112.37</v>
      </c>
      <c r="L169" s="213">
        <v>13638.14</v>
      </c>
      <c r="M169" s="213">
        <v>35640.51</v>
      </c>
      <c r="N169" s="213">
        <v>66107.789999999994</v>
      </c>
      <c r="O169" s="213">
        <v>503607.95</v>
      </c>
      <c r="Q169" s="213">
        <f t="shared" si="10"/>
        <v>793293.48</v>
      </c>
      <c r="R169" s="213">
        <f t="shared" si="11"/>
        <v>610489.79999999993</v>
      </c>
      <c r="S169" s="213">
        <f t="shared" si="12"/>
        <v>461545.76</v>
      </c>
      <c r="T169" s="213">
        <f t="shared" si="13"/>
        <v>463354.53999999992</v>
      </c>
      <c r="U169" s="213">
        <f t="shared" si="14"/>
        <v>503607.94999999995</v>
      </c>
    </row>
    <row r="170" spans="1:21" ht="15.5" x14ac:dyDescent="0.35">
      <c r="B170" s="214"/>
      <c r="C170" s="215"/>
      <c r="D170" s="215"/>
      <c r="E170" s="215"/>
      <c r="F170" s="215"/>
      <c r="G170" s="215"/>
      <c r="H170" s="215"/>
      <c r="I170" s="215"/>
      <c r="J170" s="215"/>
      <c r="K170" s="215"/>
      <c r="L170" s="215"/>
      <c r="M170" s="215"/>
      <c r="N170" s="215"/>
      <c r="O170" s="215"/>
      <c r="Q170" s="215">
        <f t="shared" si="10"/>
        <v>0</v>
      </c>
      <c r="R170" s="215">
        <f t="shared" si="11"/>
        <v>0</v>
      </c>
      <c r="S170" s="215">
        <f t="shared" si="12"/>
        <v>0</v>
      </c>
      <c r="T170" s="215">
        <f t="shared" si="13"/>
        <v>0</v>
      </c>
      <c r="U170" s="215">
        <f t="shared" si="14"/>
        <v>0</v>
      </c>
    </row>
    <row r="171" spans="1:21" ht="15.5" x14ac:dyDescent="0.35">
      <c r="B171" s="212" t="s">
        <v>685</v>
      </c>
      <c r="C171" s="213"/>
      <c r="D171" s="213"/>
      <c r="E171" s="213"/>
      <c r="F171" s="213"/>
      <c r="G171" s="213"/>
      <c r="H171" s="213"/>
      <c r="I171" s="213"/>
      <c r="J171" s="213"/>
      <c r="K171" s="213"/>
      <c r="L171" s="213"/>
      <c r="M171" s="213"/>
      <c r="N171" s="213"/>
      <c r="O171" s="213"/>
      <c r="Q171" s="213">
        <f t="shared" si="10"/>
        <v>0</v>
      </c>
      <c r="R171" s="213">
        <f t="shared" si="11"/>
        <v>0</v>
      </c>
      <c r="S171" s="213">
        <f t="shared" si="12"/>
        <v>0</v>
      </c>
      <c r="T171" s="213">
        <f t="shared" si="13"/>
        <v>0</v>
      </c>
      <c r="U171" s="213">
        <f t="shared" si="14"/>
        <v>0</v>
      </c>
    </row>
    <row r="172" spans="1:21" ht="15.5" x14ac:dyDescent="0.35">
      <c r="B172" s="212" t="s">
        <v>686</v>
      </c>
      <c r="C172" s="213"/>
      <c r="D172" s="213"/>
      <c r="E172" s="213"/>
      <c r="F172" s="213"/>
      <c r="G172" s="213"/>
      <c r="H172" s="213"/>
      <c r="I172" s="213"/>
      <c r="J172" s="213"/>
      <c r="K172" s="213"/>
      <c r="L172" s="213"/>
      <c r="M172" s="213"/>
      <c r="N172" s="213"/>
      <c r="O172" s="213"/>
      <c r="Q172" s="213">
        <f t="shared" si="10"/>
        <v>0</v>
      </c>
      <c r="R172" s="213">
        <f t="shared" si="11"/>
        <v>0</v>
      </c>
      <c r="S172" s="213">
        <f t="shared" si="12"/>
        <v>0</v>
      </c>
      <c r="T172" s="213">
        <f t="shared" si="13"/>
        <v>0</v>
      </c>
      <c r="U172" s="213">
        <f t="shared" si="14"/>
        <v>0</v>
      </c>
    </row>
    <row r="173" spans="1:21" ht="15.5" x14ac:dyDescent="0.35">
      <c r="B173" s="214" t="s">
        <v>687</v>
      </c>
      <c r="C173" s="215">
        <v>0</v>
      </c>
      <c r="D173" s="215">
        <v>156.44</v>
      </c>
      <c r="E173" s="215">
        <v>134.01</v>
      </c>
      <c r="F173" s="215">
        <v>100.61</v>
      </c>
      <c r="G173" s="215">
        <v>88.5</v>
      </c>
      <c r="H173" s="215">
        <v>83.12</v>
      </c>
      <c r="I173" s="215">
        <v>85.88</v>
      </c>
      <c r="J173" s="215">
        <v>79.13</v>
      </c>
      <c r="K173" s="215">
        <v>81.680000000000007</v>
      </c>
      <c r="L173" s="215">
        <v>0</v>
      </c>
      <c r="M173" s="215">
        <v>0</v>
      </c>
      <c r="N173" s="215">
        <v>0</v>
      </c>
      <c r="O173" s="215">
        <v>809.37</v>
      </c>
      <c r="Q173" s="215">
        <f t="shared" si="10"/>
        <v>0</v>
      </c>
      <c r="R173" s="215">
        <f t="shared" si="11"/>
        <v>0</v>
      </c>
      <c r="S173" s="215">
        <f t="shared" si="12"/>
        <v>0</v>
      </c>
      <c r="T173" s="215">
        <f t="shared" si="13"/>
        <v>493.38</v>
      </c>
      <c r="U173" s="215">
        <f t="shared" si="14"/>
        <v>809.37000000000012</v>
      </c>
    </row>
    <row r="174" spans="1:21" ht="15.5" x14ac:dyDescent="0.35">
      <c r="B174" s="212" t="s">
        <v>688</v>
      </c>
      <c r="C174" s="216">
        <v>0</v>
      </c>
      <c r="D174" s="216">
        <v>156.44</v>
      </c>
      <c r="E174" s="216">
        <v>134.01</v>
      </c>
      <c r="F174" s="216">
        <v>100.61</v>
      </c>
      <c r="G174" s="216">
        <v>88.5</v>
      </c>
      <c r="H174" s="216">
        <v>83.12</v>
      </c>
      <c r="I174" s="216">
        <v>85.88</v>
      </c>
      <c r="J174" s="216">
        <v>79.13</v>
      </c>
      <c r="K174" s="216">
        <v>81.680000000000007</v>
      </c>
      <c r="L174" s="216">
        <v>0</v>
      </c>
      <c r="M174" s="216">
        <v>0</v>
      </c>
      <c r="N174" s="216">
        <v>0</v>
      </c>
      <c r="O174" s="216">
        <v>809.37</v>
      </c>
      <c r="Q174" s="216">
        <f t="shared" si="10"/>
        <v>0</v>
      </c>
      <c r="R174" s="216">
        <f t="shared" si="11"/>
        <v>0</v>
      </c>
      <c r="S174" s="216">
        <f t="shared" si="12"/>
        <v>0</v>
      </c>
      <c r="T174" s="216">
        <f t="shared" si="13"/>
        <v>493.38</v>
      </c>
      <c r="U174" s="216">
        <f t="shared" si="14"/>
        <v>809.37000000000012</v>
      </c>
    </row>
    <row r="175" spans="1:21" ht="15.5" x14ac:dyDescent="0.35">
      <c r="B175" s="212" t="s">
        <v>689</v>
      </c>
      <c r="C175" s="213"/>
      <c r="D175" s="213"/>
      <c r="E175" s="213"/>
      <c r="F175" s="213"/>
      <c r="G175" s="213"/>
      <c r="H175" s="213"/>
      <c r="I175" s="213"/>
      <c r="J175" s="213"/>
      <c r="K175" s="213"/>
      <c r="L175" s="213"/>
      <c r="M175" s="213"/>
      <c r="N175" s="213"/>
      <c r="O175" s="213"/>
      <c r="Q175" s="213">
        <f t="shared" si="10"/>
        <v>0</v>
      </c>
      <c r="R175" s="213">
        <f t="shared" si="11"/>
        <v>0</v>
      </c>
      <c r="S175" s="213">
        <f t="shared" si="12"/>
        <v>0</v>
      </c>
      <c r="T175" s="213">
        <f t="shared" si="13"/>
        <v>0</v>
      </c>
      <c r="U175" s="213">
        <f t="shared" si="14"/>
        <v>0</v>
      </c>
    </row>
    <row r="176" spans="1:21" ht="15.5" x14ac:dyDescent="0.35">
      <c r="B176" s="214" t="s">
        <v>690</v>
      </c>
      <c r="C176" s="215">
        <v>71846.710000000006</v>
      </c>
      <c r="D176" s="215">
        <v>74080.490000000005</v>
      </c>
      <c r="E176" s="215">
        <v>74241.600000000006</v>
      </c>
      <c r="F176" s="215">
        <v>69923.759999999995</v>
      </c>
      <c r="G176" s="215">
        <v>73676.600000000006</v>
      </c>
      <c r="H176" s="215">
        <v>78964.38</v>
      </c>
      <c r="I176" s="215">
        <v>78964.38</v>
      </c>
      <c r="J176" s="215">
        <v>76251.05</v>
      </c>
      <c r="K176" s="215">
        <v>79710.320000000007</v>
      </c>
      <c r="L176" s="215">
        <v>79439.22</v>
      </c>
      <c r="M176" s="215">
        <v>76876.67</v>
      </c>
      <c r="N176" s="215">
        <v>79439.22</v>
      </c>
      <c r="O176" s="215">
        <v>913414.4</v>
      </c>
      <c r="Q176" s="215">
        <f t="shared" si="10"/>
        <v>953270.64</v>
      </c>
      <c r="R176" s="215">
        <f t="shared" si="11"/>
        <v>937895.34000000008</v>
      </c>
      <c r="S176" s="215">
        <f t="shared" si="12"/>
        <v>943020.44000000006</v>
      </c>
      <c r="T176" s="215">
        <f t="shared" si="13"/>
        <v>941361.72</v>
      </c>
      <c r="U176" s="215">
        <f t="shared" si="14"/>
        <v>913414.4</v>
      </c>
    </row>
    <row r="177" spans="2:21" ht="15.5" x14ac:dyDescent="0.35">
      <c r="B177" s="214" t="s">
        <v>691</v>
      </c>
      <c r="C177" s="215">
        <v>0</v>
      </c>
      <c r="D177" s="215">
        <v>1700</v>
      </c>
      <c r="E177" s="215">
        <v>0</v>
      </c>
      <c r="F177" s="215">
        <v>0</v>
      </c>
      <c r="G177" s="215">
        <v>0</v>
      </c>
      <c r="H177" s="215">
        <v>1700</v>
      </c>
      <c r="I177" s="215">
        <v>1700</v>
      </c>
      <c r="J177" s="215">
        <v>0</v>
      </c>
      <c r="K177" s="215">
        <v>0</v>
      </c>
      <c r="L177" s="215">
        <v>0</v>
      </c>
      <c r="M177" s="215">
        <v>0</v>
      </c>
      <c r="N177" s="215">
        <v>0</v>
      </c>
      <c r="O177" s="215">
        <v>5100</v>
      </c>
      <c r="Q177" s="215">
        <f t="shared" si="10"/>
        <v>0</v>
      </c>
      <c r="R177" s="215">
        <f t="shared" si="11"/>
        <v>0</v>
      </c>
      <c r="S177" s="215">
        <f t="shared" si="12"/>
        <v>0</v>
      </c>
      <c r="T177" s="215">
        <f t="shared" si="13"/>
        <v>3400</v>
      </c>
      <c r="U177" s="215">
        <f t="shared" si="14"/>
        <v>5100</v>
      </c>
    </row>
    <row r="178" spans="2:21" ht="15.5" x14ac:dyDescent="0.35">
      <c r="B178" s="212" t="s">
        <v>692</v>
      </c>
      <c r="C178" s="213"/>
      <c r="D178" s="213"/>
      <c r="E178" s="213"/>
      <c r="F178" s="213"/>
      <c r="G178" s="213"/>
      <c r="H178" s="213"/>
      <c r="I178" s="213"/>
      <c r="J178" s="213"/>
      <c r="K178" s="213"/>
      <c r="L178" s="213"/>
      <c r="M178" s="213"/>
      <c r="N178" s="213"/>
      <c r="O178" s="213"/>
      <c r="Q178" s="213">
        <f t="shared" si="10"/>
        <v>0</v>
      </c>
      <c r="R178" s="213">
        <f t="shared" si="11"/>
        <v>0</v>
      </c>
      <c r="S178" s="213">
        <f t="shared" si="12"/>
        <v>0</v>
      </c>
      <c r="T178" s="213">
        <f t="shared" si="13"/>
        <v>0</v>
      </c>
      <c r="U178" s="213">
        <f t="shared" si="14"/>
        <v>0</v>
      </c>
    </row>
    <row r="179" spans="2:21" ht="15.5" x14ac:dyDescent="0.35">
      <c r="B179" s="214" t="s">
        <v>693</v>
      </c>
      <c r="C179" s="215">
        <v>0</v>
      </c>
      <c r="D179" s="215">
        <v>0</v>
      </c>
      <c r="E179" s="215">
        <v>0</v>
      </c>
      <c r="F179" s="215">
        <v>0</v>
      </c>
      <c r="G179" s="215">
        <v>0</v>
      </c>
      <c r="H179" s="215">
        <v>121.25</v>
      </c>
      <c r="I179" s="215">
        <v>0</v>
      </c>
      <c r="J179" s="215">
        <v>0</v>
      </c>
      <c r="K179" s="215">
        <v>0</v>
      </c>
      <c r="L179" s="215">
        <v>0</v>
      </c>
      <c r="M179" s="215">
        <v>0</v>
      </c>
      <c r="N179" s="215">
        <v>0</v>
      </c>
      <c r="O179" s="215">
        <v>121.25</v>
      </c>
      <c r="Q179" s="215">
        <f t="shared" si="10"/>
        <v>0</v>
      </c>
      <c r="R179" s="215">
        <f t="shared" si="11"/>
        <v>0</v>
      </c>
      <c r="S179" s="215">
        <f t="shared" si="12"/>
        <v>0</v>
      </c>
      <c r="T179" s="215">
        <f t="shared" si="13"/>
        <v>0</v>
      </c>
      <c r="U179" s="215">
        <f t="shared" si="14"/>
        <v>121.25</v>
      </c>
    </row>
    <row r="180" spans="2:21" ht="15.5" x14ac:dyDescent="0.35">
      <c r="B180" s="212" t="s">
        <v>694</v>
      </c>
      <c r="C180" s="216">
        <v>0</v>
      </c>
      <c r="D180" s="216">
        <v>0</v>
      </c>
      <c r="E180" s="216">
        <v>0</v>
      </c>
      <c r="F180" s="216">
        <v>0</v>
      </c>
      <c r="G180" s="216">
        <v>0</v>
      </c>
      <c r="H180" s="216">
        <v>121.25</v>
      </c>
      <c r="I180" s="216">
        <v>0</v>
      </c>
      <c r="J180" s="216">
        <v>0</v>
      </c>
      <c r="K180" s="216">
        <v>0</v>
      </c>
      <c r="L180" s="216">
        <v>0</v>
      </c>
      <c r="M180" s="216">
        <v>0</v>
      </c>
      <c r="N180" s="216">
        <v>0</v>
      </c>
      <c r="O180" s="216">
        <v>121.25</v>
      </c>
      <c r="Q180" s="216">
        <f t="shared" si="10"/>
        <v>0</v>
      </c>
      <c r="R180" s="216">
        <f t="shared" si="11"/>
        <v>0</v>
      </c>
      <c r="S180" s="216">
        <f t="shared" si="12"/>
        <v>0</v>
      </c>
      <c r="T180" s="216">
        <f t="shared" si="13"/>
        <v>0</v>
      </c>
      <c r="U180" s="216">
        <f t="shared" si="14"/>
        <v>121.25</v>
      </c>
    </row>
    <row r="181" spans="2:21" ht="15.5" x14ac:dyDescent="0.35">
      <c r="B181" s="212" t="s">
        <v>695</v>
      </c>
      <c r="C181" s="213"/>
      <c r="D181" s="213"/>
      <c r="E181" s="213"/>
      <c r="F181" s="213"/>
      <c r="G181" s="213"/>
      <c r="H181" s="213"/>
      <c r="I181" s="213"/>
      <c r="J181" s="213"/>
      <c r="K181" s="213"/>
      <c r="L181" s="213"/>
      <c r="M181" s="213"/>
      <c r="N181" s="213"/>
      <c r="O181" s="213"/>
      <c r="Q181" s="213">
        <f t="shared" si="10"/>
        <v>0</v>
      </c>
      <c r="R181" s="213">
        <f t="shared" si="11"/>
        <v>0</v>
      </c>
      <c r="S181" s="213">
        <f t="shared" si="12"/>
        <v>0</v>
      </c>
      <c r="T181" s="213">
        <f t="shared" si="13"/>
        <v>0</v>
      </c>
      <c r="U181" s="213">
        <f t="shared" si="14"/>
        <v>0</v>
      </c>
    </row>
    <row r="182" spans="2:21" ht="15.5" x14ac:dyDescent="0.35">
      <c r="B182" s="214" t="s">
        <v>1021</v>
      </c>
      <c r="C182" s="215">
        <v>0</v>
      </c>
      <c r="D182" s="215">
        <v>0</v>
      </c>
      <c r="E182" s="215">
        <v>0</v>
      </c>
      <c r="F182" s="215">
        <v>0</v>
      </c>
      <c r="G182" s="215">
        <v>0</v>
      </c>
      <c r="H182" s="215">
        <v>0</v>
      </c>
      <c r="I182" s="215">
        <v>0</v>
      </c>
      <c r="J182" s="215">
        <v>0</v>
      </c>
      <c r="K182" s="215">
        <v>0</v>
      </c>
      <c r="L182" s="215">
        <v>0</v>
      </c>
      <c r="M182" s="215">
        <v>2953.9</v>
      </c>
      <c r="N182" s="215">
        <v>0</v>
      </c>
      <c r="O182" s="215">
        <v>2953.9</v>
      </c>
      <c r="Q182" s="215">
        <f t="shared" si="10"/>
        <v>0</v>
      </c>
      <c r="R182" s="215">
        <f t="shared" si="11"/>
        <v>17723.400000000001</v>
      </c>
      <c r="S182" s="215">
        <f t="shared" si="12"/>
        <v>11815.6</v>
      </c>
      <c r="T182" s="215">
        <f t="shared" si="13"/>
        <v>5907.8</v>
      </c>
      <c r="U182" s="215">
        <f t="shared" si="14"/>
        <v>2953.9</v>
      </c>
    </row>
    <row r="183" spans="2:21" ht="15.5" x14ac:dyDescent="0.35">
      <c r="B183" s="214" t="s">
        <v>696</v>
      </c>
      <c r="C183" s="215">
        <v>3928.92</v>
      </c>
      <c r="D183" s="215">
        <v>3000</v>
      </c>
      <c r="E183" s="215">
        <v>5000</v>
      </c>
      <c r="F183" s="215">
        <v>2370</v>
      </c>
      <c r="G183" s="215">
        <v>3112</v>
      </c>
      <c r="H183" s="215">
        <v>0</v>
      </c>
      <c r="I183" s="215">
        <v>0</v>
      </c>
      <c r="J183" s="215">
        <v>0</v>
      </c>
      <c r="K183" s="215">
        <v>0</v>
      </c>
      <c r="L183" s="215">
        <v>0</v>
      </c>
      <c r="M183" s="215">
        <v>0</v>
      </c>
      <c r="N183" s="215">
        <v>0</v>
      </c>
      <c r="O183" s="215">
        <v>17410.919999999998</v>
      </c>
      <c r="Q183" s="215">
        <f t="shared" si="10"/>
        <v>0</v>
      </c>
      <c r="R183" s="215">
        <f t="shared" si="11"/>
        <v>0</v>
      </c>
      <c r="S183" s="215">
        <f t="shared" si="12"/>
        <v>0</v>
      </c>
      <c r="T183" s="215">
        <f t="shared" si="13"/>
        <v>0</v>
      </c>
      <c r="U183" s="215">
        <f t="shared" si="14"/>
        <v>17410.919999999998</v>
      </c>
    </row>
    <row r="184" spans="2:21" ht="15.5" x14ac:dyDescent="0.35">
      <c r="B184" s="214" t="s">
        <v>697</v>
      </c>
      <c r="C184" s="215">
        <v>0</v>
      </c>
      <c r="D184" s="215">
        <v>16300.37</v>
      </c>
      <c r="E184" s="215">
        <v>0</v>
      </c>
      <c r="F184" s="215">
        <v>4733.58</v>
      </c>
      <c r="G184" s="215">
        <v>0</v>
      </c>
      <c r="H184" s="215">
        <v>7067.51</v>
      </c>
      <c r="I184" s="215">
        <v>0</v>
      </c>
      <c r="J184" s="215">
        <v>0</v>
      </c>
      <c r="K184" s="215">
        <v>0</v>
      </c>
      <c r="L184" s="215">
        <v>0</v>
      </c>
      <c r="M184" s="215">
        <v>0</v>
      </c>
      <c r="N184" s="215">
        <v>0</v>
      </c>
      <c r="O184" s="215">
        <v>28101.46</v>
      </c>
      <c r="Q184" s="215">
        <f t="shared" si="10"/>
        <v>0</v>
      </c>
      <c r="R184" s="215">
        <f t="shared" si="11"/>
        <v>0</v>
      </c>
      <c r="S184" s="215">
        <f t="shared" si="12"/>
        <v>0</v>
      </c>
      <c r="T184" s="215">
        <f t="shared" si="13"/>
        <v>0</v>
      </c>
      <c r="U184" s="215">
        <f t="shared" si="14"/>
        <v>28101.46</v>
      </c>
    </row>
    <row r="185" spans="2:21" ht="15.5" x14ac:dyDescent="0.35">
      <c r="B185" s="214" t="s">
        <v>698</v>
      </c>
      <c r="C185" s="215">
        <v>14307</v>
      </c>
      <c r="D185" s="215">
        <v>0</v>
      </c>
      <c r="E185" s="215">
        <v>0</v>
      </c>
      <c r="F185" s="215">
        <v>16221.38</v>
      </c>
      <c r="G185" s="215">
        <v>0</v>
      </c>
      <c r="H185" s="215">
        <v>5874</v>
      </c>
      <c r="I185" s="215">
        <v>0</v>
      </c>
      <c r="J185" s="215">
        <v>0</v>
      </c>
      <c r="K185" s="215">
        <v>0</v>
      </c>
      <c r="L185" s="215">
        <v>0</v>
      </c>
      <c r="M185" s="215">
        <v>0</v>
      </c>
      <c r="N185" s="215">
        <v>0</v>
      </c>
      <c r="O185" s="215">
        <v>36402.379999999997</v>
      </c>
      <c r="Q185" s="215">
        <f t="shared" si="10"/>
        <v>0</v>
      </c>
      <c r="R185" s="215">
        <f t="shared" si="11"/>
        <v>0</v>
      </c>
      <c r="S185" s="215">
        <f t="shared" si="12"/>
        <v>0</v>
      </c>
      <c r="T185" s="215">
        <f t="shared" si="13"/>
        <v>0</v>
      </c>
      <c r="U185" s="215">
        <f t="shared" si="14"/>
        <v>36402.379999999997</v>
      </c>
    </row>
    <row r="186" spans="2:21" ht="15.5" x14ac:dyDescent="0.35">
      <c r="B186" s="214" t="s">
        <v>1022</v>
      </c>
      <c r="C186" s="215">
        <v>0</v>
      </c>
      <c r="D186" s="215">
        <v>0</v>
      </c>
      <c r="E186" s="215">
        <v>0</v>
      </c>
      <c r="F186" s="215">
        <v>0</v>
      </c>
      <c r="G186" s="215">
        <v>0</v>
      </c>
      <c r="H186" s="215">
        <v>0</v>
      </c>
      <c r="I186" s="215">
        <v>0</v>
      </c>
      <c r="J186" s="215">
        <v>0</v>
      </c>
      <c r="K186" s="215">
        <v>0</v>
      </c>
      <c r="L186" s="215">
        <v>0</v>
      </c>
      <c r="M186" s="215">
        <v>3596.19</v>
      </c>
      <c r="N186" s="215">
        <v>0</v>
      </c>
      <c r="O186" s="215">
        <v>3596.19</v>
      </c>
      <c r="Q186" s="215">
        <f t="shared" si="10"/>
        <v>0</v>
      </c>
      <c r="R186" s="215">
        <f t="shared" si="11"/>
        <v>21577.14</v>
      </c>
      <c r="S186" s="215">
        <f t="shared" si="12"/>
        <v>14384.76</v>
      </c>
      <c r="T186" s="215">
        <f t="shared" si="13"/>
        <v>7192.38</v>
      </c>
      <c r="U186" s="215">
        <f t="shared" si="14"/>
        <v>3596.19</v>
      </c>
    </row>
    <row r="187" spans="2:21" ht="15.5" x14ac:dyDescent="0.35">
      <c r="B187" s="214" t="s">
        <v>699</v>
      </c>
      <c r="C187" s="215">
        <v>0</v>
      </c>
      <c r="D187" s="215">
        <v>8500</v>
      </c>
      <c r="E187" s="215">
        <v>0</v>
      </c>
      <c r="F187" s="215">
        <v>0</v>
      </c>
      <c r="G187" s="215">
        <v>0</v>
      </c>
      <c r="H187" s="215">
        <v>0</v>
      </c>
      <c r="I187" s="215">
        <v>0</v>
      </c>
      <c r="J187" s="215">
        <v>0</v>
      </c>
      <c r="K187" s="215">
        <v>0</v>
      </c>
      <c r="L187" s="215">
        <v>0</v>
      </c>
      <c r="M187" s="215">
        <v>0</v>
      </c>
      <c r="N187" s="215">
        <v>0</v>
      </c>
      <c r="O187" s="215">
        <v>8500</v>
      </c>
      <c r="Q187" s="215">
        <f t="shared" si="10"/>
        <v>0</v>
      </c>
      <c r="R187" s="215">
        <f t="shared" si="11"/>
        <v>0</v>
      </c>
      <c r="S187" s="215">
        <f t="shared" si="12"/>
        <v>0</v>
      </c>
      <c r="T187" s="215">
        <f t="shared" si="13"/>
        <v>0</v>
      </c>
      <c r="U187" s="215">
        <f t="shared" si="14"/>
        <v>8500</v>
      </c>
    </row>
    <row r="188" spans="2:21" ht="15.5" x14ac:dyDescent="0.35">
      <c r="B188" s="214" t="s">
        <v>700</v>
      </c>
      <c r="C188" s="215">
        <v>1385.71</v>
      </c>
      <c r="D188" s="215">
        <v>1087.1199999999999</v>
      </c>
      <c r="E188" s="215">
        <v>0</v>
      </c>
      <c r="F188" s="215">
        <v>0</v>
      </c>
      <c r="G188" s="215">
        <v>0</v>
      </c>
      <c r="H188" s="215">
        <v>4405</v>
      </c>
      <c r="I188" s="215">
        <v>0</v>
      </c>
      <c r="J188" s="215">
        <v>0</v>
      </c>
      <c r="K188" s="215">
        <v>0</v>
      </c>
      <c r="L188" s="215">
        <v>0</v>
      </c>
      <c r="M188" s="215">
        <v>0</v>
      </c>
      <c r="N188" s="215">
        <v>0</v>
      </c>
      <c r="O188" s="215">
        <v>6877.83</v>
      </c>
      <c r="Q188" s="215">
        <f t="shared" si="10"/>
        <v>0</v>
      </c>
      <c r="R188" s="215">
        <f t="shared" si="11"/>
        <v>0</v>
      </c>
      <c r="S188" s="215">
        <f t="shared" si="12"/>
        <v>0</v>
      </c>
      <c r="T188" s="215">
        <f t="shared" si="13"/>
        <v>0</v>
      </c>
      <c r="U188" s="215">
        <f t="shared" si="14"/>
        <v>6877.83</v>
      </c>
    </row>
    <row r="189" spans="2:21" ht="15.5" x14ac:dyDescent="0.35">
      <c r="B189" s="214" t="s">
        <v>702</v>
      </c>
      <c r="C189" s="215">
        <v>0</v>
      </c>
      <c r="D189" s="215">
        <v>0</v>
      </c>
      <c r="E189" s="215">
        <v>0</v>
      </c>
      <c r="F189" s="215">
        <v>408.02</v>
      </c>
      <c r="G189" s="215">
        <v>90</v>
      </c>
      <c r="H189" s="215">
        <v>0</v>
      </c>
      <c r="I189" s="215">
        <v>0</v>
      </c>
      <c r="J189" s="215">
        <v>0</v>
      </c>
      <c r="K189" s="215">
        <v>0</v>
      </c>
      <c r="L189" s="215">
        <v>0</v>
      </c>
      <c r="M189" s="215">
        <v>0</v>
      </c>
      <c r="N189" s="215">
        <v>0</v>
      </c>
      <c r="O189" s="215">
        <v>498.02</v>
      </c>
      <c r="Q189" s="215">
        <f t="shared" si="10"/>
        <v>0</v>
      </c>
      <c r="R189" s="215">
        <f t="shared" si="11"/>
        <v>0</v>
      </c>
      <c r="S189" s="215">
        <f t="shared" si="12"/>
        <v>0</v>
      </c>
      <c r="T189" s="215">
        <f t="shared" si="13"/>
        <v>0</v>
      </c>
      <c r="U189" s="215">
        <f t="shared" si="14"/>
        <v>498.02</v>
      </c>
    </row>
    <row r="190" spans="2:21" ht="15.5" x14ac:dyDescent="0.35">
      <c r="B190" s="214" t="s">
        <v>703</v>
      </c>
      <c r="C190" s="215">
        <v>0</v>
      </c>
      <c r="D190" s="215">
        <v>0</v>
      </c>
      <c r="E190" s="215">
        <v>0</v>
      </c>
      <c r="F190" s="215">
        <v>0</v>
      </c>
      <c r="G190" s="215">
        <v>0</v>
      </c>
      <c r="H190" s="215">
        <v>0</v>
      </c>
      <c r="I190" s="215">
        <v>3645</v>
      </c>
      <c r="J190" s="215">
        <v>0</v>
      </c>
      <c r="K190" s="215">
        <v>0</v>
      </c>
      <c r="L190" s="215">
        <v>0</v>
      </c>
      <c r="M190" s="215">
        <v>0</v>
      </c>
      <c r="N190" s="215">
        <v>0</v>
      </c>
      <c r="O190" s="215">
        <v>3645</v>
      </c>
      <c r="Q190" s="215">
        <f t="shared" si="10"/>
        <v>0</v>
      </c>
      <c r="R190" s="215">
        <f t="shared" si="11"/>
        <v>0</v>
      </c>
      <c r="S190" s="215">
        <f t="shared" si="12"/>
        <v>0</v>
      </c>
      <c r="T190" s="215">
        <f t="shared" si="13"/>
        <v>7290</v>
      </c>
      <c r="U190" s="215">
        <f t="shared" si="14"/>
        <v>3645</v>
      </c>
    </row>
    <row r="191" spans="2:21" ht="15.5" x14ac:dyDescent="0.35">
      <c r="B191" s="214" t="s">
        <v>704</v>
      </c>
      <c r="C191" s="215">
        <v>0</v>
      </c>
      <c r="D191" s="215">
        <v>0</v>
      </c>
      <c r="E191" s="215">
        <v>0</v>
      </c>
      <c r="F191" s="215">
        <v>0</v>
      </c>
      <c r="G191" s="215">
        <v>0</v>
      </c>
      <c r="H191" s="215">
        <v>0</v>
      </c>
      <c r="I191" s="215">
        <v>0</v>
      </c>
      <c r="J191" s="215">
        <v>3811.06</v>
      </c>
      <c r="K191" s="215">
        <v>0</v>
      </c>
      <c r="L191" s="215">
        <v>0</v>
      </c>
      <c r="M191" s="215">
        <v>0</v>
      </c>
      <c r="N191" s="215">
        <v>0</v>
      </c>
      <c r="O191" s="215">
        <v>3811.06</v>
      </c>
      <c r="Q191" s="215">
        <f t="shared" si="10"/>
        <v>0</v>
      </c>
      <c r="R191" s="215">
        <f t="shared" si="11"/>
        <v>0</v>
      </c>
      <c r="S191" s="215">
        <f t="shared" si="12"/>
        <v>0</v>
      </c>
      <c r="T191" s="215">
        <f t="shared" si="13"/>
        <v>7622.12</v>
      </c>
      <c r="U191" s="215">
        <f t="shared" si="14"/>
        <v>3811.06</v>
      </c>
    </row>
    <row r="192" spans="2:21" ht="15.5" x14ac:dyDescent="0.35">
      <c r="B192" s="214" t="s">
        <v>705</v>
      </c>
      <c r="C192" s="215">
        <v>0</v>
      </c>
      <c r="D192" s="215">
        <v>15245.47</v>
      </c>
      <c r="E192" s="215">
        <v>0</v>
      </c>
      <c r="F192" s="215">
        <v>0</v>
      </c>
      <c r="G192" s="215">
        <v>0</v>
      </c>
      <c r="H192" s="215">
        <v>0</v>
      </c>
      <c r="I192" s="215">
        <v>0</v>
      </c>
      <c r="J192" s="215">
        <v>0</v>
      </c>
      <c r="K192" s="215">
        <v>0</v>
      </c>
      <c r="L192" s="215">
        <v>0</v>
      </c>
      <c r="M192" s="215">
        <v>0</v>
      </c>
      <c r="N192" s="215">
        <v>0</v>
      </c>
      <c r="O192" s="215">
        <v>15245.47</v>
      </c>
      <c r="Q192" s="215">
        <f t="shared" si="10"/>
        <v>0</v>
      </c>
      <c r="R192" s="215">
        <f t="shared" si="11"/>
        <v>0</v>
      </c>
      <c r="S192" s="215">
        <f t="shared" si="12"/>
        <v>0</v>
      </c>
      <c r="T192" s="215">
        <f t="shared" si="13"/>
        <v>0</v>
      </c>
      <c r="U192" s="215">
        <f t="shared" si="14"/>
        <v>15245.47</v>
      </c>
    </row>
    <row r="193" spans="2:21" ht="15.5" x14ac:dyDescent="0.35">
      <c r="B193" s="214" t="s">
        <v>1023</v>
      </c>
      <c r="C193" s="215">
        <v>0</v>
      </c>
      <c r="D193" s="215">
        <v>0</v>
      </c>
      <c r="E193" s="215">
        <v>0</v>
      </c>
      <c r="F193" s="215">
        <v>0</v>
      </c>
      <c r="G193" s="215">
        <v>0</v>
      </c>
      <c r="H193" s="215">
        <v>0</v>
      </c>
      <c r="I193" s="215">
        <v>0</v>
      </c>
      <c r="J193" s="215">
        <v>0</v>
      </c>
      <c r="K193" s="215">
        <v>0</v>
      </c>
      <c r="L193" s="215">
        <v>0</v>
      </c>
      <c r="M193" s="215">
        <v>7785</v>
      </c>
      <c r="N193" s="215">
        <v>0</v>
      </c>
      <c r="O193" s="215">
        <v>7785</v>
      </c>
      <c r="Q193" s="215">
        <f t="shared" si="10"/>
        <v>0</v>
      </c>
      <c r="R193" s="215">
        <f t="shared" si="11"/>
        <v>46710</v>
      </c>
      <c r="S193" s="215">
        <f t="shared" si="12"/>
        <v>31140</v>
      </c>
      <c r="T193" s="215">
        <f t="shared" si="13"/>
        <v>15570</v>
      </c>
      <c r="U193" s="215">
        <f t="shared" si="14"/>
        <v>7785</v>
      </c>
    </row>
    <row r="194" spans="2:21" ht="15.5" x14ac:dyDescent="0.35">
      <c r="B194" s="214" t="s">
        <v>706</v>
      </c>
      <c r="C194" s="215">
        <v>0</v>
      </c>
      <c r="D194" s="215">
        <v>0</v>
      </c>
      <c r="E194" s="215">
        <v>0</v>
      </c>
      <c r="F194" s="215">
        <v>0</v>
      </c>
      <c r="G194" s="215">
        <v>0</v>
      </c>
      <c r="H194" s="215">
        <v>0</v>
      </c>
      <c r="I194" s="215">
        <v>0</v>
      </c>
      <c r="J194" s="215">
        <v>0</v>
      </c>
      <c r="K194" s="215">
        <v>0</v>
      </c>
      <c r="L194" s="215">
        <v>7817.02</v>
      </c>
      <c r="M194" s="215">
        <v>0</v>
      </c>
      <c r="N194" s="215">
        <v>1394.05</v>
      </c>
      <c r="O194" s="215">
        <v>9211.07</v>
      </c>
      <c r="Q194" s="215">
        <f t="shared" si="10"/>
        <v>16728.599999999999</v>
      </c>
      <c r="R194" s="215">
        <f t="shared" si="11"/>
        <v>8364.2999999999993</v>
      </c>
      <c r="S194" s="215">
        <f t="shared" si="12"/>
        <v>36844.28</v>
      </c>
      <c r="T194" s="215">
        <f t="shared" si="13"/>
        <v>18422.14</v>
      </c>
      <c r="U194" s="215">
        <f t="shared" si="14"/>
        <v>9211.07</v>
      </c>
    </row>
    <row r="195" spans="2:21" ht="15.5" x14ac:dyDescent="0.35">
      <c r="B195" s="214" t="s">
        <v>707</v>
      </c>
      <c r="C195" s="215">
        <v>0</v>
      </c>
      <c r="D195" s="215">
        <v>3550</v>
      </c>
      <c r="E195" s="215">
        <v>9539.7099999999991</v>
      </c>
      <c r="F195" s="215">
        <v>5230</v>
      </c>
      <c r="G195" s="215">
        <v>9600</v>
      </c>
      <c r="H195" s="215">
        <v>0</v>
      </c>
      <c r="I195" s="215">
        <v>0</v>
      </c>
      <c r="J195" s="215">
        <v>7825</v>
      </c>
      <c r="K195" s="215">
        <v>3690</v>
      </c>
      <c r="L195" s="215">
        <v>16255</v>
      </c>
      <c r="M195" s="215">
        <v>7535</v>
      </c>
      <c r="N195" s="215">
        <v>0</v>
      </c>
      <c r="O195" s="215">
        <v>63224.71</v>
      </c>
      <c r="Q195" s="215">
        <f t="shared" si="10"/>
        <v>0</v>
      </c>
      <c r="R195" s="215">
        <f t="shared" si="11"/>
        <v>45210</v>
      </c>
      <c r="S195" s="215">
        <f t="shared" si="12"/>
        <v>95160</v>
      </c>
      <c r="T195" s="215">
        <f t="shared" si="13"/>
        <v>70610</v>
      </c>
      <c r="U195" s="215">
        <f t="shared" si="14"/>
        <v>63224.71</v>
      </c>
    </row>
    <row r="196" spans="2:21" ht="15.5" x14ac:dyDescent="0.35">
      <c r="B196" s="214" t="s">
        <v>1024</v>
      </c>
      <c r="C196" s="215">
        <v>0</v>
      </c>
      <c r="D196" s="215">
        <v>0</v>
      </c>
      <c r="E196" s="215">
        <v>0</v>
      </c>
      <c r="F196" s="215">
        <v>0</v>
      </c>
      <c r="G196" s="215">
        <v>0</v>
      </c>
      <c r="H196" s="215">
        <v>0</v>
      </c>
      <c r="I196" s="215">
        <v>0</v>
      </c>
      <c r="J196" s="215">
        <v>0</v>
      </c>
      <c r="K196" s="215">
        <v>0</v>
      </c>
      <c r="L196" s="215">
        <v>0</v>
      </c>
      <c r="M196" s="215">
        <v>4380</v>
      </c>
      <c r="N196" s="215">
        <v>0</v>
      </c>
      <c r="O196" s="215">
        <v>4380</v>
      </c>
      <c r="Q196" s="215">
        <f t="shared" si="10"/>
        <v>0</v>
      </c>
      <c r="R196" s="215">
        <f t="shared" si="11"/>
        <v>26280</v>
      </c>
      <c r="S196" s="215">
        <f t="shared" si="12"/>
        <v>17520</v>
      </c>
      <c r="T196" s="215">
        <f t="shared" si="13"/>
        <v>8760</v>
      </c>
      <c r="U196" s="215">
        <f t="shared" si="14"/>
        <v>4380</v>
      </c>
    </row>
    <row r="197" spans="2:21" ht="15.5" x14ac:dyDescent="0.35">
      <c r="B197" s="214" t="s">
        <v>709</v>
      </c>
      <c r="C197" s="215">
        <v>0</v>
      </c>
      <c r="D197" s="215">
        <v>0</v>
      </c>
      <c r="E197" s="215">
        <v>0</v>
      </c>
      <c r="F197" s="215">
        <v>0</v>
      </c>
      <c r="G197" s="215">
        <v>0</v>
      </c>
      <c r="H197" s="215">
        <v>0</v>
      </c>
      <c r="I197" s="215">
        <v>0</v>
      </c>
      <c r="J197" s="215">
        <v>0</v>
      </c>
      <c r="K197" s="215">
        <v>375.12</v>
      </c>
      <c r="L197" s="215">
        <v>0</v>
      </c>
      <c r="M197" s="215">
        <v>0</v>
      </c>
      <c r="N197" s="215">
        <v>0</v>
      </c>
      <c r="O197" s="215">
        <v>375.12</v>
      </c>
      <c r="Q197" s="215">
        <f t="shared" si="10"/>
        <v>0</v>
      </c>
      <c r="R197" s="215">
        <f t="shared" si="11"/>
        <v>0</v>
      </c>
      <c r="S197" s="215">
        <f t="shared" si="12"/>
        <v>0</v>
      </c>
      <c r="T197" s="215">
        <f t="shared" si="13"/>
        <v>750.24</v>
      </c>
      <c r="U197" s="215">
        <f t="shared" si="14"/>
        <v>375.12</v>
      </c>
    </row>
    <row r="198" spans="2:21" ht="15.5" x14ac:dyDescent="0.35">
      <c r="B198" s="214" t="s">
        <v>710</v>
      </c>
      <c r="C198" s="215">
        <v>0</v>
      </c>
      <c r="D198" s="215">
        <v>0</v>
      </c>
      <c r="E198" s="215">
        <v>0</v>
      </c>
      <c r="F198" s="215">
        <v>0</v>
      </c>
      <c r="G198" s="215">
        <v>0</v>
      </c>
      <c r="H198" s="215">
        <v>0</v>
      </c>
      <c r="I198" s="215">
        <v>1350</v>
      </c>
      <c r="J198" s="215">
        <v>0</v>
      </c>
      <c r="K198" s="215">
        <v>0</v>
      </c>
      <c r="L198" s="215">
        <v>0</v>
      </c>
      <c r="M198" s="215">
        <v>0</v>
      </c>
      <c r="N198" s="215">
        <v>0</v>
      </c>
      <c r="O198" s="215">
        <v>1350</v>
      </c>
      <c r="Q198" s="215">
        <f t="shared" si="10"/>
        <v>0</v>
      </c>
      <c r="R198" s="215">
        <f t="shared" si="11"/>
        <v>0</v>
      </c>
      <c r="S198" s="215">
        <f t="shared" si="12"/>
        <v>0</v>
      </c>
      <c r="T198" s="215">
        <f t="shared" si="13"/>
        <v>2700</v>
      </c>
      <c r="U198" s="215">
        <f t="shared" si="14"/>
        <v>1350</v>
      </c>
    </row>
    <row r="199" spans="2:21" ht="15.5" x14ac:dyDescent="0.35">
      <c r="B199" s="214" t="s">
        <v>711</v>
      </c>
      <c r="C199" s="215">
        <v>0</v>
      </c>
      <c r="D199" s="215">
        <v>0</v>
      </c>
      <c r="E199" s="215">
        <v>0</v>
      </c>
      <c r="F199" s="215">
        <v>0</v>
      </c>
      <c r="G199" s="215">
        <v>0</v>
      </c>
      <c r="H199" s="215">
        <v>0</v>
      </c>
      <c r="I199" s="215">
        <v>0</v>
      </c>
      <c r="J199" s="215">
        <v>0</v>
      </c>
      <c r="K199" s="215">
        <v>0</v>
      </c>
      <c r="L199" s="215">
        <v>3335</v>
      </c>
      <c r="M199" s="215">
        <v>2180</v>
      </c>
      <c r="N199" s="215">
        <v>0</v>
      </c>
      <c r="O199" s="215">
        <v>5515</v>
      </c>
      <c r="Q199" s="215">
        <f t="shared" si="10"/>
        <v>0</v>
      </c>
      <c r="R199" s="215">
        <f t="shared" si="11"/>
        <v>13080</v>
      </c>
      <c r="S199" s="215">
        <f t="shared" si="12"/>
        <v>22060</v>
      </c>
      <c r="T199" s="215">
        <f t="shared" si="13"/>
        <v>11030</v>
      </c>
      <c r="U199" s="215">
        <f t="shared" si="14"/>
        <v>5515</v>
      </c>
    </row>
    <row r="200" spans="2:21" ht="15.5" x14ac:dyDescent="0.35">
      <c r="B200" s="214" t="s">
        <v>1025</v>
      </c>
      <c r="C200" s="215">
        <v>0</v>
      </c>
      <c r="D200" s="215">
        <v>0</v>
      </c>
      <c r="E200" s="215">
        <v>0</v>
      </c>
      <c r="F200" s="215">
        <v>0</v>
      </c>
      <c r="G200" s="215">
        <v>0</v>
      </c>
      <c r="H200" s="215">
        <v>0</v>
      </c>
      <c r="I200" s="215">
        <v>0</v>
      </c>
      <c r="J200" s="215">
        <v>0</v>
      </c>
      <c r="K200" s="215">
        <v>0</v>
      </c>
      <c r="L200" s="215">
        <v>0</v>
      </c>
      <c r="M200" s="215">
        <v>1160</v>
      </c>
      <c r="N200" s="215">
        <v>0</v>
      </c>
      <c r="O200" s="215">
        <v>1160</v>
      </c>
      <c r="Q200" s="215">
        <f t="shared" si="10"/>
        <v>0</v>
      </c>
      <c r="R200" s="215">
        <f t="shared" si="11"/>
        <v>6960</v>
      </c>
      <c r="S200" s="215">
        <f t="shared" si="12"/>
        <v>4640</v>
      </c>
      <c r="T200" s="215">
        <f t="shared" si="13"/>
        <v>2320</v>
      </c>
      <c r="U200" s="215">
        <f t="shared" si="14"/>
        <v>1160</v>
      </c>
    </row>
    <row r="201" spans="2:21" ht="15.5" x14ac:dyDescent="0.35">
      <c r="B201" s="214" t="s">
        <v>713</v>
      </c>
      <c r="C201" s="215">
        <v>0</v>
      </c>
      <c r="D201" s="215">
        <v>0</v>
      </c>
      <c r="E201" s="215">
        <v>26955.8</v>
      </c>
      <c r="F201" s="215">
        <v>0</v>
      </c>
      <c r="G201" s="215">
        <v>0</v>
      </c>
      <c r="H201" s="215">
        <v>0</v>
      </c>
      <c r="I201" s="215">
        <v>0</v>
      </c>
      <c r="J201" s="215">
        <v>0</v>
      </c>
      <c r="K201" s="215">
        <v>0</v>
      </c>
      <c r="L201" s="215">
        <v>0</v>
      </c>
      <c r="M201" s="215">
        <v>0</v>
      </c>
      <c r="N201" s="215">
        <v>0</v>
      </c>
      <c r="O201" s="215">
        <v>26955.8</v>
      </c>
      <c r="Q201" s="215">
        <f t="shared" si="10"/>
        <v>0</v>
      </c>
      <c r="R201" s="215">
        <f t="shared" si="11"/>
        <v>0</v>
      </c>
      <c r="S201" s="215">
        <f t="shared" si="12"/>
        <v>0</v>
      </c>
      <c r="T201" s="215">
        <f t="shared" si="13"/>
        <v>0</v>
      </c>
      <c r="U201" s="215">
        <f t="shared" si="14"/>
        <v>26955.8</v>
      </c>
    </row>
    <row r="202" spans="2:21" ht="15.5" x14ac:dyDescent="0.35">
      <c r="B202" s="214" t="s">
        <v>1026</v>
      </c>
      <c r="C202" s="215">
        <v>0</v>
      </c>
      <c r="D202" s="215">
        <v>0</v>
      </c>
      <c r="E202" s="215">
        <v>0</v>
      </c>
      <c r="F202" s="215">
        <v>0</v>
      </c>
      <c r="G202" s="215">
        <v>0</v>
      </c>
      <c r="H202" s="215">
        <v>0</v>
      </c>
      <c r="I202" s="215">
        <v>0</v>
      </c>
      <c r="J202" s="215">
        <v>0</v>
      </c>
      <c r="K202" s="215">
        <v>0</v>
      </c>
      <c r="L202" s="215">
        <v>0</v>
      </c>
      <c r="M202" s="215">
        <v>940</v>
      </c>
      <c r="N202" s="215">
        <v>0</v>
      </c>
      <c r="O202" s="215">
        <v>940</v>
      </c>
      <c r="Q202" s="215">
        <f t="shared" si="10"/>
        <v>0</v>
      </c>
      <c r="R202" s="215">
        <f t="shared" si="11"/>
        <v>5640</v>
      </c>
      <c r="S202" s="215">
        <f t="shared" si="12"/>
        <v>3760</v>
      </c>
      <c r="T202" s="215">
        <f t="shared" si="13"/>
        <v>1880</v>
      </c>
      <c r="U202" s="215">
        <f t="shared" si="14"/>
        <v>940</v>
      </c>
    </row>
    <row r="203" spans="2:21" ht="15.5" x14ac:dyDescent="0.35">
      <c r="B203" s="212" t="s">
        <v>714</v>
      </c>
      <c r="C203" s="216">
        <v>19621.63</v>
      </c>
      <c r="D203" s="216">
        <v>47682.96</v>
      </c>
      <c r="E203" s="216">
        <v>41495.51</v>
      </c>
      <c r="F203" s="216">
        <v>28962.98</v>
      </c>
      <c r="G203" s="216">
        <v>12802</v>
      </c>
      <c r="H203" s="216">
        <v>17346.509999999998</v>
      </c>
      <c r="I203" s="216">
        <v>4995</v>
      </c>
      <c r="J203" s="216">
        <v>11636.06</v>
      </c>
      <c r="K203" s="216">
        <v>4065.12</v>
      </c>
      <c r="L203" s="216">
        <v>27407.02</v>
      </c>
      <c r="M203" s="216">
        <v>30530.09</v>
      </c>
      <c r="N203" s="216">
        <v>1394.05</v>
      </c>
      <c r="O203" s="216">
        <v>247938.93</v>
      </c>
      <c r="Q203" s="216">
        <f t="shared" si="10"/>
        <v>16728.599999999999</v>
      </c>
      <c r="R203" s="216">
        <f t="shared" si="11"/>
        <v>191544.84</v>
      </c>
      <c r="S203" s="216">
        <f t="shared" si="12"/>
        <v>237324.64</v>
      </c>
      <c r="T203" s="216">
        <f t="shared" si="13"/>
        <v>160054.68</v>
      </c>
      <c r="U203" s="216">
        <f t="shared" si="14"/>
        <v>247938.93</v>
      </c>
    </row>
    <row r="204" spans="2:21" ht="15.5" x14ac:dyDescent="0.35">
      <c r="B204" s="212" t="s">
        <v>715</v>
      </c>
      <c r="C204" s="216">
        <v>91468.34</v>
      </c>
      <c r="D204" s="216">
        <v>123463.45</v>
      </c>
      <c r="E204" s="216">
        <v>115737.11</v>
      </c>
      <c r="F204" s="216">
        <v>98886.74</v>
      </c>
      <c r="G204" s="216">
        <v>86478.6</v>
      </c>
      <c r="H204" s="216">
        <v>98132.14</v>
      </c>
      <c r="I204" s="216">
        <v>85659.38</v>
      </c>
      <c r="J204" s="216">
        <v>87887.11</v>
      </c>
      <c r="K204" s="216">
        <v>83775.44</v>
      </c>
      <c r="L204" s="216">
        <v>106846.24</v>
      </c>
      <c r="M204" s="216">
        <v>107406.76</v>
      </c>
      <c r="N204" s="216">
        <v>80833.27</v>
      </c>
      <c r="O204" s="216">
        <v>1166574.58</v>
      </c>
      <c r="Q204" s="216">
        <f t="shared" si="10"/>
        <v>969999.24</v>
      </c>
      <c r="R204" s="216">
        <f t="shared" si="11"/>
        <v>1129440.18</v>
      </c>
      <c r="S204" s="216">
        <f t="shared" si="12"/>
        <v>1180345.08</v>
      </c>
      <c r="T204" s="216">
        <f t="shared" si="13"/>
        <v>1104816.3999999999</v>
      </c>
      <c r="U204" s="216">
        <f t="shared" si="14"/>
        <v>1166574.58</v>
      </c>
    </row>
    <row r="205" spans="2:21" ht="15.5" x14ac:dyDescent="0.35">
      <c r="B205" s="214"/>
      <c r="C205" s="215"/>
      <c r="D205" s="215"/>
      <c r="E205" s="215"/>
      <c r="F205" s="215"/>
      <c r="G205" s="215"/>
      <c r="H205" s="215"/>
      <c r="I205" s="215"/>
      <c r="J205" s="215"/>
      <c r="K205" s="215"/>
      <c r="L205" s="215"/>
      <c r="M205" s="215"/>
      <c r="N205" s="215"/>
      <c r="O205" s="215"/>
      <c r="Q205" s="215">
        <f t="shared" si="10"/>
        <v>0</v>
      </c>
      <c r="R205" s="215">
        <f t="shared" si="11"/>
        <v>0</v>
      </c>
      <c r="S205" s="215">
        <f t="shared" si="12"/>
        <v>0</v>
      </c>
      <c r="T205" s="215">
        <f t="shared" si="13"/>
        <v>0</v>
      </c>
      <c r="U205" s="215">
        <f t="shared" si="14"/>
        <v>0</v>
      </c>
    </row>
    <row r="206" spans="2:21" ht="15.5" x14ac:dyDescent="0.35">
      <c r="B206" s="212" t="s">
        <v>716</v>
      </c>
      <c r="C206" s="216">
        <v>-91468.34</v>
      </c>
      <c r="D206" s="216">
        <v>-123307.01</v>
      </c>
      <c r="E206" s="216">
        <v>-115603.1</v>
      </c>
      <c r="F206" s="216">
        <v>-98786.13</v>
      </c>
      <c r="G206" s="216">
        <v>-86390.1</v>
      </c>
      <c r="H206" s="216">
        <v>-98049.02</v>
      </c>
      <c r="I206" s="216">
        <v>-85573.5</v>
      </c>
      <c r="J206" s="216">
        <v>-87807.98</v>
      </c>
      <c r="K206" s="216">
        <v>-83693.759999999995</v>
      </c>
      <c r="L206" s="216">
        <v>-106846.24</v>
      </c>
      <c r="M206" s="216">
        <v>-107406.76</v>
      </c>
      <c r="N206" s="216">
        <v>-80833.27</v>
      </c>
      <c r="O206" s="216">
        <v>-1165765.21</v>
      </c>
      <c r="Q206" s="216">
        <f t="shared" si="10"/>
        <v>-969999.24</v>
      </c>
      <c r="R206" s="216">
        <f t="shared" si="11"/>
        <v>-1129440.18</v>
      </c>
      <c r="S206" s="216">
        <f t="shared" si="12"/>
        <v>-1180345.08</v>
      </c>
      <c r="T206" s="216">
        <f t="shared" si="13"/>
        <v>-1104323.02</v>
      </c>
      <c r="U206" s="216">
        <f t="shared" si="14"/>
        <v>-1165765.21</v>
      </c>
    </row>
    <row r="207" spans="2:21" ht="15.5" x14ac:dyDescent="0.35">
      <c r="B207" s="214"/>
      <c r="C207" s="215"/>
      <c r="D207" s="215"/>
      <c r="E207" s="215"/>
      <c r="F207" s="215"/>
      <c r="G207" s="215"/>
      <c r="H207" s="215"/>
      <c r="I207" s="215"/>
      <c r="J207" s="215"/>
      <c r="K207" s="215"/>
      <c r="L207" s="215"/>
      <c r="M207" s="215"/>
      <c r="N207" s="215"/>
      <c r="O207" s="215"/>
      <c r="Q207" s="215">
        <f t="shared" si="10"/>
        <v>0</v>
      </c>
      <c r="R207" s="215">
        <f t="shared" si="11"/>
        <v>0</v>
      </c>
      <c r="S207" s="215">
        <f t="shared" si="12"/>
        <v>0</v>
      </c>
      <c r="T207" s="215">
        <f t="shared" si="13"/>
        <v>0</v>
      </c>
      <c r="U207" s="215">
        <f t="shared" si="14"/>
        <v>0</v>
      </c>
    </row>
    <row r="208" spans="2:21" ht="15.5" x14ac:dyDescent="0.35">
      <c r="B208" s="214" t="s">
        <v>717</v>
      </c>
      <c r="C208" s="215">
        <v>124662.16</v>
      </c>
      <c r="D208" s="215">
        <v>108145.19</v>
      </c>
      <c r="E208" s="215">
        <v>128649.71</v>
      </c>
      <c r="F208" s="215">
        <v>116761.87</v>
      </c>
      <c r="G208" s="215">
        <v>115874.89</v>
      </c>
      <c r="H208" s="215">
        <v>128762.56</v>
      </c>
      <c r="I208" s="215">
        <v>123319.7</v>
      </c>
      <c r="J208" s="215">
        <v>120051.05</v>
      </c>
      <c r="K208" s="215">
        <v>114898.41</v>
      </c>
      <c r="L208" s="215">
        <v>98660.73</v>
      </c>
      <c r="M208" s="215">
        <v>116969.5</v>
      </c>
      <c r="N208" s="215">
        <v>138499.73000000001</v>
      </c>
      <c r="O208" s="215">
        <v>1435255.5</v>
      </c>
      <c r="Q208" s="215">
        <f t="shared" si="10"/>
        <v>1661996.7600000002</v>
      </c>
      <c r="R208" s="215">
        <f t="shared" si="11"/>
        <v>1532815.3800000001</v>
      </c>
      <c r="S208" s="215">
        <f t="shared" si="12"/>
        <v>1416519.8399999999</v>
      </c>
      <c r="T208" s="215">
        <f t="shared" si="13"/>
        <v>1424798.24</v>
      </c>
      <c r="U208" s="215">
        <f t="shared" si="14"/>
        <v>1435255.4999999998</v>
      </c>
    </row>
    <row r="209" spans="2:21" ht="15.5" x14ac:dyDescent="0.35">
      <c r="B209" s="214" t="s">
        <v>718</v>
      </c>
      <c r="C209" s="215">
        <v>178872.51</v>
      </c>
      <c r="D209" s="215">
        <v>186139.51999999999</v>
      </c>
      <c r="E209" s="215">
        <v>182664.95999999999</v>
      </c>
      <c r="F209" s="215">
        <v>169616.6</v>
      </c>
      <c r="G209" s="215">
        <v>158877.10999999999</v>
      </c>
      <c r="H209" s="215">
        <v>188358.7</v>
      </c>
      <c r="I209" s="215">
        <v>159511.66</v>
      </c>
      <c r="J209" s="215">
        <v>167062.10999999999</v>
      </c>
      <c r="K209" s="215">
        <v>172479.8</v>
      </c>
      <c r="L209" s="215">
        <v>191868.83</v>
      </c>
      <c r="M209" s="215">
        <v>188735.75</v>
      </c>
      <c r="N209" s="215">
        <v>153225.21</v>
      </c>
      <c r="O209" s="215">
        <v>2097412.7599999998</v>
      </c>
      <c r="Q209" s="215"/>
      <c r="R209" s="215"/>
      <c r="S209" s="215"/>
      <c r="T209" s="215"/>
      <c r="U209" s="215"/>
    </row>
    <row r="210" spans="2:21" ht="16" thickBot="1" x14ac:dyDescent="0.4">
      <c r="B210" s="214"/>
      <c r="C210" s="215"/>
      <c r="D210" s="215"/>
      <c r="E210" s="215"/>
      <c r="F210" s="215"/>
      <c r="G210" s="215"/>
      <c r="H210" s="215"/>
      <c r="I210" s="215"/>
      <c r="J210" s="215"/>
      <c r="K210" s="215"/>
      <c r="L210" s="215"/>
      <c r="M210" s="215"/>
      <c r="N210" s="215"/>
      <c r="O210" s="215"/>
      <c r="Q210" s="215"/>
      <c r="R210" s="215"/>
      <c r="S210" s="215"/>
      <c r="T210" s="215"/>
      <c r="U210" s="215"/>
    </row>
    <row r="211" spans="2:21" ht="15.5" x14ac:dyDescent="0.35">
      <c r="B211" s="212" t="s">
        <v>719</v>
      </c>
      <c r="C211" s="217">
        <v>-54210.35</v>
      </c>
      <c r="D211" s="217">
        <v>-77994.33</v>
      </c>
      <c r="E211" s="217">
        <v>-54015.25</v>
      </c>
      <c r="F211" s="217">
        <v>-52854.73</v>
      </c>
      <c r="G211" s="217">
        <v>-43002.22</v>
      </c>
      <c r="H211" s="217">
        <v>-59596.14</v>
      </c>
      <c r="I211" s="217">
        <v>-36191.96</v>
      </c>
      <c r="J211" s="217">
        <v>-47011.06</v>
      </c>
      <c r="K211" s="217">
        <v>-57581.39</v>
      </c>
      <c r="L211" s="217">
        <v>-93208.1</v>
      </c>
      <c r="M211" s="217">
        <v>-71766.25</v>
      </c>
      <c r="N211" s="217">
        <v>-14725.48</v>
      </c>
      <c r="O211" s="217">
        <v>-662157.26</v>
      </c>
      <c r="Q211" s="217"/>
      <c r="R211" s="217"/>
      <c r="S211" s="217"/>
      <c r="T211" s="217"/>
      <c r="U211" s="217"/>
    </row>
    <row r="229" spans="17:21" ht="15.5" x14ac:dyDescent="0.35">
      <c r="Q229" s="215"/>
      <c r="R229" s="215"/>
      <c r="S229" s="215"/>
      <c r="T229" s="215"/>
      <c r="U229" s="215"/>
    </row>
    <row r="230" spans="17:21" ht="15.5" x14ac:dyDescent="0.35">
      <c r="Q230" s="215"/>
      <c r="R230" s="215"/>
      <c r="S230" s="215"/>
      <c r="T230" s="215"/>
      <c r="U230" s="215"/>
    </row>
    <row r="231" spans="17:21" ht="15.5" x14ac:dyDescent="0.35">
      <c r="Q231" s="215"/>
      <c r="R231" s="215"/>
      <c r="S231" s="215"/>
      <c r="T231" s="215"/>
      <c r="U231" s="215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6BA45-8EA1-45B6-B453-A9E071869B1D}">
  <dimension ref="A1:U208"/>
  <sheetViews>
    <sheetView showWhiteSpace="0" zoomScale="25" zoomScaleNormal="25" workbookViewId="0">
      <selection activeCell="P1" sqref="P1:U1048576"/>
    </sheetView>
  </sheetViews>
  <sheetFormatPr defaultColWidth="8.7265625" defaultRowHeight="14" x14ac:dyDescent="0.3"/>
  <cols>
    <col min="1" max="1" width="3.54296875" style="21" customWidth="1"/>
    <col min="2" max="2" width="67.453125" style="210" bestFit="1" customWidth="1"/>
    <col min="3" max="3" width="25.54296875" style="210" bestFit="1" customWidth="1"/>
    <col min="4" max="4" width="23.54296875" style="210" bestFit="1" customWidth="1"/>
    <col min="5" max="5" width="25.54296875" style="210" bestFit="1" customWidth="1"/>
    <col min="6" max="12" width="23.54296875" style="210" bestFit="1" customWidth="1"/>
    <col min="13" max="13" width="25.54296875" style="210" bestFit="1" customWidth="1"/>
    <col min="14" max="14" width="23.54296875" style="210" bestFit="1" customWidth="1"/>
    <col min="15" max="15" width="25.54296875" style="210" bestFit="1" customWidth="1"/>
    <col min="16" max="16" width="8.7265625" style="210"/>
    <col min="17" max="21" width="15.54296875" style="210" customWidth="1"/>
    <col min="22" max="16384" width="8.7265625" style="210"/>
  </cols>
  <sheetData>
    <row r="1" spans="2:21" ht="23" x14ac:dyDescent="0.5">
      <c r="B1" s="218" t="s">
        <v>520</v>
      </c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</row>
    <row r="2" spans="2:21" ht="14.15" customHeight="1" x14ac:dyDescent="0.3">
      <c r="B2" s="219" t="s">
        <v>521</v>
      </c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</row>
    <row r="3" spans="2:21" x14ac:dyDescent="0.3"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</row>
    <row r="4" spans="2:21" ht="16.5" customHeight="1" x14ac:dyDescent="0.3">
      <c r="B4" s="220" t="s">
        <v>522</v>
      </c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</row>
    <row r="5" spans="2:21" ht="16.5" x14ac:dyDescent="0.3">
      <c r="B5" s="220" t="s">
        <v>523</v>
      </c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</row>
    <row r="6" spans="2:21" ht="16.5" x14ac:dyDescent="0.3">
      <c r="B6" s="220" t="s">
        <v>524</v>
      </c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</row>
    <row r="7" spans="2:21" ht="16.5" customHeight="1" x14ac:dyDescent="0.3">
      <c r="B7" s="220" t="s">
        <v>525</v>
      </c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</row>
    <row r="8" spans="2:21" ht="16.5" customHeight="1" x14ac:dyDescent="0.3">
      <c r="B8" s="220" t="s">
        <v>526</v>
      </c>
      <c r="C8" s="220"/>
      <c r="D8" s="220"/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</row>
    <row r="9" spans="2:21" ht="16.5" customHeight="1" x14ac:dyDescent="0.3">
      <c r="B9" s="220" t="s">
        <v>527</v>
      </c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</row>
    <row r="10" spans="2:21" ht="16.5" customHeight="1" x14ac:dyDescent="0.3">
      <c r="B10" s="220" t="s">
        <v>528</v>
      </c>
      <c r="C10" s="220"/>
      <c r="D10" s="220"/>
      <c r="E10" s="220"/>
      <c r="F10" s="220"/>
      <c r="G10" s="220"/>
      <c r="H10" s="220"/>
      <c r="I10" s="220"/>
      <c r="J10" s="220"/>
      <c r="K10" s="220"/>
      <c r="L10" s="220"/>
      <c r="M10" s="220"/>
      <c r="N10" s="220"/>
      <c r="O10" s="220"/>
    </row>
    <row r="11" spans="2:21" ht="16.5" customHeight="1" x14ac:dyDescent="0.3">
      <c r="B11" s="220" t="s">
        <v>529</v>
      </c>
      <c r="C11" s="220"/>
      <c r="D11" s="220"/>
      <c r="E11" s="220"/>
      <c r="F11" s="220"/>
      <c r="G11" s="220"/>
      <c r="H11" s="220"/>
      <c r="I11" s="220"/>
      <c r="J11" s="220"/>
      <c r="K11" s="220"/>
      <c r="L11" s="220"/>
      <c r="M11" s="220"/>
      <c r="N11" s="220"/>
      <c r="O11" s="220"/>
    </row>
    <row r="12" spans="2:21" x14ac:dyDescent="0.3">
      <c r="B12" s="219"/>
      <c r="C12" s="219"/>
      <c r="D12" s="219"/>
      <c r="E12" s="219"/>
      <c r="F12" s="219"/>
      <c r="G12" s="219"/>
      <c r="H12" s="219"/>
      <c r="I12" s="219"/>
      <c r="J12" s="219"/>
      <c r="K12" s="219"/>
      <c r="L12" s="219"/>
      <c r="M12" s="219"/>
      <c r="N12" s="219"/>
      <c r="O12" s="219"/>
    </row>
    <row r="13" spans="2:21" ht="16.5" x14ac:dyDescent="0.35">
      <c r="B13" s="211" t="s">
        <v>467</v>
      </c>
      <c r="C13" s="211" t="s">
        <v>468</v>
      </c>
      <c r="D13" s="211" t="s">
        <v>469</v>
      </c>
      <c r="E13" s="211" t="s">
        <v>470</v>
      </c>
      <c r="F13" s="211" t="s">
        <v>471</v>
      </c>
      <c r="G13" s="211" t="s">
        <v>472</v>
      </c>
      <c r="H13" s="211" t="s">
        <v>473</v>
      </c>
      <c r="I13" s="211" t="s">
        <v>474</v>
      </c>
      <c r="J13" s="211" t="s">
        <v>475</v>
      </c>
      <c r="K13" s="211" t="s">
        <v>476</v>
      </c>
      <c r="L13" s="211" t="s">
        <v>477</v>
      </c>
      <c r="M13" s="211" t="s">
        <v>478</v>
      </c>
      <c r="N13" s="211" t="s">
        <v>479</v>
      </c>
      <c r="O13" s="211" t="s">
        <v>3</v>
      </c>
      <c r="Q13" s="175" t="s">
        <v>305</v>
      </c>
      <c r="R13" s="175" t="s">
        <v>481</v>
      </c>
      <c r="S13" s="175" t="s">
        <v>306</v>
      </c>
      <c r="T13" s="175" t="s">
        <v>482</v>
      </c>
      <c r="U13" s="175" t="s">
        <v>307</v>
      </c>
    </row>
    <row r="14" spans="2:21" ht="15.5" x14ac:dyDescent="0.35">
      <c r="B14" s="212" t="s">
        <v>530</v>
      </c>
      <c r="C14" s="213"/>
      <c r="D14" s="213"/>
      <c r="E14" s="213"/>
      <c r="F14" s="213"/>
      <c r="G14" s="213"/>
      <c r="H14" s="213"/>
      <c r="I14" s="213"/>
      <c r="J14" s="213"/>
      <c r="K14" s="213"/>
      <c r="L14" s="213"/>
      <c r="M14" s="213"/>
      <c r="N14" s="213"/>
      <c r="O14" s="213"/>
    </row>
    <row r="15" spans="2:21" ht="15.5" x14ac:dyDescent="0.35">
      <c r="B15" s="212" t="s">
        <v>531</v>
      </c>
      <c r="C15" s="213"/>
      <c r="D15" s="213"/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213"/>
    </row>
    <row r="16" spans="2:21" ht="15.5" x14ac:dyDescent="0.35">
      <c r="B16" s="212" t="s">
        <v>532</v>
      </c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3"/>
    </row>
    <row r="17" spans="1:21" ht="15.5" x14ac:dyDescent="0.35">
      <c r="A17" s="21">
        <v>1</v>
      </c>
      <c r="B17" s="214" t="s">
        <v>533</v>
      </c>
      <c r="C17" s="215">
        <v>0</v>
      </c>
      <c r="D17" s="215">
        <v>0</v>
      </c>
      <c r="E17" s="215">
        <v>0</v>
      </c>
      <c r="F17" s="215">
        <v>0</v>
      </c>
      <c r="G17" s="215">
        <v>0</v>
      </c>
      <c r="H17" s="215">
        <v>0</v>
      </c>
      <c r="I17" s="215">
        <v>0</v>
      </c>
      <c r="J17" s="215">
        <v>0</v>
      </c>
      <c r="K17" s="215">
        <v>0</v>
      </c>
      <c r="L17" s="215">
        <v>0</v>
      </c>
      <c r="M17" s="215">
        <v>0</v>
      </c>
      <c r="N17" s="215">
        <v>132432.35</v>
      </c>
      <c r="O17" s="215">
        <v>132432.35</v>
      </c>
      <c r="Q17" s="215">
        <f>+N17*12</f>
        <v>1589188.2000000002</v>
      </c>
      <c r="R17" s="215">
        <f>+SUM(M17:N17)*6</f>
        <v>794594.10000000009</v>
      </c>
      <c r="S17" s="215">
        <f>+SUM(L17:N17)*4</f>
        <v>529729.4</v>
      </c>
      <c r="T17" s="215">
        <f>+SUM(I17:N17)*2</f>
        <v>264864.7</v>
      </c>
      <c r="U17" s="215">
        <f>+SUM(C17:N17)</f>
        <v>132432.35</v>
      </c>
    </row>
    <row r="18" spans="1:21" ht="15.5" x14ac:dyDescent="0.35">
      <c r="A18" s="21">
        <v>1</v>
      </c>
      <c r="B18" s="214" t="s">
        <v>534</v>
      </c>
      <c r="C18" s="215">
        <v>0</v>
      </c>
      <c r="D18" s="215">
        <v>0</v>
      </c>
      <c r="E18" s="215">
        <v>0</v>
      </c>
      <c r="F18" s="215">
        <v>0</v>
      </c>
      <c r="G18" s="215">
        <v>0</v>
      </c>
      <c r="H18" s="215">
        <v>0</v>
      </c>
      <c r="I18" s="215">
        <v>0</v>
      </c>
      <c r="J18" s="215">
        <v>0</v>
      </c>
      <c r="K18" s="215">
        <v>0</v>
      </c>
      <c r="L18" s="215">
        <v>0</v>
      </c>
      <c r="M18" s="215">
        <v>0</v>
      </c>
      <c r="N18" s="215">
        <v>1853</v>
      </c>
      <c r="O18" s="215">
        <v>1853</v>
      </c>
      <c r="Q18" s="215">
        <f t="shared" ref="Q18:Q81" si="0">+N18*12</f>
        <v>22236</v>
      </c>
      <c r="R18" s="215">
        <f t="shared" ref="R18:R81" si="1">+SUM(M18:N18)*6</f>
        <v>11118</v>
      </c>
      <c r="S18" s="215">
        <f t="shared" ref="S18:S81" si="2">+SUM(L18:N18)*4</f>
        <v>7412</v>
      </c>
      <c r="T18" s="215">
        <f t="shared" ref="T18:T81" si="3">+SUM(I18:N18)*2</f>
        <v>3706</v>
      </c>
      <c r="U18" s="215">
        <f t="shared" ref="U18:U81" si="4">+SUM(C18:N18)</f>
        <v>1853</v>
      </c>
    </row>
    <row r="19" spans="1:21" ht="15.5" x14ac:dyDescent="0.35">
      <c r="A19" s="21">
        <v>1</v>
      </c>
      <c r="B19" s="214" t="s">
        <v>535</v>
      </c>
      <c r="C19" s="215">
        <v>144311</v>
      </c>
      <c r="D19" s="215">
        <v>144721.54999999999</v>
      </c>
      <c r="E19" s="215">
        <v>146896.53</v>
      </c>
      <c r="F19" s="215">
        <v>147357.5</v>
      </c>
      <c r="G19" s="215">
        <v>147078</v>
      </c>
      <c r="H19" s="215">
        <v>147078</v>
      </c>
      <c r="I19" s="215">
        <v>147078</v>
      </c>
      <c r="J19" s="215">
        <v>154421</v>
      </c>
      <c r="K19" s="215">
        <v>155067.12</v>
      </c>
      <c r="L19" s="215">
        <v>142265.39000000001</v>
      </c>
      <c r="M19" s="215">
        <v>136185.29999999999</v>
      </c>
      <c r="N19" s="215">
        <v>0</v>
      </c>
      <c r="O19" s="215">
        <v>1612459.39</v>
      </c>
      <c r="Q19" s="215">
        <f t="shared" si="0"/>
        <v>0</v>
      </c>
      <c r="R19" s="215">
        <f t="shared" si="1"/>
        <v>817111.79999999993</v>
      </c>
      <c r="S19" s="215">
        <f t="shared" si="2"/>
        <v>1113802.76</v>
      </c>
      <c r="T19" s="215">
        <f t="shared" si="3"/>
        <v>1470033.62</v>
      </c>
      <c r="U19" s="215">
        <f t="shared" si="4"/>
        <v>1612459.3900000004</v>
      </c>
    </row>
    <row r="20" spans="1:21" ht="15.5" x14ac:dyDescent="0.35">
      <c r="A20" s="21">
        <v>1</v>
      </c>
      <c r="B20" s="214" t="s">
        <v>536</v>
      </c>
      <c r="C20" s="215">
        <v>-5871.9</v>
      </c>
      <c r="D20" s="215">
        <v>-7553.26</v>
      </c>
      <c r="E20" s="215">
        <v>-9302.8799999999992</v>
      </c>
      <c r="F20" s="215">
        <v>-7219.92</v>
      </c>
      <c r="G20" s="215">
        <v>-11409.39</v>
      </c>
      <c r="H20" s="215">
        <v>-7196.23</v>
      </c>
      <c r="I20" s="215">
        <v>-8458.77</v>
      </c>
      <c r="J20" s="215">
        <v>-15965.57</v>
      </c>
      <c r="K20" s="215">
        <v>-3498.54</v>
      </c>
      <c r="L20" s="215">
        <v>-1535.7</v>
      </c>
      <c r="M20" s="215">
        <v>856.42</v>
      </c>
      <c r="N20" s="215">
        <v>0</v>
      </c>
      <c r="O20" s="215">
        <v>-77155.740000000005</v>
      </c>
      <c r="Q20" s="215">
        <f t="shared" si="0"/>
        <v>0</v>
      </c>
      <c r="R20" s="215">
        <f t="shared" si="1"/>
        <v>5138.5199999999995</v>
      </c>
      <c r="S20" s="215">
        <f t="shared" si="2"/>
        <v>-2717.1200000000003</v>
      </c>
      <c r="T20" s="215">
        <f t="shared" si="3"/>
        <v>-57204.320000000007</v>
      </c>
      <c r="U20" s="215">
        <f t="shared" si="4"/>
        <v>-77155.740000000005</v>
      </c>
    </row>
    <row r="21" spans="1:21" ht="15.5" x14ac:dyDescent="0.35">
      <c r="A21" s="21">
        <v>3</v>
      </c>
      <c r="B21" s="214" t="s">
        <v>537</v>
      </c>
      <c r="C21" s="215">
        <v>-800</v>
      </c>
      <c r="D21" s="215">
        <v>-100</v>
      </c>
      <c r="E21" s="215">
        <v>-700</v>
      </c>
      <c r="F21" s="215">
        <v>-1200</v>
      </c>
      <c r="G21" s="215">
        <v>-320</v>
      </c>
      <c r="H21" s="215">
        <v>-200</v>
      </c>
      <c r="I21" s="215">
        <v>-1849</v>
      </c>
      <c r="J21" s="215">
        <v>-1659</v>
      </c>
      <c r="K21" s="215">
        <v>-1409</v>
      </c>
      <c r="L21" s="215">
        <v>-5855</v>
      </c>
      <c r="M21" s="215">
        <v>-17016.5</v>
      </c>
      <c r="N21" s="215">
        <v>-19220.5</v>
      </c>
      <c r="O21" s="215">
        <v>-50329</v>
      </c>
      <c r="Q21" s="215">
        <f t="shared" si="0"/>
        <v>-230646</v>
      </c>
      <c r="R21" s="215">
        <f t="shared" si="1"/>
        <v>-217422</v>
      </c>
      <c r="S21" s="215">
        <f t="shared" si="2"/>
        <v>-168368</v>
      </c>
      <c r="T21" s="215">
        <f t="shared" si="3"/>
        <v>-94018</v>
      </c>
      <c r="U21" s="215">
        <f t="shared" si="4"/>
        <v>-50329</v>
      </c>
    </row>
    <row r="22" spans="1:21" ht="15.5" x14ac:dyDescent="0.35">
      <c r="A22" s="21">
        <v>3</v>
      </c>
      <c r="B22" s="214" t="s">
        <v>538</v>
      </c>
      <c r="C22" s="215">
        <v>0</v>
      </c>
      <c r="D22" s="215">
        <v>0</v>
      </c>
      <c r="E22" s="215">
        <v>0</v>
      </c>
      <c r="F22" s="215">
        <v>0</v>
      </c>
      <c r="G22" s="215">
        <v>0</v>
      </c>
      <c r="H22" s="215">
        <v>0</v>
      </c>
      <c r="I22" s="215">
        <v>0</v>
      </c>
      <c r="J22" s="215">
        <v>-200</v>
      </c>
      <c r="K22" s="215">
        <v>-200</v>
      </c>
      <c r="L22" s="215">
        <v>-200</v>
      </c>
      <c r="M22" s="215">
        <v>-200</v>
      </c>
      <c r="N22" s="215">
        <v>-200</v>
      </c>
      <c r="O22" s="215">
        <v>-1000</v>
      </c>
      <c r="Q22" s="215">
        <f t="shared" si="0"/>
        <v>-2400</v>
      </c>
      <c r="R22" s="215">
        <f t="shared" si="1"/>
        <v>-2400</v>
      </c>
      <c r="S22" s="215">
        <f t="shared" si="2"/>
        <v>-2400</v>
      </c>
      <c r="T22" s="215">
        <f t="shared" si="3"/>
        <v>-2000</v>
      </c>
      <c r="U22" s="215">
        <f t="shared" si="4"/>
        <v>-1000</v>
      </c>
    </row>
    <row r="23" spans="1:21" ht="15.5" x14ac:dyDescent="0.35">
      <c r="A23" s="21">
        <v>3</v>
      </c>
      <c r="B23" s="214" t="s">
        <v>539</v>
      </c>
      <c r="C23" s="215">
        <v>0</v>
      </c>
      <c r="D23" s="215">
        <v>0</v>
      </c>
      <c r="E23" s="215">
        <v>0</v>
      </c>
      <c r="F23" s="215">
        <v>0</v>
      </c>
      <c r="G23" s="215">
        <v>0</v>
      </c>
      <c r="H23" s="215">
        <v>0</v>
      </c>
      <c r="I23" s="215">
        <v>0</v>
      </c>
      <c r="J23" s="215">
        <v>0</v>
      </c>
      <c r="K23" s="215">
        <v>0</v>
      </c>
      <c r="L23" s="215">
        <v>0</v>
      </c>
      <c r="M23" s="215">
        <v>-210</v>
      </c>
      <c r="N23" s="215">
        <v>-210</v>
      </c>
      <c r="O23" s="215">
        <v>-420</v>
      </c>
      <c r="Q23" s="215">
        <f t="shared" si="0"/>
        <v>-2520</v>
      </c>
      <c r="R23" s="215">
        <f t="shared" si="1"/>
        <v>-2520</v>
      </c>
      <c r="S23" s="215">
        <f t="shared" si="2"/>
        <v>-1680</v>
      </c>
      <c r="T23" s="215">
        <f t="shared" si="3"/>
        <v>-840</v>
      </c>
      <c r="U23" s="215">
        <f t="shared" si="4"/>
        <v>-420</v>
      </c>
    </row>
    <row r="24" spans="1:21" ht="15.5" x14ac:dyDescent="0.35">
      <c r="A24" s="21">
        <v>2</v>
      </c>
      <c r="B24" s="214" t="s">
        <v>540</v>
      </c>
      <c r="C24" s="215">
        <v>-33216.769999999997</v>
      </c>
      <c r="D24" s="215">
        <v>-29499.93</v>
      </c>
      <c r="E24" s="215">
        <v>-25913.5</v>
      </c>
      <c r="F24" s="215">
        <v>-24560.58</v>
      </c>
      <c r="G24" s="215">
        <v>-19223.61</v>
      </c>
      <c r="H24" s="215">
        <v>-25112.77</v>
      </c>
      <c r="I24" s="215">
        <v>-26229.23</v>
      </c>
      <c r="J24" s="215">
        <v>-29901.46</v>
      </c>
      <c r="K24" s="215">
        <v>-37429.9</v>
      </c>
      <c r="L24" s="215">
        <v>-34280.94</v>
      </c>
      <c r="M24" s="215">
        <v>-17406.099999999999</v>
      </c>
      <c r="N24" s="215">
        <v>0</v>
      </c>
      <c r="O24" s="215">
        <v>-302774.78999999998</v>
      </c>
      <c r="Q24" s="215">
        <f t="shared" si="0"/>
        <v>0</v>
      </c>
      <c r="R24" s="215">
        <f t="shared" si="1"/>
        <v>-104436.59999999999</v>
      </c>
      <c r="S24" s="215">
        <f t="shared" si="2"/>
        <v>-206748.16</v>
      </c>
      <c r="T24" s="215">
        <f t="shared" si="3"/>
        <v>-290495.26</v>
      </c>
      <c r="U24" s="215">
        <f t="shared" si="4"/>
        <v>-302774.78999999998</v>
      </c>
    </row>
    <row r="25" spans="1:21" ht="15.5" x14ac:dyDescent="0.35">
      <c r="A25" s="21">
        <v>4</v>
      </c>
      <c r="B25" s="214" t="s">
        <v>541</v>
      </c>
      <c r="C25" s="215">
        <v>-41256.800000000003</v>
      </c>
      <c r="D25" s="215">
        <v>-400</v>
      </c>
      <c r="E25" s="215">
        <v>-22098.2</v>
      </c>
      <c r="F25" s="215">
        <v>-1006</v>
      </c>
      <c r="G25" s="215">
        <v>-20742.650000000001</v>
      </c>
      <c r="H25" s="215">
        <v>-26539.02</v>
      </c>
      <c r="I25" s="215">
        <v>0</v>
      </c>
      <c r="J25" s="215">
        <v>0</v>
      </c>
      <c r="K25" s="215">
        <v>-3968</v>
      </c>
      <c r="L25" s="215">
        <v>0</v>
      </c>
      <c r="M25" s="215">
        <v>-16661.189999999999</v>
      </c>
      <c r="N25" s="215">
        <v>0</v>
      </c>
      <c r="O25" s="215">
        <v>-132671.85999999999</v>
      </c>
      <c r="Q25" s="215">
        <f t="shared" si="0"/>
        <v>0</v>
      </c>
      <c r="R25" s="215">
        <f t="shared" si="1"/>
        <v>-99967.139999999985</v>
      </c>
      <c r="S25" s="215">
        <f t="shared" si="2"/>
        <v>-66644.759999999995</v>
      </c>
      <c r="T25" s="215">
        <f t="shared" si="3"/>
        <v>-41258.379999999997</v>
      </c>
      <c r="U25" s="215">
        <f t="shared" si="4"/>
        <v>-132671.85999999999</v>
      </c>
    </row>
    <row r="26" spans="1:21" ht="15.5" x14ac:dyDescent="0.35">
      <c r="B26" s="212" t="s">
        <v>542</v>
      </c>
      <c r="C26" s="216">
        <v>63165.53</v>
      </c>
      <c r="D26" s="216">
        <v>107168.36</v>
      </c>
      <c r="E26" s="216">
        <v>88881.95</v>
      </c>
      <c r="F26" s="216">
        <v>113371</v>
      </c>
      <c r="G26" s="216">
        <v>95382.35</v>
      </c>
      <c r="H26" s="216">
        <v>88029.98</v>
      </c>
      <c r="I26" s="216">
        <v>110541</v>
      </c>
      <c r="J26" s="216">
        <v>106694.97</v>
      </c>
      <c r="K26" s="216">
        <v>108561.68</v>
      </c>
      <c r="L26" s="216">
        <v>100393.75</v>
      </c>
      <c r="M26" s="216">
        <v>85547.93</v>
      </c>
      <c r="N26" s="216">
        <v>114654.85</v>
      </c>
      <c r="O26" s="216">
        <v>1182393.3500000001</v>
      </c>
      <c r="Q26" s="216">
        <f t="shared" si="0"/>
        <v>1375858.2000000002</v>
      </c>
      <c r="R26" s="216">
        <f t="shared" si="1"/>
        <v>1201216.68</v>
      </c>
      <c r="S26" s="216">
        <f t="shared" si="2"/>
        <v>1202386.1200000001</v>
      </c>
      <c r="T26" s="216">
        <f t="shared" si="3"/>
        <v>1252788.3600000001</v>
      </c>
      <c r="U26" s="216">
        <f t="shared" si="4"/>
        <v>1182393.3500000001</v>
      </c>
    </row>
    <row r="27" spans="1:21" ht="15.5" x14ac:dyDescent="0.35">
      <c r="B27" s="212" t="s">
        <v>543</v>
      </c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Q27" s="213">
        <f t="shared" si="0"/>
        <v>0</v>
      </c>
      <c r="R27" s="213">
        <f t="shared" si="1"/>
        <v>0</v>
      </c>
      <c r="S27" s="213">
        <f t="shared" si="2"/>
        <v>0</v>
      </c>
      <c r="T27" s="213">
        <f t="shared" si="3"/>
        <v>0</v>
      </c>
      <c r="U27" s="213">
        <f t="shared" si="4"/>
        <v>0</v>
      </c>
    </row>
    <row r="28" spans="1:21" ht="15.5" x14ac:dyDescent="0.35">
      <c r="A28" s="21">
        <v>7</v>
      </c>
      <c r="B28" s="214" t="s">
        <v>544</v>
      </c>
      <c r="C28" s="215">
        <v>1330</v>
      </c>
      <c r="D28" s="215">
        <v>1274</v>
      </c>
      <c r="E28" s="215">
        <v>1218</v>
      </c>
      <c r="F28" s="215">
        <v>0</v>
      </c>
      <c r="G28" s="215">
        <v>0</v>
      </c>
      <c r="H28" s="215">
        <v>0</v>
      </c>
      <c r="I28" s="215">
        <v>0</v>
      </c>
      <c r="J28" s="215">
        <v>0</v>
      </c>
      <c r="K28" s="215">
        <v>0</v>
      </c>
      <c r="L28" s="215">
        <v>0</v>
      </c>
      <c r="M28" s="215">
        <v>0</v>
      </c>
      <c r="N28" s="215">
        <v>0</v>
      </c>
      <c r="O28" s="215">
        <v>3822</v>
      </c>
      <c r="Q28" s="215">
        <f t="shared" si="0"/>
        <v>0</v>
      </c>
      <c r="R28" s="215">
        <f t="shared" si="1"/>
        <v>0</v>
      </c>
      <c r="S28" s="215">
        <f t="shared" si="2"/>
        <v>0</v>
      </c>
      <c r="T28" s="215">
        <f t="shared" si="3"/>
        <v>0</v>
      </c>
      <c r="U28" s="215">
        <f t="shared" si="4"/>
        <v>3822</v>
      </c>
    </row>
    <row r="29" spans="1:21" ht="15.5" x14ac:dyDescent="0.35">
      <c r="A29" s="21">
        <v>7</v>
      </c>
      <c r="B29" s="214" t="s">
        <v>545</v>
      </c>
      <c r="C29" s="215">
        <v>0</v>
      </c>
      <c r="D29" s="215">
        <v>0</v>
      </c>
      <c r="E29" s="215">
        <v>165</v>
      </c>
      <c r="F29" s="215">
        <v>275</v>
      </c>
      <c r="G29" s="215">
        <v>385</v>
      </c>
      <c r="H29" s="215">
        <v>55</v>
      </c>
      <c r="I29" s="215">
        <v>55</v>
      </c>
      <c r="J29" s="215">
        <v>0</v>
      </c>
      <c r="K29" s="215">
        <v>150</v>
      </c>
      <c r="L29" s="215">
        <v>0</v>
      </c>
      <c r="M29" s="215">
        <v>-75</v>
      </c>
      <c r="N29" s="215">
        <v>-75</v>
      </c>
      <c r="O29" s="215">
        <v>935</v>
      </c>
      <c r="Q29" s="215">
        <f t="shared" si="0"/>
        <v>-900</v>
      </c>
      <c r="R29" s="215">
        <f t="shared" si="1"/>
        <v>-900</v>
      </c>
      <c r="S29" s="215">
        <f t="shared" si="2"/>
        <v>-600</v>
      </c>
      <c r="T29" s="215">
        <f t="shared" si="3"/>
        <v>110</v>
      </c>
      <c r="U29" s="215">
        <f t="shared" si="4"/>
        <v>935</v>
      </c>
    </row>
    <row r="30" spans="1:21" ht="15.5" x14ac:dyDescent="0.35">
      <c r="A30" s="21">
        <v>7</v>
      </c>
      <c r="B30" s="214" t="s">
        <v>546</v>
      </c>
      <c r="C30" s="215">
        <v>2246.5</v>
      </c>
      <c r="D30" s="215">
        <v>2414.8000000000002</v>
      </c>
      <c r="E30" s="215">
        <v>2981</v>
      </c>
      <c r="F30" s="215">
        <v>3381.7</v>
      </c>
      <c r="G30" s="215">
        <v>3761.8</v>
      </c>
      <c r="H30" s="215">
        <v>3081.7</v>
      </c>
      <c r="I30" s="215">
        <v>3111.8</v>
      </c>
      <c r="J30" s="215">
        <v>4980.3999999999996</v>
      </c>
      <c r="K30" s="215">
        <v>250</v>
      </c>
      <c r="L30" s="215">
        <v>2429.16</v>
      </c>
      <c r="M30" s="215">
        <v>1850.19</v>
      </c>
      <c r="N30" s="215">
        <v>2271.56</v>
      </c>
      <c r="O30" s="215">
        <v>32760.61</v>
      </c>
      <c r="Q30" s="215">
        <f t="shared" si="0"/>
        <v>27258.720000000001</v>
      </c>
      <c r="R30" s="215">
        <f t="shared" si="1"/>
        <v>24730.5</v>
      </c>
      <c r="S30" s="215">
        <f t="shared" si="2"/>
        <v>26203.64</v>
      </c>
      <c r="T30" s="215">
        <f t="shared" si="3"/>
        <v>29786.22</v>
      </c>
      <c r="U30" s="215">
        <f t="shared" si="4"/>
        <v>32760.609999999997</v>
      </c>
    </row>
    <row r="31" spans="1:21" ht="15.5" x14ac:dyDescent="0.35">
      <c r="A31" s="21">
        <v>6</v>
      </c>
      <c r="B31" s="214" t="s">
        <v>547</v>
      </c>
      <c r="C31" s="215">
        <v>0</v>
      </c>
      <c r="D31" s="215">
        <v>0</v>
      </c>
      <c r="E31" s="215">
        <v>0</v>
      </c>
      <c r="F31" s="215">
        <v>0</v>
      </c>
      <c r="G31" s="215">
        <v>0</v>
      </c>
      <c r="H31" s="215">
        <v>0</v>
      </c>
      <c r="I31" s="215">
        <v>0</v>
      </c>
      <c r="J31" s="215">
        <v>0</v>
      </c>
      <c r="K31" s="215">
        <v>0</v>
      </c>
      <c r="L31" s="215">
        <v>9.0299999999999994</v>
      </c>
      <c r="M31" s="215">
        <v>-9.0299999999999994</v>
      </c>
      <c r="N31" s="215">
        <v>0</v>
      </c>
      <c r="O31" s="215">
        <v>0</v>
      </c>
      <c r="Q31" s="215">
        <f t="shared" si="0"/>
        <v>0</v>
      </c>
      <c r="R31" s="215">
        <f t="shared" si="1"/>
        <v>-54.179999999999993</v>
      </c>
      <c r="S31" s="215">
        <f t="shared" si="2"/>
        <v>0</v>
      </c>
      <c r="T31" s="215">
        <f t="shared" si="3"/>
        <v>0</v>
      </c>
      <c r="U31" s="215">
        <f t="shared" si="4"/>
        <v>0</v>
      </c>
    </row>
    <row r="32" spans="1:21" ht="15.5" x14ac:dyDescent="0.35">
      <c r="A32" s="21">
        <v>6</v>
      </c>
      <c r="B32" s="214" t="s">
        <v>548</v>
      </c>
      <c r="C32" s="215">
        <v>0</v>
      </c>
      <c r="D32" s="215">
        <v>95</v>
      </c>
      <c r="E32" s="215">
        <v>95</v>
      </c>
      <c r="F32" s="215">
        <v>95</v>
      </c>
      <c r="G32" s="215">
        <v>95</v>
      </c>
      <c r="H32" s="215">
        <v>95</v>
      </c>
      <c r="I32" s="215">
        <v>95</v>
      </c>
      <c r="J32" s="215">
        <v>0</v>
      </c>
      <c r="K32" s="215">
        <v>0</v>
      </c>
      <c r="L32" s="215">
        <v>0</v>
      </c>
      <c r="M32" s="215">
        <v>0</v>
      </c>
      <c r="N32" s="215">
        <v>0</v>
      </c>
      <c r="O32" s="215">
        <v>570</v>
      </c>
      <c r="Q32" s="215">
        <f t="shared" si="0"/>
        <v>0</v>
      </c>
      <c r="R32" s="215">
        <f t="shared" si="1"/>
        <v>0</v>
      </c>
      <c r="S32" s="215">
        <f t="shared" si="2"/>
        <v>0</v>
      </c>
      <c r="T32" s="215">
        <f t="shared" si="3"/>
        <v>190</v>
      </c>
      <c r="U32" s="215">
        <f t="shared" si="4"/>
        <v>570</v>
      </c>
    </row>
    <row r="33" spans="1:21" ht="15.5" x14ac:dyDescent="0.35">
      <c r="A33" s="21">
        <v>6</v>
      </c>
      <c r="B33" s="214" t="s">
        <v>549</v>
      </c>
      <c r="C33" s="215">
        <v>6459.53</v>
      </c>
      <c r="D33" s="215">
        <v>6794</v>
      </c>
      <c r="E33" s="215">
        <v>7216</v>
      </c>
      <c r="F33" s="215">
        <v>7099</v>
      </c>
      <c r="G33" s="215">
        <v>7482</v>
      </c>
      <c r="H33" s="215">
        <v>7122</v>
      </c>
      <c r="I33" s="215">
        <v>7077</v>
      </c>
      <c r="J33" s="215">
        <v>6398.33</v>
      </c>
      <c r="K33" s="215">
        <v>6302.77</v>
      </c>
      <c r="L33" s="215">
        <v>5980.56</v>
      </c>
      <c r="M33" s="215">
        <v>7009.03</v>
      </c>
      <c r="N33" s="215">
        <v>7576.96</v>
      </c>
      <c r="O33" s="215">
        <v>82517.179999999993</v>
      </c>
      <c r="Q33" s="215">
        <f t="shared" si="0"/>
        <v>90923.520000000004</v>
      </c>
      <c r="R33" s="215">
        <f t="shared" si="1"/>
        <v>87515.94</v>
      </c>
      <c r="S33" s="215">
        <f t="shared" si="2"/>
        <v>82266.2</v>
      </c>
      <c r="T33" s="215">
        <f t="shared" si="3"/>
        <v>80689.3</v>
      </c>
      <c r="U33" s="215">
        <f t="shared" si="4"/>
        <v>82517.180000000008</v>
      </c>
    </row>
    <row r="34" spans="1:21" ht="15.5" x14ac:dyDescent="0.35">
      <c r="A34" s="21">
        <v>7</v>
      </c>
      <c r="B34" s="214" t="s">
        <v>550</v>
      </c>
      <c r="C34" s="215">
        <v>493.5</v>
      </c>
      <c r="D34" s="215">
        <v>588</v>
      </c>
      <c r="E34" s="215">
        <v>661.5</v>
      </c>
      <c r="F34" s="215">
        <v>735</v>
      </c>
      <c r="G34" s="215">
        <v>756</v>
      </c>
      <c r="H34" s="215">
        <v>766.5</v>
      </c>
      <c r="I34" s="215">
        <v>724.5</v>
      </c>
      <c r="J34" s="215">
        <v>-15.5</v>
      </c>
      <c r="K34" s="215">
        <v>258.5</v>
      </c>
      <c r="L34" s="215">
        <v>161</v>
      </c>
      <c r="M34" s="215">
        <v>-107.92</v>
      </c>
      <c r="N34" s="215">
        <v>52.92</v>
      </c>
      <c r="O34" s="215">
        <v>5074</v>
      </c>
      <c r="Q34" s="215">
        <f t="shared" si="0"/>
        <v>635.04</v>
      </c>
      <c r="R34" s="215">
        <f t="shared" si="1"/>
        <v>-330</v>
      </c>
      <c r="S34" s="215">
        <f t="shared" si="2"/>
        <v>424</v>
      </c>
      <c r="T34" s="215">
        <f t="shared" si="3"/>
        <v>2147</v>
      </c>
      <c r="U34" s="215">
        <f t="shared" si="4"/>
        <v>5074</v>
      </c>
    </row>
    <row r="35" spans="1:21" ht="15.5" x14ac:dyDescent="0.35">
      <c r="A35" s="21">
        <v>7</v>
      </c>
      <c r="B35" s="214" t="s">
        <v>551</v>
      </c>
      <c r="C35" s="215">
        <v>0</v>
      </c>
      <c r="D35" s="215">
        <v>0</v>
      </c>
      <c r="E35" s="215">
        <v>0</v>
      </c>
      <c r="F35" s="215">
        <v>0</v>
      </c>
      <c r="G35" s="215">
        <v>0</v>
      </c>
      <c r="H35" s="215">
        <v>0</v>
      </c>
      <c r="I35" s="215">
        <v>0</v>
      </c>
      <c r="J35" s="215">
        <v>26.52</v>
      </c>
      <c r="K35" s="215">
        <v>-13.52</v>
      </c>
      <c r="L35" s="215">
        <v>-13</v>
      </c>
      <c r="M35" s="215">
        <v>-13</v>
      </c>
      <c r="N35" s="215">
        <v>0</v>
      </c>
      <c r="O35" s="215">
        <v>-13</v>
      </c>
      <c r="Q35" s="215">
        <f t="shared" si="0"/>
        <v>0</v>
      </c>
      <c r="R35" s="215">
        <f t="shared" si="1"/>
        <v>-78</v>
      </c>
      <c r="S35" s="215">
        <f t="shared" si="2"/>
        <v>-104</v>
      </c>
      <c r="T35" s="215">
        <f t="shared" si="3"/>
        <v>-26</v>
      </c>
      <c r="U35" s="215">
        <f t="shared" si="4"/>
        <v>-13</v>
      </c>
    </row>
    <row r="36" spans="1:21" ht="15.5" x14ac:dyDescent="0.35">
      <c r="A36" s="21">
        <v>7</v>
      </c>
      <c r="B36" s="214" t="s">
        <v>552</v>
      </c>
      <c r="C36" s="215">
        <v>-226.5</v>
      </c>
      <c r="D36" s="215">
        <v>-382.5</v>
      </c>
      <c r="E36" s="215">
        <v>-428</v>
      </c>
      <c r="F36" s="215">
        <v>-505</v>
      </c>
      <c r="G36" s="215">
        <v>-563</v>
      </c>
      <c r="H36" s="215">
        <v>-581.5</v>
      </c>
      <c r="I36" s="215">
        <v>-1366</v>
      </c>
      <c r="J36" s="215">
        <v>0</v>
      </c>
      <c r="K36" s="215">
        <v>0</v>
      </c>
      <c r="L36" s="215">
        <v>0</v>
      </c>
      <c r="M36" s="215">
        <v>0</v>
      </c>
      <c r="N36" s="215">
        <v>0</v>
      </c>
      <c r="O36" s="215">
        <v>-4052.5</v>
      </c>
      <c r="Q36" s="215">
        <f t="shared" si="0"/>
        <v>0</v>
      </c>
      <c r="R36" s="215">
        <f t="shared" si="1"/>
        <v>0</v>
      </c>
      <c r="S36" s="215">
        <f t="shared" si="2"/>
        <v>0</v>
      </c>
      <c r="T36" s="215">
        <f t="shared" si="3"/>
        <v>-2732</v>
      </c>
      <c r="U36" s="215">
        <f t="shared" si="4"/>
        <v>-4052.5</v>
      </c>
    </row>
    <row r="37" spans="1:21" ht="15.5" x14ac:dyDescent="0.35">
      <c r="A37" s="21">
        <v>7</v>
      </c>
      <c r="B37" s="214" t="s">
        <v>553</v>
      </c>
      <c r="C37" s="215">
        <v>650</v>
      </c>
      <c r="D37" s="215">
        <v>0</v>
      </c>
      <c r="E37" s="215">
        <v>0</v>
      </c>
      <c r="F37" s="215">
        <v>0</v>
      </c>
      <c r="G37" s="215">
        <v>0</v>
      </c>
      <c r="H37" s="215">
        <v>300</v>
      </c>
      <c r="I37" s="215">
        <v>0</v>
      </c>
      <c r="J37" s="215">
        <v>0</v>
      </c>
      <c r="K37" s="215">
        <v>0</v>
      </c>
      <c r="L37" s="215">
        <v>0</v>
      </c>
      <c r="M37" s="215">
        <v>0</v>
      </c>
      <c r="N37" s="215">
        <v>0</v>
      </c>
      <c r="O37" s="215">
        <v>950</v>
      </c>
      <c r="Q37" s="215">
        <f t="shared" si="0"/>
        <v>0</v>
      </c>
      <c r="R37" s="215">
        <f t="shared" si="1"/>
        <v>0</v>
      </c>
      <c r="S37" s="215">
        <f t="shared" si="2"/>
        <v>0</v>
      </c>
      <c r="T37" s="215">
        <f t="shared" si="3"/>
        <v>0</v>
      </c>
      <c r="U37" s="215">
        <f t="shared" si="4"/>
        <v>950</v>
      </c>
    </row>
    <row r="38" spans="1:21" ht="15.5" x14ac:dyDescent="0.35">
      <c r="A38" s="21">
        <v>7</v>
      </c>
      <c r="B38" s="214" t="s">
        <v>554</v>
      </c>
      <c r="C38" s="215">
        <v>871.84</v>
      </c>
      <c r="D38" s="215">
        <v>0</v>
      </c>
      <c r="E38" s="215">
        <v>0</v>
      </c>
      <c r="F38" s="215">
        <v>0</v>
      </c>
      <c r="G38" s="215">
        <v>0</v>
      </c>
      <c r="H38" s="215">
        <v>162.71</v>
      </c>
      <c r="I38" s="215">
        <v>14.55</v>
      </c>
      <c r="J38" s="215">
        <v>0</v>
      </c>
      <c r="K38" s="215">
        <v>0</v>
      </c>
      <c r="L38" s="215">
        <v>0</v>
      </c>
      <c r="M38" s="215">
        <v>0</v>
      </c>
      <c r="N38" s="215">
        <v>0</v>
      </c>
      <c r="O38" s="215">
        <v>1049.0999999999999</v>
      </c>
      <c r="Q38" s="215">
        <f t="shared" si="0"/>
        <v>0</v>
      </c>
      <c r="R38" s="215">
        <f t="shared" si="1"/>
        <v>0</v>
      </c>
      <c r="S38" s="215">
        <f t="shared" si="2"/>
        <v>0</v>
      </c>
      <c r="T38" s="215">
        <f t="shared" si="3"/>
        <v>29.1</v>
      </c>
      <c r="U38" s="215">
        <f t="shared" si="4"/>
        <v>1049.0999999999999</v>
      </c>
    </row>
    <row r="39" spans="1:21" ht="15.5" x14ac:dyDescent="0.35">
      <c r="A39" s="21">
        <v>7</v>
      </c>
      <c r="B39" s="214" t="s">
        <v>555</v>
      </c>
      <c r="C39" s="215">
        <v>0</v>
      </c>
      <c r="D39" s="215">
        <v>0</v>
      </c>
      <c r="E39" s="215">
        <v>0</v>
      </c>
      <c r="F39" s="215">
        <v>0</v>
      </c>
      <c r="G39" s="215">
        <v>0</v>
      </c>
      <c r="H39" s="215">
        <v>0</v>
      </c>
      <c r="I39" s="215">
        <v>222</v>
      </c>
      <c r="J39" s="215">
        <v>0</v>
      </c>
      <c r="K39" s="215">
        <v>0</v>
      </c>
      <c r="L39" s="215">
        <v>0</v>
      </c>
      <c r="M39" s="215">
        <v>0</v>
      </c>
      <c r="N39" s="215">
        <v>0</v>
      </c>
      <c r="O39" s="215">
        <v>222</v>
      </c>
      <c r="Q39" s="215">
        <f t="shared" si="0"/>
        <v>0</v>
      </c>
      <c r="R39" s="215">
        <f t="shared" si="1"/>
        <v>0</v>
      </c>
      <c r="S39" s="215">
        <f t="shared" si="2"/>
        <v>0</v>
      </c>
      <c r="T39" s="215">
        <f t="shared" si="3"/>
        <v>444</v>
      </c>
      <c r="U39" s="215">
        <f t="shared" si="4"/>
        <v>222</v>
      </c>
    </row>
    <row r="40" spans="1:21" ht="15.5" x14ac:dyDescent="0.35">
      <c r="A40" s="21">
        <v>7</v>
      </c>
      <c r="B40" s="214" t="s">
        <v>556</v>
      </c>
      <c r="C40" s="215">
        <v>795</v>
      </c>
      <c r="D40" s="215">
        <v>500</v>
      </c>
      <c r="E40" s="215">
        <v>500</v>
      </c>
      <c r="F40" s="215">
        <v>500</v>
      </c>
      <c r="G40" s="215">
        <v>437</v>
      </c>
      <c r="H40" s="215">
        <v>312</v>
      </c>
      <c r="I40" s="215">
        <v>0</v>
      </c>
      <c r="J40" s="215">
        <v>132</v>
      </c>
      <c r="K40" s="215">
        <v>267</v>
      </c>
      <c r="L40" s="215">
        <v>170</v>
      </c>
      <c r="M40" s="215">
        <v>125</v>
      </c>
      <c r="N40" s="215">
        <v>125</v>
      </c>
      <c r="O40" s="215">
        <v>3863</v>
      </c>
      <c r="Q40" s="215">
        <f t="shared" si="0"/>
        <v>1500</v>
      </c>
      <c r="R40" s="215">
        <f t="shared" si="1"/>
        <v>1500</v>
      </c>
      <c r="S40" s="215">
        <f t="shared" si="2"/>
        <v>1680</v>
      </c>
      <c r="T40" s="215">
        <f t="shared" si="3"/>
        <v>1638</v>
      </c>
      <c r="U40" s="215">
        <f t="shared" si="4"/>
        <v>3863</v>
      </c>
    </row>
    <row r="41" spans="1:21" ht="15.5" x14ac:dyDescent="0.35">
      <c r="A41" s="21">
        <v>7</v>
      </c>
      <c r="B41" s="214" t="s">
        <v>557</v>
      </c>
      <c r="C41" s="215">
        <v>0</v>
      </c>
      <c r="D41" s="215">
        <v>0</v>
      </c>
      <c r="E41" s="215">
        <v>75</v>
      </c>
      <c r="F41" s="215">
        <v>130</v>
      </c>
      <c r="G41" s="215">
        <v>0</v>
      </c>
      <c r="H41" s="215">
        <v>0</v>
      </c>
      <c r="I41" s="215">
        <v>0</v>
      </c>
      <c r="J41" s="215">
        <v>0</v>
      </c>
      <c r="K41" s="215">
        <v>0</v>
      </c>
      <c r="L41" s="215">
        <v>0</v>
      </c>
      <c r="M41" s="215">
        <v>0</v>
      </c>
      <c r="N41" s="215">
        <v>0</v>
      </c>
      <c r="O41" s="215">
        <v>205</v>
      </c>
      <c r="Q41" s="215">
        <f t="shared" si="0"/>
        <v>0</v>
      </c>
      <c r="R41" s="215">
        <f t="shared" si="1"/>
        <v>0</v>
      </c>
      <c r="S41" s="215">
        <f t="shared" si="2"/>
        <v>0</v>
      </c>
      <c r="T41" s="215">
        <f t="shared" si="3"/>
        <v>0</v>
      </c>
      <c r="U41" s="215">
        <f t="shared" si="4"/>
        <v>205</v>
      </c>
    </row>
    <row r="42" spans="1:21" ht="15.5" x14ac:dyDescent="0.35">
      <c r="A42" s="21">
        <v>7</v>
      </c>
      <c r="B42" s="214" t="s">
        <v>558</v>
      </c>
      <c r="C42" s="215">
        <v>0</v>
      </c>
      <c r="D42" s="215">
        <v>0</v>
      </c>
      <c r="E42" s="215">
        <v>0</v>
      </c>
      <c r="F42" s="215">
        <v>0</v>
      </c>
      <c r="G42" s="215">
        <v>0</v>
      </c>
      <c r="H42" s="215">
        <v>0</v>
      </c>
      <c r="I42" s="215">
        <v>0</v>
      </c>
      <c r="J42" s="215">
        <v>0</v>
      </c>
      <c r="K42" s="215">
        <v>0</v>
      </c>
      <c r="L42" s="215">
        <v>0</v>
      </c>
      <c r="M42" s="215">
        <v>0</v>
      </c>
      <c r="N42" s="215">
        <v>1360.08</v>
      </c>
      <c r="O42" s="215">
        <v>1360.08</v>
      </c>
      <c r="Q42" s="215">
        <f t="shared" si="0"/>
        <v>16320.96</v>
      </c>
      <c r="R42" s="215">
        <f t="shared" si="1"/>
        <v>8160.48</v>
      </c>
      <c r="S42" s="215">
        <f t="shared" si="2"/>
        <v>5440.32</v>
      </c>
      <c r="T42" s="215">
        <f t="shared" si="3"/>
        <v>2720.16</v>
      </c>
      <c r="U42" s="215">
        <f t="shared" si="4"/>
        <v>1360.08</v>
      </c>
    </row>
    <row r="43" spans="1:21" ht="15.5" x14ac:dyDescent="0.35">
      <c r="A43" s="21">
        <v>7</v>
      </c>
      <c r="B43" s="214" t="s">
        <v>559</v>
      </c>
      <c r="C43" s="215">
        <v>0</v>
      </c>
      <c r="D43" s="215">
        <v>0</v>
      </c>
      <c r="E43" s="215">
        <v>145</v>
      </c>
      <c r="F43" s="215">
        <v>210</v>
      </c>
      <c r="G43" s="215">
        <v>280</v>
      </c>
      <c r="H43" s="215">
        <v>350</v>
      </c>
      <c r="I43" s="215">
        <v>280</v>
      </c>
      <c r="J43" s="215">
        <v>0</v>
      </c>
      <c r="K43" s="215">
        <v>25.01</v>
      </c>
      <c r="L43" s="215">
        <v>952.06</v>
      </c>
      <c r="M43" s="215">
        <v>4.0199999999999996</v>
      </c>
      <c r="N43" s="215">
        <v>172.02</v>
      </c>
      <c r="O43" s="215">
        <v>2418.11</v>
      </c>
      <c r="Q43" s="215">
        <f t="shared" si="0"/>
        <v>2064.2400000000002</v>
      </c>
      <c r="R43" s="215">
        <f t="shared" si="1"/>
        <v>1056.2400000000002</v>
      </c>
      <c r="S43" s="215">
        <f t="shared" si="2"/>
        <v>4512.3999999999996</v>
      </c>
      <c r="T43" s="215">
        <f t="shared" si="3"/>
        <v>2866.22</v>
      </c>
      <c r="U43" s="215">
        <f t="shared" si="4"/>
        <v>2418.1099999999997</v>
      </c>
    </row>
    <row r="44" spans="1:21" ht="15.5" x14ac:dyDescent="0.35">
      <c r="A44" s="21">
        <v>7</v>
      </c>
      <c r="B44" s="214" t="s">
        <v>560</v>
      </c>
      <c r="C44" s="215">
        <v>0</v>
      </c>
      <c r="D44" s="215">
        <v>0</v>
      </c>
      <c r="E44" s="215">
        <v>0</v>
      </c>
      <c r="F44" s="215">
        <v>0</v>
      </c>
      <c r="G44" s="215">
        <v>0</v>
      </c>
      <c r="H44" s="215">
        <v>0</v>
      </c>
      <c r="I44" s="215">
        <v>0</v>
      </c>
      <c r="J44" s="215">
        <v>0</v>
      </c>
      <c r="K44" s="215">
        <v>0</v>
      </c>
      <c r="L44" s="215">
        <v>0</v>
      </c>
      <c r="M44" s="215">
        <v>0</v>
      </c>
      <c r="N44" s="215">
        <v>100</v>
      </c>
      <c r="O44" s="215">
        <v>100</v>
      </c>
      <c r="Q44" s="215">
        <f t="shared" si="0"/>
        <v>1200</v>
      </c>
      <c r="R44" s="215">
        <f t="shared" si="1"/>
        <v>600</v>
      </c>
      <c r="S44" s="215">
        <f t="shared" si="2"/>
        <v>400</v>
      </c>
      <c r="T44" s="215">
        <f t="shared" si="3"/>
        <v>200</v>
      </c>
      <c r="U44" s="215">
        <f t="shared" si="4"/>
        <v>100</v>
      </c>
    </row>
    <row r="45" spans="1:21" ht="15.5" x14ac:dyDescent="0.35">
      <c r="A45" s="21">
        <v>7</v>
      </c>
      <c r="B45" s="214" t="s">
        <v>561</v>
      </c>
      <c r="C45" s="215">
        <v>1970</v>
      </c>
      <c r="D45" s="215">
        <v>0</v>
      </c>
      <c r="E45" s="215">
        <v>1550</v>
      </c>
      <c r="F45" s="215">
        <v>0</v>
      </c>
      <c r="G45" s="215">
        <v>2550</v>
      </c>
      <c r="H45" s="215">
        <v>12732</v>
      </c>
      <c r="I45" s="215">
        <v>4593</v>
      </c>
      <c r="J45" s="215">
        <v>0</v>
      </c>
      <c r="K45" s="215">
        <v>0</v>
      </c>
      <c r="L45" s="215">
        <v>0</v>
      </c>
      <c r="M45" s="215">
        <v>0</v>
      </c>
      <c r="N45" s="215">
        <v>0</v>
      </c>
      <c r="O45" s="215">
        <v>23395</v>
      </c>
      <c r="Q45" s="215">
        <f t="shared" si="0"/>
        <v>0</v>
      </c>
      <c r="R45" s="215">
        <f t="shared" si="1"/>
        <v>0</v>
      </c>
      <c r="S45" s="215">
        <f t="shared" si="2"/>
        <v>0</v>
      </c>
      <c r="T45" s="215">
        <f t="shared" si="3"/>
        <v>9186</v>
      </c>
      <c r="U45" s="215">
        <f t="shared" si="4"/>
        <v>23395</v>
      </c>
    </row>
    <row r="46" spans="1:21" ht="15.5" x14ac:dyDescent="0.35">
      <c r="A46" s="21">
        <v>7</v>
      </c>
      <c r="B46" s="214" t="s">
        <v>562</v>
      </c>
      <c r="C46" s="215">
        <v>-1750</v>
      </c>
      <c r="D46" s="215">
        <v>1250</v>
      </c>
      <c r="E46" s="215">
        <v>-800</v>
      </c>
      <c r="F46" s="215">
        <v>-750</v>
      </c>
      <c r="G46" s="215">
        <v>1000</v>
      </c>
      <c r="H46" s="215">
        <v>-1750</v>
      </c>
      <c r="I46" s="215">
        <v>-1401</v>
      </c>
      <c r="J46" s="215">
        <v>0</v>
      </c>
      <c r="K46" s="215">
        <v>0</v>
      </c>
      <c r="L46" s="215">
        <v>0</v>
      </c>
      <c r="M46" s="215">
        <v>0</v>
      </c>
      <c r="N46" s="215">
        <v>0</v>
      </c>
      <c r="O46" s="215">
        <v>-4201</v>
      </c>
      <c r="Q46" s="215">
        <f t="shared" si="0"/>
        <v>0</v>
      </c>
      <c r="R46" s="215">
        <f t="shared" si="1"/>
        <v>0</v>
      </c>
      <c r="S46" s="215">
        <f t="shared" si="2"/>
        <v>0</v>
      </c>
      <c r="T46" s="215">
        <f t="shared" si="3"/>
        <v>-2802</v>
      </c>
      <c r="U46" s="215">
        <f t="shared" si="4"/>
        <v>-4201</v>
      </c>
    </row>
    <row r="47" spans="1:21" ht="15.5" x14ac:dyDescent="0.35">
      <c r="A47" s="21">
        <v>7</v>
      </c>
      <c r="B47" s="214" t="s">
        <v>563</v>
      </c>
      <c r="C47" s="215">
        <v>0</v>
      </c>
      <c r="D47" s="215">
        <v>0</v>
      </c>
      <c r="E47" s="215">
        <v>0</v>
      </c>
      <c r="F47" s="215">
        <v>0</v>
      </c>
      <c r="G47" s="215">
        <v>0</v>
      </c>
      <c r="H47" s="215">
        <v>400</v>
      </c>
      <c r="I47" s="215">
        <v>0</v>
      </c>
      <c r="J47" s="215">
        <v>0</v>
      </c>
      <c r="K47" s="215">
        <v>0</v>
      </c>
      <c r="L47" s="215">
        <v>0</v>
      </c>
      <c r="M47" s="215">
        <v>0</v>
      </c>
      <c r="N47" s="215">
        <v>0</v>
      </c>
      <c r="O47" s="215">
        <v>400</v>
      </c>
      <c r="Q47" s="215">
        <f t="shared" si="0"/>
        <v>0</v>
      </c>
      <c r="R47" s="215">
        <f t="shared" si="1"/>
        <v>0</v>
      </c>
      <c r="S47" s="215">
        <f t="shared" si="2"/>
        <v>0</v>
      </c>
      <c r="T47" s="215">
        <f t="shared" si="3"/>
        <v>0</v>
      </c>
      <c r="U47" s="215">
        <f t="shared" si="4"/>
        <v>400</v>
      </c>
    </row>
    <row r="48" spans="1:21" ht="15.5" x14ac:dyDescent="0.35">
      <c r="A48" s="21">
        <v>7</v>
      </c>
      <c r="B48" s="214" t="s">
        <v>564</v>
      </c>
      <c r="C48" s="215">
        <v>3686.89</v>
      </c>
      <c r="D48" s="215">
        <v>0</v>
      </c>
      <c r="E48" s="215">
        <v>2225.3000000000002</v>
      </c>
      <c r="F48" s="215">
        <v>0</v>
      </c>
      <c r="G48" s="215">
        <v>0</v>
      </c>
      <c r="H48" s="215">
        <v>0</v>
      </c>
      <c r="I48" s="215">
        <v>93.59</v>
      </c>
      <c r="J48" s="215">
        <v>0</v>
      </c>
      <c r="K48" s="215">
        <v>0</v>
      </c>
      <c r="L48" s="215">
        <v>0</v>
      </c>
      <c r="M48" s="215">
        <v>1233.75</v>
      </c>
      <c r="N48" s="215">
        <v>432.24</v>
      </c>
      <c r="O48" s="215">
        <v>7671.77</v>
      </c>
      <c r="Q48" s="215">
        <f t="shared" si="0"/>
        <v>5186.88</v>
      </c>
      <c r="R48" s="215">
        <f t="shared" si="1"/>
        <v>9995.94</v>
      </c>
      <c r="S48" s="215">
        <f t="shared" si="2"/>
        <v>6663.96</v>
      </c>
      <c r="T48" s="215">
        <f t="shared" si="3"/>
        <v>3519.16</v>
      </c>
      <c r="U48" s="215">
        <f t="shared" si="4"/>
        <v>7671.77</v>
      </c>
    </row>
    <row r="49" spans="1:21" ht="15.5" x14ac:dyDescent="0.35">
      <c r="A49" s="21">
        <v>7</v>
      </c>
      <c r="B49" s="214" t="s">
        <v>565</v>
      </c>
      <c r="C49" s="215">
        <v>0</v>
      </c>
      <c r="D49" s="215">
        <v>0</v>
      </c>
      <c r="E49" s="215">
        <v>0</v>
      </c>
      <c r="F49" s="215">
        <v>0</v>
      </c>
      <c r="G49" s="215">
        <v>59.11</v>
      </c>
      <c r="H49" s="215">
        <v>0</v>
      </c>
      <c r="I49" s="215">
        <v>0</v>
      </c>
      <c r="J49" s="215">
        <v>0</v>
      </c>
      <c r="K49" s="215">
        <v>0</v>
      </c>
      <c r="L49" s="215">
        <v>0</v>
      </c>
      <c r="M49" s="215">
        <v>0</v>
      </c>
      <c r="N49" s="215">
        <v>0</v>
      </c>
      <c r="O49" s="215">
        <v>59.11</v>
      </c>
      <c r="Q49" s="215">
        <f t="shared" si="0"/>
        <v>0</v>
      </c>
      <c r="R49" s="215">
        <f t="shared" si="1"/>
        <v>0</v>
      </c>
      <c r="S49" s="215">
        <f t="shared" si="2"/>
        <v>0</v>
      </c>
      <c r="T49" s="215">
        <f t="shared" si="3"/>
        <v>0</v>
      </c>
      <c r="U49" s="215">
        <f t="shared" si="4"/>
        <v>59.11</v>
      </c>
    </row>
    <row r="50" spans="1:21" ht="15.5" x14ac:dyDescent="0.35">
      <c r="A50" s="21">
        <v>6</v>
      </c>
      <c r="B50" s="214" t="s">
        <v>566</v>
      </c>
      <c r="C50" s="215">
        <v>0</v>
      </c>
      <c r="D50" s="215">
        <v>0</v>
      </c>
      <c r="E50" s="215">
        <v>0</v>
      </c>
      <c r="F50" s="215">
        <v>0</v>
      </c>
      <c r="G50" s="215">
        <v>0</v>
      </c>
      <c r="H50" s="215">
        <v>0</v>
      </c>
      <c r="I50" s="215">
        <v>0</v>
      </c>
      <c r="J50" s="215">
        <v>0</v>
      </c>
      <c r="K50" s="215">
        <v>0</v>
      </c>
      <c r="L50" s="215">
        <v>0</v>
      </c>
      <c r="M50" s="215">
        <v>4.66</v>
      </c>
      <c r="N50" s="215">
        <v>183.74</v>
      </c>
      <c r="O50" s="215">
        <v>188.4</v>
      </c>
      <c r="Q50" s="215">
        <f t="shared" si="0"/>
        <v>2204.88</v>
      </c>
      <c r="R50" s="215">
        <f t="shared" si="1"/>
        <v>1130.4000000000001</v>
      </c>
      <c r="S50" s="215">
        <f t="shared" si="2"/>
        <v>753.6</v>
      </c>
      <c r="T50" s="215">
        <f t="shared" si="3"/>
        <v>376.8</v>
      </c>
      <c r="U50" s="215">
        <f t="shared" si="4"/>
        <v>188.4</v>
      </c>
    </row>
    <row r="51" spans="1:21" ht="15.5" x14ac:dyDescent="0.35">
      <c r="A51" s="21">
        <v>7</v>
      </c>
      <c r="B51" s="214" t="s">
        <v>567</v>
      </c>
      <c r="C51" s="215">
        <v>0</v>
      </c>
      <c r="D51" s="215">
        <v>0</v>
      </c>
      <c r="E51" s="215">
        <v>0</v>
      </c>
      <c r="F51" s="215">
        <v>0</v>
      </c>
      <c r="G51" s="215">
        <v>0</v>
      </c>
      <c r="H51" s="215">
        <v>0</v>
      </c>
      <c r="I51" s="215">
        <v>0</v>
      </c>
      <c r="J51" s="215">
        <v>0</v>
      </c>
      <c r="K51" s="215">
        <v>0</v>
      </c>
      <c r="L51" s="215">
        <v>0</v>
      </c>
      <c r="M51" s="215">
        <v>926</v>
      </c>
      <c r="N51" s="215">
        <v>0</v>
      </c>
      <c r="O51" s="215">
        <v>926</v>
      </c>
      <c r="Q51" s="215">
        <f t="shared" si="0"/>
        <v>0</v>
      </c>
      <c r="R51" s="215">
        <f t="shared" si="1"/>
        <v>5556</v>
      </c>
      <c r="S51" s="215">
        <f t="shared" si="2"/>
        <v>3704</v>
      </c>
      <c r="T51" s="215">
        <f t="shared" si="3"/>
        <v>1852</v>
      </c>
      <c r="U51" s="215">
        <f t="shared" si="4"/>
        <v>926</v>
      </c>
    </row>
    <row r="52" spans="1:21" ht="15.5" x14ac:dyDescent="0.35">
      <c r="A52" s="21">
        <v>7</v>
      </c>
      <c r="B52" s="214" t="s">
        <v>568</v>
      </c>
      <c r="C52" s="215">
        <v>1141</v>
      </c>
      <c r="D52" s="215">
        <v>1290</v>
      </c>
      <c r="E52" s="215">
        <v>1380</v>
      </c>
      <c r="F52" s="215">
        <v>1410</v>
      </c>
      <c r="G52" s="215">
        <v>1460</v>
      </c>
      <c r="H52" s="215">
        <v>1392</v>
      </c>
      <c r="I52" s="215">
        <v>1422</v>
      </c>
      <c r="J52" s="215">
        <v>1392.5</v>
      </c>
      <c r="K52" s="215">
        <v>1378.45</v>
      </c>
      <c r="L52" s="215">
        <v>1332.2</v>
      </c>
      <c r="M52" s="215">
        <v>1524</v>
      </c>
      <c r="N52" s="215">
        <v>1685.72</v>
      </c>
      <c r="O52" s="215">
        <v>16807.87</v>
      </c>
      <c r="Q52" s="215">
        <f t="shared" si="0"/>
        <v>20228.64</v>
      </c>
      <c r="R52" s="215">
        <f t="shared" si="1"/>
        <v>19258.32</v>
      </c>
      <c r="S52" s="215">
        <f t="shared" si="2"/>
        <v>18167.68</v>
      </c>
      <c r="T52" s="215">
        <f t="shared" si="3"/>
        <v>17469.739999999998</v>
      </c>
      <c r="U52" s="215">
        <f t="shared" si="4"/>
        <v>16807.870000000003</v>
      </c>
    </row>
    <row r="53" spans="1:21" ht="15.5" x14ac:dyDescent="0.35">
      <c r="A53" s="21">
        <v>7</v>
      </c>
      <c r="B53" s="214" t="s">
        <v>569</v>
      </c>
      <c r="C53" s="215">
        <v>922</v>
      </c>
      <c r="D53" s="215">
        <v>1010</v>
      </c>
      <c r="E53" s="215">
        <v>1125</v>
      </c>
      <c r="F53" s="215">
        <v>1140</v>
      </c>
      <c r="G53" s="215">
        <v>1185</v>
      </c>
      <c r="H53" s="215">
        <v>1145</v>
      </c>
      <c r="I53" s="215">
        <v>1110</v>
      </c>
      <c r="J53" s="215">
        <v>1090.33</v>
      </c>
      <c r="K53" s="215">
        <v>1070.97</v>
      </c>
      <c r="L53" s="215">
        <v>1025.03</v>
      </c>
      <c r="M53" s="215">
        <v>1147.6600000000001</v>
      </c>
      <c r="N53" s="215">
        <v>815.48</v>
      </c>
      <c r="O53" s="215">
        <v>12786.47</v>
      </c>
      <c r="Q53" s="215">
        <f t="shared" si="0"/>
        <v>9785.76</v>
      </c>
      <c r="R53" s="215">
        <f t="shared" si="1"/>
        <v>11778.84</v>
      </c>
      <c r="S53" s="215">
        <f t="shared" si="2"/>
        <v>11952.68</v>
      </c>
      <c r="T53" s="215">
        <f t="shared" si="3"/>
        <v>12518.939999999999</v>
      </c>
      <c r="U53" s="215">
        <f t="shared" si="4"/>
        <v>12786.47</v>
      </c>
    </row>
    <row r="54" spans="1:21" ht="15.5" x14ac:dyDescent="0.35">
      <c r="A54" s="21">
        <v>7</v>
      </c>
      <c r="B54" s="214" t="s">
        <v>570</v>
      </c>
      <c r="C54" s="215">
        <v>701</v>
      </c>
      <c r="D54" s="215">
        <v>715</v>
      </c>
      <c r="E54" s="215">
        <v>790</v>
      </c>
      <c r="F54" s="215">
        <v>0</v>
      </c>
      <c r="G54" s="215">
        <v>807</v>
      </c>
      <c r="H54" s="215">
        <v>756</v>
      </c>
      <c r="I54" s="215">
        <v>727</v>
      </c>
      <c r="J54" s="215">
        <v>689</v>
      </c>
      <c r="K54" s="215">
        <v>657.48</v>
      </c>
      <c r="L54" s="215">
        <v>621.98</v>
      </c>
      <c r="M54" s="215">
        <v>675.84</v>
      </c>
      <c r="N54" s="215">
        <v>732.74</v>
      </c>
      <c r="O54" s="215">
        <v>7873.04</v>
      </c>
      <c r="Q54" s="215">
        <f t="shared" si="0"/>
        <v>8792.880000000001</v>
      </c>
      <c r="R54" s="215">
        <f t="shared" si="1"/>
        <v>8451.48</v>
      </c>
      <c r="S54" s="215">
        <f t="shared" si="2"/>
        <v>8122.2400000000007</v>
      </c>
      <c r="T54" s="215">
        <f t="shared" si="3"/>
        <v>8208.08</v>
      </c>
      <c r="U54" s="215">
        <f t="shared" si="4"/>
        <v>7873.0399999999991</v>
      </c>
    </row>
    <row r="55" spans="1:21" ht="15.5" x14ac:dyDescent="0.35">
      <c r="A55" s="21">
        <v>7</v>
      </c>
      <c r="B55" s="214" t="s">
        <v>571</v>
      </c>
      <c r="C55" s="215">
        <v>2215</v>
      </c>
      <c r="D55" s="215">
        <v>1885.5</v>
      </c>
      <c r="E55" s="215">
        <v>30</v>
      </c>
      <c r="F55" s="215">
        <v>0</v>
      </c>
      <c r="G55" s="215">
        <v>95</v>
      </c>
      <c r="H55" s="215">
        <v>125</v>
      </c>
      <c r="I55" s="215">
        <v>150</v>
      </c>
      <c r="J55" s="215">
        <v>155.16999999999999</v>
      </c>
      <c r="K55" s="215">
        <v>160</v>
      </c>
      <c r="L55" s="215">
        <v>150</v>
      </c>
      <c r="M55" s="215">
        <v>150</v>
      </c>
      <c r="N55" s="215">
        <v>145</v>
      </c>
      <c r="O55" s="215">
        <v>5260.67</v>
      </c>
      <c r="Q55" s="215">
        <f t="shared" si="0"/>
        <v>1740</v>
      </c>
      <c r="R55" s="215">
        <f t="shared" si="1"/>
        <v>1770</v>
      </c>
      <c r="S55" s="215">
        <f t="shared" si="2"/>
        <v>1780</v>
      </c>
      <c r="T55" s="215">
        <f t="shared" si="3"/>
        <v>1820.34</v>
      </c>
      <c r="U55" s="215">
        <f t="shared" si="4"/>
        <v>5260.67</v>
      </c>
    </row>
    <row r="56" spans="1:21" ht="15.5" x14ac:dyDescent="0.35">
      <c r="A56" s="21">
        <v>7</v>
      </c>
      <c r="B56" s="214" t="s">
        <v>572</v>
      </c>
      <c r="C56" s="215">
        <v>60</v>
      </c>
      <c r="D56" s="215">
        <v>60</v>
      </c>
      <c r="E56" s="215">
        <v>178</v>
      </c>
      <c r="F56" s="215">
        <v>1424</v>
      </c>
      <c r="G56" s="215">
        <v>1489</v>
      </c>
      <c r="H56" s="215">
        <v>1293</v>
      </c>
      <c r="I56" s="215">
        <v>1230</v>
      </c>
      <c r="J56" s="215">
        <v>1174</v>
      </c>
      <c r="K56" s="215">
        <v>1114</v>
      </c>
      <c r="L56" s="215">
        <v>1086</v>
      </c>
      <c r="M56" s="215">
        <v>1030</v>
      </c>
      <c r="N56" s="215">
        <v>1030</v>
      </c>
      <c r="O56" s="215">
        <v>11168</v>
      </c>
      <c r="Q56" s="215">
        <f t="shared" si="0"/>
        <v>12360</v>
      </c>
      <c r="R56" s="215">
        <f t="shared" si="1"/>
        <v>12360</v>
      </c>
      <c r="S56" s="215">
        <f t="shared" si="2"/>
        <v>12584</v>
      </c>
      <c r="T56" s="215">
        <f t="shared" si="3"/>
        <v>13328</v>
      </c>
      <c r="U56" s="215">
        <f t="shared" si="4"/>
        <v>11168</v>
      </c>
    </row>
    <row r="57" spans="1:21" ht="15.5" x14ac:dyDescent="0.35">
      <c r="A57" s="21">
        <v>7</v>
      </c>
      <c r="B57" s="214" t="s">
        <v>573</v>
      </c>
      <c r="C57" s="215">
        <v>0</v>
      </c>
      <c r="D57" s="215">
        <v>0</v>
      </c>
      <c r="E57" s="215">
        <v>0</v>
      </c>
      <c r="F57" s="215">
        <v>0</v>
      </c>
      <c r="G57" s="215">
        <v>0</v>
      </c>
      <c r="H57" s="215">
        <v>0</v>
      </c>
      <c r="I57" s="215">
        <v>0</v>
      </c>
      <c r="J57" s="215">
        <v>258</v>
      </c>
      <c r="K57" s="215">
        <v>255.29</v>
      </c>
      <c r="L57" s="215">
        <v>257.98</v>
      </c>
      <c r="M57" s="215">
        <v>299.3</v>
      </c>
      <c r="N57" s="215">
        <v>334.64</v>
      </c>
      <c r="O57" s="215">
        <v>1405.21</v>
      </c>
      <c r="Q57" s="215">
        <f t="shared" si="0"/>
        <v>4015.68</v>
      </c>
      <c r="R57" s="215">
        <f t="shared" si="1"/>
        <v>3803.6400000000003</v>
      </c>
      <c r="S57" s="215">
        <f t="shared" si="2"/>
        <v>3567.68</v>
      </c>
      <c r="T57" s="215">
        <f t="shared" si="3"/>
        <v>2810.42</v>
      </c>
      <c r="U57" s="215">
        <f t="shared" si="4"/>
        <v>1405.21</v>
      </c>
    </row>
    <row r="58" spans="1:21" ht="15.5" x14ac:dyDescent="0.35">
      <c r="A58" s="21">
        <v>7</v>
      </c>
      <c r="B58" s="214" t="s">
        <v>574</v>
      </c>
      <c r="C58" s="215">
        <v>0</v>
      </c>
      <c r="D58" s="215">
        <v>0</v>
      </c>
      <c r="E58" s="215">
        <v>0</v>
      </c>
      <c r="F58" s="215">
        <v>0</v>
      </c>
      <c r="G58" s="215">
        <v>0</v>
      </c>
      <c r="H58" s="215">
        <v>0</v>
      </c>
      <c r="I58" s="215">
        <v>0</v>
      </c>
      <c r="J58" s="215">
        <v>258.10000000000002</v>
      </c>
      <c r="K58" s="215">
        <v>261.29000000000002</v>
      </c>
      <c r="L58" s="215">
        <v>260.98</v>
      </c>
      <c r="M58" s="215">
        <v>302.3</v>
      </c>
      <c r="N58" s="215">
        <v>334.62</v>
      </c>
      <c r="O58" s="215">
        <v>1417.29</v>
      </c>
      <c r="Q58" s="215">
        <f t="shared" si="0"/>
        <v>4015.44</v>
      </c>
      <c r="R58" s="215">
        <f t="shared" si="1"/>
        <v>3821.5200000000004</v>
      </c>
      <c r="S58" s="215">
        <f t="shared" si="2"/>
        <v>3591.6</v>
      </c>
      <c r="T58" s="215">
        <f t="shared" si="3"/>
        <v>2834.58</v>
      </c>
      <c r="U58" s="215">
        <f t="shared" si="4"/>
        <v>1417.29</v>
      </c>
    </row>
    <row r="59" spans="1:21" ht="15.5" x14ac:dyDescent="0.35">
      <c r="A59" s="21">
        <v>7</v>
      </c>
      <c r="B59" s="214" t="s">
        <v>575</v>
      </c>
      <c r="C59" s="215">
        <v>0</v>
      </c>
      <c r="D59" s="215">
        <v>0</v>
      </c>
      <c r="E59" s="215">
        <v>0</v>
      </c>
      <c r="F59" s="215">
        <v>0</v>
      </c>
      <c r="G59" s="215">
        <v>0</v>
      </c>
      <c r="H59" s="215">
        <v>0</v>
      </c>
      <c r="I59" s="215">
        <v>0</v>
      </c>
      <c r="J59" s="215">
        <v>0</v>
      </c>
      <c r="K59" s="215">
        <v>-727</v>
      </c>
      <c r="L59" s="215">
        <v>0</v>
      </c>
      <c r="M59" s="215">
        <v>-2964</v>
      </c>
      <c r="N59" s="215">
        <v>0</v>
      </c>
      <c r="O59" s="215">
        <v>-3691</v>
      </c>
      <c r="Q59" s="215">
        <f t="shared" si="0"/>
        <v>0</v>
      </c>
      <c r="R59" s="215">
        <f t="shared" si="1"/>
        <v>-17784</v>
      </c>
      <c r="S59" s="215">
        <f t="shared" si="2"/>
        <v>-11856</v>
      </c>
      <c r="T59" s="215">
        <f t="shared" si="3"/>
        <v>-7382</v>
      </c>
      <c r="U59" s="215">
        <f t="shared" si="4"/>
        <v>-3691</v>
      </c>
    </row>
    <row r="60" spans="1:21" ht="15.5" x14ac:dyDescent="0.35">
      <c r="B60" s="212" t="s">
        <v>576</v>
      </c>
      <c r="C60" s="216">
        <v>21565.759999999998</v>
      </c>
      <c r="D60" s="216">
        <v>17493.8</v>
      </c>
      <c r="E60" s="216">
        <v>19106.8</v>
      </c>
      <c r="F60" s="216">
        <v>15144.7</v>
      </c>
      <c r="G60" s="216">
        <v>21278.91</v>
      </c>
      <c r="H60" s="216">
        <v>27756.41</v>
      </c>
      <c r="I60" s="216">
        <v>18138.439999999999</v>
      </c>
      <c r="J60" s="216">
        <v>16538.849999999999</v>
      </c>
      <c r="K60" s="216">
        <v>11410.24</v>
      </c>
      <c r="L60" s="216">
        <v>14422.98</v>
      </c>
      <c r="M60" s="216">
        <v>13112.8</v>
      </c>
      <c r="N60" s="216">
        <v>17277.72</v>
      </c>
      <c r="O60" s="216">
        <v>213247.41</v>
      </c>
      <c r="Q60" s="216">
        <f t="shared" si="0"/>
        <v>207332.64</v>
      </c>
      <c r="R60" s="216">
        <f t="shared" si="1"/>
        <v>182343.12</v>
      </c>
      <c r="S60" s="216">
        <f t="shared" si="2"/>
        <v>179254</v>
      </c>
      <c r="T60" s="216">
        <f t="shared" si="3"/>
        <v>181802.06</v>
      </c>
      <c r="U60" s="216">
        <f t="shared" si="4"/>
        <v>213247.41</v>
      </c>
    </row>
    <row r="61" spans="1:21" ht="15.5" x14ac:dyDescent="0.35">
      <c r="B61" s="212" t="s">
        <v>577</v>
      </c>
      <c r="C61" s="216">
        <v>84731.29</v>
      </c>
      <c r="D61" s="216">
        <v>124662.16</v>
      </c>
      <c r="E61" s="216">
        <v>107988.75</v>
      </c>
      <c r="F61" s="216">
        <v>128515.7</v>
      </c>
      <c r="G61" s="216">
        <v>116661.26</v>
      </c>
      <c r="H61" s="216">
        <v>115786.39</v>
      </c>
      <c r="I61" s="216">
        <v>128679.44</v>
      </c>
      <c r="J61" s="216">
        <v>123233.82</v>
      </c>
      <c r="K61" s="216">
        <v>119971.92</v>
      </c>
      <c r="L61" s="216">
        <v>114816.73</v>
      </c>
      <c r="M61" s="216">
        <v>98660.73</v>
      </c>
      <c r="N61" s="216">
        <v>131932.57</v>
      </c>
      <c r="O61" s="216">
        <v>1395640.76</v>
      </c>
      <c r="Q61" s="216">
        <f t="shared" si="0"/>
        <v>1583190.84</v>
      </c>
      <c r="R61" s="216">
        <f t="shared" si="1"/>
        <v>1383559.7999999998</v>
      </c>
      <c r="S61" s="216">
        <f t="shared" si="2"/>
        <v>1381640.12</v>
      </c>
      <c r="T61" s="216">
        <f t="shared" si="3"/>
        <v>1434590.42</v>
      </c>
      <c r="U61" s="216">
        <f t="shared" si="4"/>
        <v>1395640.76</v>
      </c>
    </row>
    <row r="62" spans="1:21" ht="15.5" x14ac:dyDescent="0.35">
      <c r="B62" s="212" t="s">
        <v>578</v>
      </c>
      <c r="C62" s="213"/>
      <c r="D62" s="213"/>
      <c r="E62" s="213"/>
      <c r="F62" s="213"/>
      <c r="G62" s="213"/>
      <c r="H62" s="213"/>
      <c r="I62" s="213"/>
      <c r="J62" s="213"/>
      <c r="K62" s="213"/>
      <c r="L62" s="213"/>
      <c r="M62" s="213"/>
      <c r="N62" s="213"/>
      <c r="O62" s="213"/>
      <c r="Q62" s="213">
        <f t="shared" si="0"/>
        <v>0</v>
      </c>
      <c r="R62" s="213">
        <f t="shared" si="1"/>
        <v>0</v>
      </c>
      <c r="S62" s="213">
        <f t="shared" si="2"/>
        <v>0</v>
      </c>
      <c r="T62" s="213">
        <f t="shared" si="3"/>
        <v>0</v>
      </c>
      <c r="U62" s="213">
        <f t="shared" si="4"/>
        <v>0</v>
      </c>
    </row>
    <row r="63" spans="1:21" ht="15.5" x14ac:dyDescent="0.35">
      <c r="B63" s="212" t="s">
        <v>579</v>
      </c>
      <c r="C63" s="213"/>
      <c r="D63" s="213"/>
      <c r="E63" s="213"/>
      <c r="F63" s="213"/>
      <c r="G63" s="213"/>
      <c r="H63" s="213"/>
      <c r="I63" s="213"/>
      <c r="J63" s="213"/>
      <c r="K63" s="213"/>
      <c r="L63" s="213"/>
      <c r="M63" s="213"/>
      <c r="N63" s="213"/>
      <c r="O63" s="213"/>
      <c r="Q63" s="213">
        <f t="shared" si="0"/>
        <v>0</v>
      </c>
      <c r="R63" s="213">
        <f t="shared" si="1"/>
        <v>0</v>
      </c>
      <c r="S63" s="213">
        <f t="shared" si="2"/>
        <v>0</v>
      </c>
      <c r="T63" s="213">
        <f t="shared" si="3"/>
        <v>0</v>
      </c>
      <c r="U63" s="213">
        <f t="shared" si="4"/>
        <v>0</v>
      </c>
    </row>
    <row r="64" spans="1:21" ht="15.5" x14ac:dyDescent="0.35">
      <c r="A64" s="21">
        <v>17</v>
      </c>
      <c r="B64" s="214" t="s">
        <v>580</v>
      </c>
      <c r="C64" s="215">
        <v>15049</v>
      </c>
      <c r="D64" s="215">
        <v>15433</v>
      </c>
      <c r="E64" s="215">
        <v>16178</v>
      </c>
      <c r="F64" s="215">
        <v>16327</v>
      </c>
      <c r="G64" s="215">
        <v>16625</v>
      </c>
      <c r="H64" s="215">
        <v>16923</v>
      </c>
      <c r="I64" s="215">
        <v>13046.18</v>
      </c>
      <c r="J64" s="215">
        <v>0</v>
      </c>
      <c r="K64" s="215">
        <v>0</v>
      </c>
      <c r="L64" s="215">
        <v>0</v>
      </c>
      <c r="M64" s="215">
        <v>0</v>
      </c>
      <c r="N64" s="215">
        <v>0</v>
      </c>
      <c r="O64" s="215">
        <v>109581.18</v>
      </c>
      <c r="Q64" s="215">
        <f t="shared" si="0"/>
        <v>0</v>
      </c>
      <c r="R64" s="215">
        <f t="shared" si="1"/>
        <v>0</v>
      </c>
      <c r="S64" s="215">
        <f t="shared" si="2"/>
        <v>0</v>
      </c>
      <c r="T64" s="215">
        <f t="shared" si="3"/>
        <v>26092.36</v>
      </c>
      <c r="U64" s="215">
        <f t="shared" si="4"/>
        <v>109581.18</v>
      </c>
    </row>
    <row r="65" spans="1:21" ht="15.5" x14ac:dyDescent="0.35">
      <c r="A65" s="21">
        <v>8</v>
      </c>
      <c r="B65" s="214" t="s">
        <v>581</v>
      </c>
      <c r="C65" s="215">
        <v>750</v>
      </c>
      <c r="D65" s="215">
        <v>450</v>
      </c>
      <c r="E65" s="215">
        <v>900</v>
      </c>
      <c r="F65" s="215">
        <v>1200</v>
      </c>
      <c r="G65" s="215">
        <v>450</v>
      </c>
      <c r="H65" s="215">
        <v>0</v>
      </c>
      <c r="I65" s="215">
        <v>1050</v>
      </c>
      <c r="J65" s="215">
        <v>0</v>
      </c>
      <c r="K65" s="215">
        <v>0</v>
      </c>
      <c r="L65" s="215">
        <v>0</v>
      </c>
      <c r="M65" s="215">
        <v>0</v>
      </c>
      <c r="N65" s="215">
        <v>0</v>
      </c>
      <c r="O65" s="215">
        <v>4800</v>
      </c>
      <c r="Q65" s="215">
        <f t="shared" si="0"/>
        <v>0</v>
      </c>
      <c r="R65" s="215">
        <f t="shared" si="1"/>
        <v>0</v>
      </c>
      <c r="S65" s="215">
        <f t="shared" si="2"/>
        <v>0</v>
      </c>
      <c r="T65" s="215">
        <f t="shared" si="3"/>
        <v>2100</v>
      </c>
      <c r="U65" s="215">
        <f t="shared" si="4"/>
        <v>4800</v>
      </c>
    </row>
    <row r="66" spans="1:21" ht="15.5" x14ac:dyDescent="0.35">
      <c r="A66" s="21">
        <v>17</v>
      </c>
      <c r="B66" s="214" t="s">
        <v>582</v>
      </c>
      <c r="C66" s="215">
        <v>0</v>
      </c>
      <c r="D66" s="215">
        <v>0</v>
      </c>
      <c r="E66" s="215">
        <v>0</v>
      </c>
      <c r="F66" s="215">
        <v>0</v>
      </c>
      <c r="G66" s="215">
        <v>0</v>
      </c>
      <c r="H66" s="215">
        <v>0</v>
      </c>
      <c r="I66" s="215">
        <v>0</v>
      </c>
      <c r="J66" s="215">
        <v>4500</v>
      </c>
      <c r="K66" s="215">
        <v>4500</v>
      </c>
      <c r="L66" s="215">
        <v>4500</v>
      </c>
      <c r="M66" s="215">
        <v>4500</v>
      </c>
      <c r="N66" s="215">
        <v>0</v>
      </c>
      <c r="O66" s="215">
        <v>18000</v>
      </c>
      <c r="Q66" s="215">
        <f t="shared" si="0"/>
        <v>0</v>
      </c>
      <c r="R66" s="215">
        <f t="shared" si="1"/>
        <v>27000</v>
      </c>
      <c r="S66" s="215">
        <f t="shared" si="2"/>
        <v>36000</v>
      </c>
      <c r="T66" s="215">
        <f t="shared" si="3"/>
        <v>36000</v>
      </c>
      <c r="U66" s="215">
        <f t="shared" si="4"/>
        <v>18000</v>
      </c>
    </row>
    <row r="67" spans="1:21" ht="15.5" x14ac:dyDescent="0.35">
      <c r="B67" s="212" t="s">
        <v>583</v>
      </c>
      <c r="C67" s="216">
        <v>15799</v>
      </c>
      <c r="D67" s="216">
        <v>15883</v>
      </c>
      <c r="E67" s="216">
        <v>17078</v>
      </c>
      <c r="F67" s="216">
        <v>17527</v>
      </c>
      <c r="G67" s="216">
        <v>17075</v>
      </c>
      <c r="H67" s="216">
        <v>16923</v>
      </c>
      <c r="I67" s="216">
        <v>14096.18</v>
      </c>
      <c r="J67" s="216">
        <v>4500</v>
      </c>
      <c r="K67" s="216">
        <v>4500</v>
      </c>
      <c r="L67" s="216">
        <v>4500</v>
      </c>
      <c r="M67" s="216">
        <v>4500</v>
      </c>
      <c r="N67" s="216">
        <v>0</v>
      </c>
      <c r="O67" s="216">
        <v>132381.18</v>
      </c>
      <c r="Q67" s="216">
        <f t="shared" si="0"/>
        <v>0</v>
      </c>
      <c r="R67" s="216">
        <f t="shared" si="1"/>
        <v>27000</v>
      </c>
      <c r="S67" s="216">
        <f t="shared" si="2"/>
        <v>36000</v>
      </c>
      <c r="T67" s="216">
        <f t="shared" si="3"/>
        <v>64192.36</v>
      </c>
      <c r="U67" s="216">
        <f t="shared" si="4"/>
        <v>132381.18</v>
      </c>
    </row>
    <row r="68" spans="1:21" ht="15.5" x14ac:dyDescent="0.35">
      <c r="B68" s="212" t="s">
        <v>584</v>
      </c>
      <c r="C68" s="213"/>
      <c r="D68" s="213"/>
      <c r="E68" s="213"/>
      <c r="F68" s="213"/>
      <c r="G68" s="213"/>
      <c r="H68" s="213"/>
      <c r="I68" s="213"/>
      <c r="J68" s="213"/>
      <c r="K68" s="213"/>
      <c r="L68" s="213"/>
      <c r="M68" s="213"/>
      <c r="N68" s="213"/>
      <c r="O68" s="213"/>
      <c r="Q68" s="213">
        <f t="shared" si="0"/>
        <v>0</v>
      </c>
      <c r="R68" s="213">
        <f t="shared" si="1"/>
        <v>0</v>
      </c>
      <c r="S68" s="213">
        <f t="shared" si="2"/>
        <v>0</v>
      </c>
      <c r="T68" s="213">
        <f t="shared" si="3"/>
        <v>0</v>
      </c>
      <c r="U68" s="213">
        <f t="shared" si="4"/>
        <v>0</v>
      </c>
    </row>
    <row r="69" spans="1:21" ht="15.5" x14ac:dyDescent="0.35">
      <c r="B69" s="214" t="s">
        <v>585</v>
      </c>
      <c r="C69" s="215">
        <v>0</v>
      </c>
      <c r="D69" s="215">
        <v>45</v>
      </c>
      <c r="E69" s="215">
        <v>0</v>
      </c>
      <c r="F69" s="215">
        <v>0</v>
      </c>
      <c r="G69" s="215">
        <v>0</v>
      </c>
      <c r="H69" s="215">
        <v>0</v>
      </c>
      <c r="I69" s="215">
        <v>0</v>
      </c>
      <c r="J69" s="215">
        <v>0</v>
      </c>
      <c r="K69" s="215">
        <v>0</v>
      </c>
      <c r="L69" s="215">
        <v>0</v>
      </c>
      <c r="M69" s="215">
        <v>0</v>
      </c>
      <c r="N69" s="215">
        <v>0</v>
      </c>
      <c r="O69" s="215">
        <v>45</v>
      </c>
      <c r="Q69" s="215">
        <f t="shared" si="0"/>
        <v>0</v>
      </c>
      <c r="R69" s="215">
        <f t="shared" si="1"/>
        <v>0</v>
      </c>
      <c r="S69" s="215">
        <f t="shared" si="2"/>
        <v>0</v>
      </c>
      <c r="T69" s="215">
        <f t="shared" si="3"/>
        <v>0</v>
      </c>
      <c r="U69" s="215">
        <f t="shared" si="4"/>
        <v>45</v>
      </c>
    </row>
    <row r="70" spans="1:21" ht="15.5" x14ac:dyDescent="0.35">
      <c r="B70" s="214" t="s">
        <v>586</v>
      </c>
      <c r="C70" s="215">
        <v>0</v>
      </c>
      <c r="D70" s="215">
        <v>0</v>
      </c>
      <c r="E70" s="215">
        <v>0</v>
      </c>
      <c r="F70" s="215">
        <v>0</v>
      </c>
      <c r="G70" s="215">
        <v>0</v>
      </c>
      <c r="H70" s="215">
        <v>0</v>
      </c>
      <c r="I70" s="215">
        <v>0</v>
      </c>
      <c r="J70" s="215">
        <v>0</v>
      </c>
      <c r="K70" s="215">
        <v>1430.6</v>
      </c>
      <c r="L70" s="215">
        <v>0</v>
      </c>
      <c r="M70" s="215">
        <v>0</v>
      </c>
      <c r="N70" s="215">
        <v>0</v>
      </c>
      <c r="O70" s="215">
        <v>1430.6</v>
      </c>
      <c r="Q70" s="215">
        <f t="shared" si="0"/>
        <v>0</v>
      </c>
      <c r="R70" s="215">
        <f t="shared" si="1"/>
        <v>0</v>
      </c>
      <c r="S70" s="215">
        <f t="shared" si="2"/>
        <v>0</v>
      </c>
      <c r="T70" s="215">
        <f t="shared" si="3"/>
        <v>2861.2</v>
      </c>
      <c r="U70" s="215">
        <f t="shared" si="4"/>
        <v>1430.6</v>
      </c>
    </row>
    <row r="71" spans="1:21" ht="15.5" x14ac:dyDescent="0.35">
      <c r="B71" s="214" t="s">
        <v>587</v>
      </c>
      <c r="C71" s="215">
        <v>133.88999999999999</v>
      </c>
      <c r="D71" s="215">
        <v>133.84</v>
      </c>
      <c r="E71" s="215">
        <v>398.15</v>
      </c>
      <c r="F71" s="215">
        <v>138.15</v>
      </c>
      <c r="G71" s="215">
        <v>138.15</v>
      </c>
      <c r="H71" s="215">
        <v>138.01</v>
      </c>
      <c r="I71" s="215">
        <v>138</v>
      </c>
      <c r="J71" s="215">
        <v>138.01</v>
      </c>
      <c r="K71" s="215">
        <v>133</v>
      </c>
      <c r="L71" s="215">
        <v>158.07</v>
      </c>
      <c r="M71" s="215">
        <v>145.58000000000001</v>
      </c>
      <c r="N71" s="215">
        <v>-145.58000000000001</v>
      </c>
      <c r="O71" s="215">
        <v>1647.27</v>
      </c>
      <c r="Q71" s="215">
        <f t="shared" si="0"/>
        <v>-1746.96</v>
      </c>
      <c r="R71" s="215">
        <f t="shared" si="1"/>
        <v>0</v>
      </c>
      <c r="S71" s="215">
        <f t="shared" si="2"/>
        <v>632.27999999999986</v>
      </c>
      <c r="T71" s="215">
        <f t="shared" si="3"/>
        <v>1134.1599999999999</v>
      </c>
      <c r="U71" s="215">
        <f t="shared" si="4"/>
        <v>1647.27</v>
      </c>
    </row>
    <row r="72" spans="1:21" ht="15.5" x14ac:dyDescent="0.35">
      <c r="B72" s="214" t="s">
        <v>588</v>
      </c>
      <c r="C72" s="215">
        <v>0</v>
      </c>
      <c r="D72" s="215">
        <v>0</v>
      </c>
      <c r="E72" s="215">
        <v>0</v>
      </c>
      <c r="F72" s="215">
        <v>0</v>
      </c>
      <c r="G72" s="215">
        <v>0</v>
      </c>
      <c r="H72" s="215">
        <v>0</v>
      </c>
      <c r="I72" s="215">
        <v>0</v>
      </c>
      <c r="J72" s="215">
        <v>264.32</v>
      </c>
      <c r="K72" s="215">
        <v>0</v>
      </c>
      <c r="L72" s="215">
        <v>0</v>
      </c>
      <c r="M72" s="215">
        <v>0</v>
      </c>
      <c r="N72" s="215">
        <v>0</v>
      </c>
      <c r="O72" s="215">
        <v>264.32</v>
      </c>
      <c r="Q72" s="215">
        <f t="shared" si="0"/>
        <v>0</v>
      </c>
      <c r="R72" s="215">
        <f t="shared" si="1"/>
        <v>0</v>
      </c>
      <c r="S72" s="215">
        <f t="shared" si="2"/>
        <v>0</v>
      </c>
      <c r="T72" s="215">
        <f t="shared" si="3"/>
        <v>528.64</v>
      </c>
      <c r="U72" s="215">
        <f t="shared" si="4"/>
        <v>264.32</v>
      </c>
    </row>
    <row r="73" spans="1:21" ht="15.5" x14ac:dyDescent="0.35">
      <c r="B73" s="214" t="s">
        <v>589</v>
      </c>
      <c r="C73" s="215">
        <v>0</v>
      </c>
      <c r="D73" s="215">
        <v>0</v>
      </c>
      <c r="E73" s="215">
        <v>0</v>
      </c>
      <c r="F73" s="215">
        <v>0</v>
      </c>
      <c r="G73" s="215">
        <v>0</v>
      </c>
      <c r="H73" s="215">
        <v>0</v>
      </c>
      <c r="I73" s="215">
        <v>0</v>
      </c>
      <c r="J73" s="215">
        <v>0</v>
      </c>
      <c r="K73" s="215">
        <v>300</v>
      </c>
      <c r="L73" s="215">
        <v>0</v>
      </c>
      <c r="M73" s="215">
        <v>0</v>
      </c>
      <c r="N73" s="215">
        <v>0</v>
      </c>
      <c r="O73" s="215">
        <v>300</v>
      </c>
      <c r="Q73" s="215">
        <f t="shared" si="0"/>
        <v>0</v>
      </c>
      <c r="R73" s="215">
        <f t="shared" si="1"/>
        <v>0</v>
      </c>
      <c r="S73" s="215">
        <f t="shared" si="2"/>
        <v>0</v>
      </c>
      <c r="T73" s="215">
        <f t="shared" si="3"/>
        <v>600</v>
      </c>
      <c r="U73" s="215">
        <f t="shared" si="4"/>
        <v>300</v>
      </c>
    </row>
    <row r="74" spans="1:21" ht="15.5" x14ac:dyDescent="0.35">
      <c r="B74" s="214" t="s">
        <v>590</v>
      </c>
      <c r="C74" s="215">
        <v>0</v>
      </c>
      <c r="D74" s="215">
        <v>438.5</v>
      </c>
      <c r="E74" s="215">
        <v>354</v>
      </c>
      <c r="F74" s="215">
        <v>0</v>
      </c>
      <c r="G74" s="215">
        <v>0</v>
      </c>
      <c r="H74" s="215">
        <v>0</v>
      </c>
      <c r="I74" s="215">
        <v>926</v>
      </c>
      <c r="J74" s="215">
        <v>0</v>
      </c>
      <c r="K74" s="215">
        <v>0</v>
      </c>
      <c r="L74" s="215">
        <v>0</v>
      </c>
      <c r="M74" s="215">
        <v>0</v>
      </c>
      <c r="N74" s="215">
        <v>0</v>
      </c>
      <c r="O74" s="215">
        <v>1718.5</v>
      </c>
      <c r="Q74" s="215">
        <f t="shared" si="0"/>
        <v>0</v>
      </c>
      <c r="R74" s="215">
        <f t="shared" si="1"/>
        <v>0</v>
      </c>
      <c r="S74" s="215">
        <f t="shared" si="2"/>
        <v>0</v>
      </c>
      <c r="T74" s="215">
        <f t="shared" si="3"/>
        <v>1852</v>
      </c>
      <c r="U74" s="215">
        <f t="shared" si="4"/>
        <v>1718.5</v>
      </c>
    </row>
    <row r="75" spans="1:21" ht="15.5" x14ac:dyDescent="0.35">
      <c r="B75" s="214" t="s">
        <v>591</v>
      </c>
      <c r="C75" s="215">
        <v>84.36</v>
      </c>
      <c r="D75" s="215">
        <v>200</v>
      </c>
      <c r="E75" s="215">
        <v>0</v>
      </c>
      <c r="F75" s="215">
        <v>0</v>
      </c>
      <c r="G75" s="215">
        <v>0</v>
      </c>
      <c r="H75" s="215">
        <v>80.599999999999994</v>
      </c>
      <c r="I75" s="215">
        <v>0</v>
      </c>
      <c r="J75" s="215">
        <v>253.43</v>
      </c>
      <c r="K75" s="215">
        <v>47.92</v>
      </c>
      <c r="L75" s="215">
        <v>64.489999999999995</v>
      </c>
      <c r="M75" s="215">
        <v>0</v>
      </c>
      <c r="N75" s="215">
        <v>0</v>
      </c>
      <c r="O75" s="215">
        <v>730.8</v>
      </c>
      <c r="Q75" s="215">
        <f t="shared" si="0"/>
        <v>0</v>
      </c>
      <c r="R75" s="215">
        <f t="shared" si="1"/>
        <v>0</v>
      </c>
      <c r="S75" s="215">
        <f t="shared" si="2"/>
        <v>257.95999999999998</v>
      </c>
      <c r="T75" s="215">
        <f t="shared" si="3"/>
        <v>731.68000000000006</v>
      </c>
      <c r="U75" s="215">
        <f t="shared" si="4"/>
        <v>730.80000000000007</v>
      </c>
    </row>
    <row r="76" spans="1:21" ht="15.5" x14ac:dyDescent="0.35">
      <c r="B76" s="214" t="s">
        <v>592</v>
      </c>
      <c r="C76" s="215">
        <v>0</v>
      </c>
      <c r="D76" s="215">
        <v>0</v>
      </c>
      <c r="E76" s="215">
        <v>0</v>
      </c>
      <c r="F76" s="215">
        <v>195</v>
      </c>
      <c r="G76" s="215">
        <v>0</v>
      </c>
      <c r="H76" s="215">
        <v>0</v>
      </c>
      <c r="I76" s="215">
        <v>0</v>
      </c>
      <c r="J76" s="215">
        <v>0</v>
      </c>
      <c r="K76" s="215">
        <v>0</v>
      </c>
      <c r="L76" s="215">
        <v>0</v>
      </c>
      <c r="M76" s="215">
        <v>0</v>
      </c>
      <c r="N76" s="215">
        <v>0</v>
      </c>
      <c r="O76" s="215">
        <v>195</v>
      </c>
      <c r="Q76" s="215">
        <f t="shared" si="0"/>
        <v>0</v>
      </c>
      <c r="R76" s="215">
        <f t="shared" si="1"/>
        <v>0</v>
      </c>
      <c r="S76" s="215">
        <f t="shared" si="2"/>
        <v>0</v>
      </c>
      <c r="T76" s="215">
        <f t="shared" si="3"/>
        <v>0</v>
      </c>
      <c r="U76" s="215">
        <f t="shared" si="4"/>
        <v>195</v>
      </c>
    </row>
    <row r="77" spans="1:21" ht="15.5" x14ac:dyDescent="0.35">
      <c r="B77" s="214" t="s">
        <v>593</v>
      </c>
      <c r="C77" s="215">
        <v>29.02</v>
      </c>
      <c r="D77" s="215">
        <v>0</v>
      </c>
      <c r="E77" s="215">
        <v>0</v>
      </c>
      <c r="F77" s="215">
        <v>0</v>
      </c>
      <c r="G77" s="215">
        <v>0</v>
      </c>
      <c r="H77" s="215">
        <v>0</v>
      </c>
      <c r="I77" s="215">
        <v>0</v>
      </c>
      <c r="J77" s="215">
        <v>0</v>
      </c>
      <c r="K77" s="215">
        <v>483.64</v>
      </c>
      <c r="L77" s="215">
        <v>0</v>
      </c>
      <c r="M77" s="215">
        <v>0</v>
      </c>
      <c r="N77" s="215">
        <v>0</v>
      </c>
      <c r="O77" s="215">
        <v>512.66</v>
      </c>
      <c r="Q77" s="215">
        <f t="shared" si="0"/>
        <v>0</v>
      </c>
      <c r="R77" s="215">
        <f t="shared" si="1"/>
        <v>0</v>
      </c>
      <c r="S77" s="215">
        <f t="shared" si="2"/>
        <v>0</v>
      </c>
      <c r="T77" s="215">
        <f t="shared" si="3"/>
        <v>967.28</v>
      </c>
      <c r="U77" s="215">
        <f t="shared" si="4"/>
        <v>512.66</v>
      </c>
    </row>
    <row r="78" spans="1:21" ht="15.5" x14ac:dyDescent="0.35">
      <c r="B78" s="214" t="s">
        <v>594</v>
      </c>
      <c r="C78" s="215">
        <v>0</v>
      </c>
      <c r="D78" s="215">
        <v>0</v>
      </c>
      <c r="E78" s="215">
        <v>0</v>
      </c>
      <c r="F78" s="215">
        <v>0</v>
      </c>
      <c r="G78" s="215">
        <v>0</v>
      </c>
      <c r="H78" s="215">
        <v>0</v>
      </c>
      <c r="I78" s="215">
        <v>0</v>
      </c>
      <c r="J78" s="215">
        <v>204</v>
      </c>
      <c r="K78" s="215">
        <v>926</v>
      </c>
      <c r="L78" s="215">
        <v>1001</v>
      </c>
      <c r="M78" s="215">
        <v>0</v>
      </c>
      <c r="N78" s="215">
        <v>102</v>
      </c>
      <c r="O78" s="215">
        <v>2233</v>
      </c>
      <c r="Q78" s="215">
        <f t="shared" si="0"/>
        <v>1224</v>
      </c>
      <c r="R78" s="215">
        <f t="shared" si="1"/>
        <v>612</v>
      </c>
      <c r="S78" s="215">
        <f t="shared" si="2"/>
        <v>4412</v>
      </c>
      <c r="T78" s="215">
        <f t="shared" si="3"/>
        <v>4466</v>
      </c>
      <c r="U78" s="215">
        <f t="shared" si="4"/>
        <v>2233</v>
      </c>
    </row>
    <row r="79" spans="1:21" ht="15.5" x14ac:dyDescent="0.35">
      <c r="B79" s="214" t="s">
        <v>595</v>
      </c>
      <c r="C79" s="215">
        <v>2472</v>
      </c>
      <c r="D79" s="215">
        <v>0</v>
      </c>
      <c r="E79" s="215">
        <v>0</v>
      </c>
      <c r="F79" s="215">
        <v>0</v>
      </c>
      <c r="G79" s="215">
        <v>150</v>
      </c>
      <c r="H79" s="215">
        <v>0</v>
      </c>
      <c r="I79" s="215">
        <v>5633.42</v>
      </c>
      <c r="J79" s="215">
        <v>0</v>
      </c>
      <c r="K79" s="215">
        <v>500</v>
      </c>
      <c r="L79" s="215">
        <v>350</v>
      </c>
      <c r="M79" s="215">
        <v>350</v>
      </c>
      <c r="N79" s="215">
        <v>350</v>
      </c>
      <c r="O79" s="215">
        <v>9805.42</v>
      </c>
      <c r="Q79" s="215">
        <f t="shared" si="0"/>
        <v>4200</v>
      </c>
      <c r="R79" s="215">
        <f t="shared" si="1"/>
        <v>4200</v>
      </c>
      <c r="S79" s="215">
        <f t="shared" si="2"/>
        <v>4200</v>
      </c>
      <c r="T79" s="215">
        <f t="shared" si="3"/>
        <v>14366.84</v>
      </c>
      <c r="U79" s="215">
        <f t="shared" si="4"/>
        <v>9805.42</v>
      </c>
    </row>
    <row r="80" spans="1:21" ht="15.5" x14ac:dyDescent="0.35">
      <c r="B80" s="214" t="s">
        <v>596</v>
      </c>
      <c r="C80" s="215">
        <v>1900</v>
      </c>
      <c r="D80" s="215">
        <v>14300</v>
      </c>
      <c r="E80" s="215">
        <v>150</v>
      </c>
      <c r="F80" s="215">
        <v>2350</v>
      </c>
      <c r="G80" s="215">
        <v>-520.5</v>
      </c>
      <c r="H80" s="215">
        <v>5300</v>
      </c>
      <c r="I80" s="215">
        <v>0</v>
      </c>
      <c r="J80" s="215">
        <v>0</v>
      </c>
      <c r="K80" s="215">
        <v>0</v>
      </c>
      <c r="L80" s="215">
        <v>0</v>
      </c>
      <c r="M80" s="215">
        <v>0</v>
      </c>
      <c r="N80" s="215">
        <v>0</v>
      </c>
      <c r="O80" s="215">
        <v>23479.5</v>
      </c>
      <c r="Q80" s="215">
        <f t="shared" si="0"/>
        <v>0</v>
      </c>
      <c r="R80" s="215">
        <f t="shared" si="1"/>
        <v>0</v>
      </c>
      <c r="S80" s="215">
        <f t="shared" si="2"/>
        <v>0</v>
      </c>
      <c r="T80" s="215">
        <f t="shared" si="3"/>
        <v>0</v>
      </c>
      <c r="U80" s="215">
        <f t="shared" si="4"/>
        <v>23479.5</v>
      </c>
    </row>
    <row r="81" spans="1:21" ht="15.5" x14ac:dyDescent="0.35">
      <c r="B81" s="214" t="s">
        <v>597</v>
      </c>
      <c r="C81" s="215">
        <v>19.010000000000002</v>
      </c>
      <c r="D81" s="215">
        <v>0</v>
      </c>
      <c r="E81" s="215">
        <v>0</v>
      </c>
      <c r="F81" s="215">
        <v>0</v>
      </c>
      <c r="G81" s="215">
        <v>0</v>
      </c>
      <c r="H81" s="215">
        <v>0</v>
      </c>
      <c r="I81" s="215">
        <v>0</v>
      </c>
      <c r="J81" s="215">
        <v>0</v>
      </c>
      <c r="K81" s="215">
        <v>0</v>
      </c>
      <c r="L81" s="215">
        <v>0</v>
      </c>
      <c r="M81" s="215">
        <v>0</v>
      </c>
      <c r="N81" s="215">
        <v>180.38</v>
      </c>
      <c r="O81" s="215">
        <v>199.39</v>
      </c>
      <c r="Q81" s="215">
        <f t="shared" si="0"/>
        <v>2164.56</v>
      </c>
      <c r="R81" s="215">
        <f t="shared" si="1"/>
        <v>1082.28</v>
      </c>
      <c r="S81" s="215">
        <f t="shared" si="2"/>
        <v>721.52</v>
      </c>
      <c r="T81" s="215">
        <f t="shared" si="3"/>
        <v>360.76</v>
      </c>
      <c r="U81" s="215">
        <f t="shared" si="4"/>
        <v>199.39</v>
      </c>
    </row>
    <row r="82" spans="1:21" ht="15.5" x14ac:dyDescent="0.35">
      <c r="B82" s="214" t="s">
        <v>598</v>
      </c>
      <c r="C82" s="215">
        <v>0</v>
      </c>
      <c r="D82" s="215">
        <v>256</v>
      </c>
      <c r="E82" s="215">
        <v>796.72</v>
      </c>
      <c r="F82" s="215">
        <v>0</v>
      </c>
      <c r="G82" s="215">
        <v>0</v>
      </c>
      <c r="H82" s="215">
        <v>700.35</v>
      </c>
      <c r="I82" s="215">
        <v>0</v>
      </c>
      <c r="J82" s="215">
        <v>0</v>
      </c>
      <c r="K82" s="215">
        <v>0</v>
      </c>
      <c r="L82" s="215">
        <v>0</v>
      </c>
      <c r="M82" s="215">
        <v>0</v>
      </c>
      <c r="N82" s="215">
        <v>0</v>
      </c>
      <c r="O82" s="215">
        <v>1753.07</v>
      </c>
      <c r="Q82" s="215">
        <f t="shared" ref="Q82:Q145" si="5">+N82*12</f>
        <v>0</v>
      </c>
      <c r="R82" s="215">
        <f t="shared" ref="R82:R145" si="6">+SUM(M82:N82)*6</f>
        <v>0</v>
      </c>
      <c r="S82" s="215">
        <f t="shared" ref="S82:S145" si="7">+SUM(L82:N82)*4</f>
        <v>0</v>
      </c>
      <c r="T82" s="215">
        <f t="shared" ref="T82:T145" si="8">+SUM(I82:N82)*2</f>
        <v>0</v>
      </c>
      <c r="U82" s="215">
        <f t="shared" ref="U82:U145" si="9">+SUM(C82:N82)</f>
        <v>1753.0700000000002</v>
      </c>
    </row>
    <row r="83" spans="1:21" ht="15.5" x14ac:dyDescent="0.35">
      <c r="B83" s="214" t="s">
        <v>599</v>
      </c>
      <c r="C83" s="215">
        <v>0</v>
      </c>
      <c r="D83" s="215">
        <v>0</v>
      </c>
      <c r="E83" s="215">
        <v>0</v>
      </c>
      <c r="F83" s="215">
        <v>0</v>
      </c>
      <c r="G83" s="215">
        <v>0</v>
      </c>
      <c r="H83" s="215">
        <v>0</v>
      </c>
      <c r="I83" s="215">
        <v>0</v>
      </c>
      <c r="J83" s="215">
        <v>0</v>
      </c>
      <c r="K83" s="215">
        <v>0</v>
      </c>
      <c r="L83" s="215">
        <v>350</v>
      </c>
      <c r="M83" s="215">
        <v>0</v>
      </c>
      <c r="N83" s="215">
        <v>0</v>
      </c>
      <c r="O83" s="215">
        <v>350</v>
      </c>
      <c r="Q83" s="215">
        <f t="shared" si="5"/>
        <v>0</v>
      </c>
      <c r="R83" s="215">
        <f t="shared" si="6"/>
        <v>0</v>
      </c>
      <c r="S83" s="215">
        <f t="shared" si="7"/>
        <v>1400</v>
      </c>
      <c r="T83" s="215">
        <f t="shared" si="8"/>
        <v>700</v>
      </c>
      <c r="U83" s="215">
        <f t="shared" si="9"/>
        <v>350</v>
      </c>
    </row>
    <row r="84" spans="1:21" ht="15.5" x14ac:dyDescent="0.35">
      <c r="B84" s="214" t="s">
        <v>600</v>
      </c>
      <c r="C84" s="215">
        <v>252</v>
      </c>
      <c r="D84" s="215">
        <v>0</v>
      </c>
      <c r="E84" s="215">
        <v>256</v>
      </c>
      <c r="F84" s="215">
        <v>256</v>
      </c>
      <c r="G84" s="215">
        <v>256</v>
      </c>
      <c r="H84" s="215">
        <v>256</v>
      </c>
      <c r="I84" s="215">
        <v>206.45</v>
      </c>
      <c r="J84" s="215">
        <v>300</v>
      </c>
      <c r="K84" s="215">
        <v>4622.79</v>
      </c>
      <c r="L84" s="215">
        <v>1407.22</v>
      </c>
      <c r="M84" s="215">
        <v>1107.22</v>
      </c>
      <c r="N84" s="215">
        <v>1107.22</v>
      </c>
      <c r="O84" s="215">
        <v>10026.9</v>
      </c>
      <c r="Q84" s="215">
        <f t="shared" si="5"/>
        <v>13286.64</v>
      </c>
      <c r="R84" s="215">
        <f t="shared" si="6"/>
        <v>13286.64</v>
      </c>
      <c r="S84" s="215">
        <f t="shared" si="7"/>
        <v>14486.64</v>
      </c>
      <c r="T84" s="215">
        <f t="shared" si="8"/>
        <v>17501.8</v>
      </c>
      <c r="U84" s="215">
        <f t="shared" si="9"/>
        <v>10026.9</v>
      </c>
    </row>
    <row r="85" spans="1:21" ht="15.5" x14ac:dyDescent="0.35">
      <c r="B85" s="214" t="s">
        <v>601</v>
      </c>
      <c r="C85" s="215">
        <v>99</v>
      </c>
      <c r="D85" s="215">
        <v>99</v>
      </c>
      <c r="E85" s="215">
        <v>99</v>
      </c>
      <c r="F85" s="215">
        <v>99</v>
      </c>
      <c r="G85" s="215">
        <v>99</v>
      </c>
      <c r="H85" s="215">
        <v>99</v>
      </c>
      <c r="I85" s="215">
        <v>99</v>
      </c>
      <c r="J85" s="215">
        <v>99</v>
      </c>
      <c r="K85" s="215">
        <v>99</v>
      </c>
      <c r="L85" s="215">
        <v>128</v>
      </c>
      <c r="M85" s="215">
        <v>99</v>
      </c>
      <c r="N85" s="215">
        <v>397</v>
      </c>
      <c r="O85" s="215">
        <v>1515</v>
      </c>
      <c r="Q85" s="215">
        <f t="shared" si="5"/>
        <v>4764</v>
      </c>
      <c r="R85" s="215">
        <f t="shared" si="6"/>
        <v>2976</v>
      </c>
      <c r="S85" s="215">
        <f t="shared" si="7"/>
        <v>2496</v>
      </c>
      <c r="T85" s="215">
        <f t="shared" si="8"/>
        <v>1842</v>
      </c>
      <c r="U85" s="215">
        <f t="shared" si="9"/>
        <v>1515</v>
      </c>
    </row>
    <row r="86" spans="1:21" ht="15.5" x14ac:dyDescent="0.35">
      <c r="B86" s="214" t="s">
        <v>602</v>
      </c>
      <c r="C86" s="215">
        <v>0</v>
      </c>
      <c r="D86" s="215">
        <v>0</v>
      </c>
      <c r="E86" s="215">
        <v>0</v>
      </c>
      <c r="F86" s="215">
        <v>0</v>
      </c>
      <c r="G86" s="215">
        <v>0</v>
      </c>
      <c r="H86" s="215">
        <v>0</v>
      </c>
      <c r="I86" s="215">
        <v>0</v>
      </c>
      <c r="J86" s="215">
        <v>0</v>
      </c>
      <c r="K86" s="215">
        <v>1280</v>
      </c>
      <c r="L86" s="215">
        <v>0</v>
      </c>
      <c r="M86" s="215">
        <v>0</v>
      </c>
      <c r="N86" s="215">
        <v>0</v>
      </c>
      <c r="O86" s="215">
        <v>1280</v>
      </c>
      <c r="Q86" s="215">
        <f t="shared" si="5"/>
        <v>0</v>
      </c>
      <c r="R86" s="215">
        <f t="shared" si="6"/>
        <v>0</v>
      </c>
      <c r="S86" s="215">
        <f t="shared" si="7"/>
        <v>0</v>
      </c>
      <c r="T86" s="215">
        <f t="shared" si="8"/>
        <v>2560</v>
      </c>
      <c r="U86" s="215">
        <f t="shared" si="9"/>
        <v>1280</v>
      </c>
    </row>
    <row r="87" spans="1:21" ht="15.5" x14ac:dyDescent="0.35">
      <c r="B87" s="214" t="s">
        <v>603</v>
      </c>
      <c r="C87" s="215">
        <v>0</v>
      </c>
      <c r="D87" s="215">
        <v>0</v>
      </c>
      <c r="E87" s="215">
        <v>0</v>
      </c>
      <c r="F87" s="215">
        <v>0</v>
      </c>
      <c r="G87" s="215">
        <v>0</v>
      </c>
      <c r="H87" s="215">
        <v>0</v>
      </c>
      <c r="I87" s="215">
        <v>0</v>
      </c>
      <c r="J87" s="215">
        <v>0</v>
      </c>
      <c r="K87" s="215">
        <v>0</v>
      </c>
      <c r="L87" s="215">
        <v>11.5</v>
      </c>
      <c r="M87" s="215">
        <v>73.8</v>
      </c>
      <c r="N87" s="215">
        <v>3</v>
      </c>
      <c r="O87" s="215">
        <v>88.3</v>
      </c>
      <c r="Q87" s="215">
        <f t="shared" si="5"/>
        <v>36</v>
      </c>
      <c r="R87" s="215">
        <f t="shared" si="6"/>
        <v>460.79999999999995</v>
      </c>
      <c r="S87" s="215">
        <f t="shared" si="7"/>
        <v>353.2</v>
      </c>
      <c r="T87" s="215">
        <f t="shared" si="8"/>
        <v>176.6</v>
      </c>
      <c r="U87" s="215">
        <f t="shared" si="9"/>
        <v>88.3</v>
      </c>
    </row>
    <row r="88" spans="1:21" ht="15.5" x14ac:dyDescent="0.35">
      <c r="B88" s="214" t="s">
        <v>604</v>
      </c>
      <c r="C88" s="215">
        <v>0</v>
      </c>
      <c r="D88" s="215">
        <v>0</v>
      </c>
      <c r="E88" s="215">
        <v>0</v>
      </c>
      <c r="F88" s="215">
        <v>0</v>
      </c>
      <c r="G88" s="215">
        <v>0</v>
      </c>
      <c r="H88" s="215">
        <v>0</v>
      </c>
      <c r="I88" s="215">
        <v>0</v>
      </c>
      <c r="J88" s="215">
        <v>0</v>
      </c>
      <c r="K88" s="215">
        <v>0</v>
      </c>
      <c r="L88" s="215">
        <v>0</v>
      </c>
      <c r="M88" s="215">
        <v>0</v>
      </c>
      <c r="N88" s="215">
        <v>148.74</v>
      </c>
      <c r="O88" s="215">
        <v>148.74</v>
      </c>
      <c r="Q88" s="215">
        <f t="shared" si="5"/>
        <v>1784.88</v>
      </c>
      <c r="R88" s="215">
        <f t="shared" si="6"/>
        <v>892.44</v>
      </c>
      <c r="S88" s="215">
        <f t="shared" si="7"/>
        <v>594.96</v>
      </c>
      <c r="T88" s="215">
        <f t="shared" si="8"/>
        <v>297.48</v>
      </c>
      <c r="U88" s="215">
        <f t="shared" si="9"/>
        <v>148.74</v>
      </c>
    </row>
    <row r="89" spans="1:21" ht="15.5" x14ac:dyDescent="0.35">
      <c r="B89" s="214" t="s">
        <v>605</v>
      </c>
      <c r="C89" s="215">
        <v>90</v>
      </c>
      <c r="D89" s="215">
        <v>0</v>
      </c>
      <c r="E89" s="215">
        <v>0</v>
      </c>
      <c r="F89" s="215">
        <v>45</v>
      </c>
      <c r="G89" s="215">
        <v>1080</v>
      </c>
      <c r="H89" s="215">
        <v>225</v>
      </c>
      <c r="I89" s="215">
        <v>540</v>
      </c>
      <c r="J89" s="215">
        <v>125</v>
      </c>
      <c r="K89" s="215">
        <v>0</v>
      </c>
      <c r="L89" s="215">
        <v>0</v>
      </c>
      <c r="M89" s="215">
        <v>0</v>
      </c>
      <c r="N89" s="215">
        <v>0</v>
      </c>
      <c r="O89" s="215">
        <v>2105</v>
      </c>
      <c r="Q89" s="215">
        <f t="shared" si="5"/>
        <v>0</v>
      </c>
      <c r="R89" s="215">
        <f t="shared" si="6"/>
        <v>0</v>
      </c>
      <c r="S89" s="215">
        <f t="shared" si="7"/>
        <v>0</v>
      </c>
      <c r="T89" s="215">
        <f t="shared" si="8"/>
        <v>1330</v>
      </c>
      <c r="U89" s="215">
        <f t="shared" si="9"/>
        <v>2105</v>
      </c>
    </row>
    <row r="90" spans="1:21" ht="15.5" x14ac:dyDescent="0.35">
      <c r="B90" s="214" t="s">
        <v>606</v>
      </c>
      <c r="C90" s="215">
        <v>165.18</v>
      </c>
      <c r="D90" s="215">
        <v>2.84</v>
      </c>
      <c r="E90" s="215">
        <v>0</v>
      </c>
      <c r="F90" s="215">
        <v>0</v>
      </c>
      <c r="G90" s="215">
        <v>0</v>
      </c>
      <c r="H90" s="215">
        <v>0</v>
      </c>
      <c r="I90" s="215">
        <v>0</v>
      </c>
      <c r="J90" s="215">
        <v>75.23</v>
      </c>
      <c r="K90" s="215">
        <v>0</v>
      </c>
      <c r="L90" s="215">
        <v>0</v>
      </c>
      <c r="M90" s="215">
        <v>0</v>
      </c>
      <c r="N90" s="215">
        <v>0</v>
      </c>
      <c r="O90" s="215">
        <v>243.25</v>
      </c>
      <c r="Q90" s="215">
        <f t="shared" si="5"/>
        <v>0</v>
      </c>
      <c r="R90" s="215">
        <f t="shared" si="6"/>
        <v>0</v>
      </c>
      <c r="S90" s="215">
        <f t="shared" si="7"/>
        <v>0</v>
      </c>
      <c r="T90" s="215">
        <f t="shared" si="8"/>
        <v>150.46</v>
      </c>
      <c r="U90" s="215">
        <f t="shared" si="9"/>
        <v>243.25</v>
      </c>
    </row>
    <row r="91" spans="1:21" ht="15.5" x14ac:dyDescent="0.35">
      <c r="A91" s="21">
        <v>9</v>
      </c>
      <c r="B91" s="212" t="s">
        <v>607</v>
      </c>
      <c r="C91" s="216">
        <v>5244.46</v>
      </c>
      <c r="D91" s="216">
        <v>15475.18</v>
      </c>
      <c r="E91" s="216">
        <v>2053.87</v>
      </c>
      <c r="F91" s="216">
        <v>3083.15</v>
      </c>
      <c r="G91" s="216">
        <v>1202.6500000000001</v>
      </c>
      <c r="H91" s="216">
        <v>6798.96</v>
      </c>
      <c r="I91" s="216">
        <v>7542.87</v>
      </c>
      <c r="J91" s="216">
        <v>1458.99</v>
      </c>
      <c r="K91" s="216">
        <v>9822.9500000000007</v>
      </c>
      <c r="L91" s="216">
        <v>3470.28</v>
      </c>
      <c r="M91" s="216">
        <v>1775.6</v>
      </c>
      <c r="N91" s="216">
        <v>2142.7600000000002</v>
      </c>
      <c r="O91" s="216">
        <v>60071.72</v>
      </c>
      <c r="Q91" s="216">
        <f t="shared" si="5"/>
        <v>25713.120000000003</v>
      </c>
      <c r="R91" s="216">
        <f t="shared" si="6"/>
        <v>23510.16</v>
      </c>
      <c r="S91" s="216">
        <f t="shared" si="7"/>
        <v>29554.560000000001</v>
      </c>
      <c r="T91" s="216">
        <f t="shared" si="8"/>
        <v>52426.899999999994</v>
      </c>
      <c r="U91" s="216">
        <f t="shared" si="9"/>
        <v>60071.72</v>
      </c>
    </row>
    <row r="92" spans="1:21" ht="15.5" x14ac:dyDescent="0.35">
      <c r="B92" s="212" t="s">
        <v>608</v>
      </c>
      <c r="C92" s="213"/>
      <c r="D92" s="213"/>
      <c r="E92" s="213"/>
      <c r="F92" s="213"/>
      <c r="G92" s="213"/>
      <c r="H92" s="213"/>
      <c r="I92" s="213"/>
      <c r="J92" s="213"/>
      <c r="K92" s="213"/>
      <c r="L92" s="213"/>
      <c r="M92" s="213"/>
      <c r="N92" s="213"/>
      <c r="O92" s="213"/>
      <c r="Q92" s="213">
        <f t="shared" si="5"/>
        <v>0</v>
      </c>
      <c r="R92" s="213">
        <f t="shared" si="6"/>
        <v>0</v>
      </c>
      <c r="S92" s="213">
        <f t="shared" si="7"/>
        <v>0</v>
      </c>
      <c r="T92" s="213">
        <f t="shared" si="8"/>
        <v>0</v>
      </c>
      <c r="U92" s="213">
        <f t="shared" si="9"/>
        <v>0</v>
      </c>
    </row>
    <row r="93" spans="1:21" ht="15.5" x14ac:dyDescent="0.35">
      <c r="B93" s="214" t="s">
        <v>609</v>
      </c>
      <c r="C93" s="215">
        <v>0</v>
      </c>
      <c r="D93" s="215">
        <v>0</v>
      </c>
      <c r="E93" s="215">
        <v>0</v>
      </c>
      <c r="F93" s="215">
        <v>0</v>
      </c>
      <c r="G93" s="215">
        <v>0</v>
      </c>
      <c r="H93" s="215">
        <v>0</v>
      </c>
      <c r="I93" s="215">
        <v>0</v>
      </c>
      <c r="J93" s="215">
        <v>0</v>
      </c>
      <c r="K93" s="215">
        <v>0</v>
      </c>
      <c r="L93" s="215">
        <v>0</v>
      </c>
      <c r="M93" s="215">
        <v>1715.42</v>
      </c>
      <c r="N93" s="215">
        <v>0</v>
      </c>
      <c r="O93" s="215">
        <v>1715.42</v>
      </c>
      <c r="Q93" s="215">
        <f t="shared" si="5"/>
        <v>0</v>
      </c>
      <c r="R93" s="215">
        <f t="shared" si="6"/>
        <v>10292.52</v>
      </c>
      <c r="S93" s="215">
        <f t="shared" si="7"/>
        <v>6861.68</v>
      </c>
      <c r="T93" s="215">
        <f t="shared" si="8"/>
        <v>3430.84</v>
      </c>
      <c r="U93" s="215">
        <f t="shared" si="9"/>
        <v>1715.42</v>
      </c>
    </row>
    <row r="94" spans="1:21" ht="15.5" x14ac:dyDescent="0.35">
      <c r="B94" s="214" t="s">
        <v>610</v>
      </c>
      <c r="C94" s="215">
        <v>79.099999999999994</v>
      </c>
      <c r="D94" s="215">
        <v>1720.67</v>
      </c>
      <c r="E94" s="215">
        <v>4650</v>
      </c>
      <c r="F94" s="215">
        <v>1333.7</v>
      </c>
      <c r="G94" s="215">
        <v>1558.63</v>
      </c>
      <c r="H94" s="215">
        <v>0</v>
      </c>
      <c r="I94" s="215">
        <v>0</v>
      </c>
      <c r="J94" s="215">
        <v>0</v>
      </c>
      <c r="K94" s="215">
        <v>0</v>
      </c>
      <c r="L94" s="215">
        <v>670.77</v>
      </c>
      <c r="M94" s="215">
        <v>290</v>
      </c>
      <c r="N94" s="215">
        <v>3596.19</v>
      </c>
      <c r="O94" s="215">
        <v>13899.06</v>
      </c>
      <c r="Q94" s="215">
        <f t="shared" si="5"/>
        <v>43154.28</v>
      </c>
      <c r="R94" s="215">
        <f t="shared" si="6"/>
        <v>23317.14</v>
      </c>
      <c r="S94" s="215">
        <f t="shared" si="7"/>
        <v>18227.84</v>
      </c>
      <c r="T94" s="215">
        <f t="shared" si="8"/>
        <v>9113.92</v>
      </c>
      <c r="U94" s="215">
        <f t="shared" si="9"/>
        <v>13899.060000000001</v>
      </c>
    </row>
    <row r="95" spans="1:21" ht="15.5" x14ac:dyDescent="0.35">
      <c r="B95" s="214" t="s">
        <v>611</v>
      </c>
      <c r="C95" s="215">
        <v>0</v>
      </c>
      <c r="D95" s="215">
        <v>1160</v>
      </c>
      <c r="E95" s="215">
        <v>1261.33</v>
      </c>
      <c r="F95" s="215">
        <v>386.54</v>
      </c>
      <c r="G95" s="215">
        <v>985</v>
      </c>
      <c r="H95" s="215">
        <v>1870</v>
      </c>
      <c r="I95" s="215">
        <v>2420</v>
      </c>
      <c r="J95" s="215">
        <v>0</v>
      </c>
      <c r="K95" s="215">
        <v>0</v>
      </c>
      <c r="L95" s="215">
        <v>236.03</v>
      </c>
      <c r="M95" s="215">
        <v>1540.36</v>
      </c>
      <c r="N95" s="215">
        <v>2190.0100000000002</v>
      </c>
      <c r="O95" s="215">
        <v>12049.27</v>
      </c>
      <c r="Q95" s="215">
        <f t="shared" si="5"/>
        <v>26280.120000000003</v>
      </c>
      <c r="R95" s="215">
        <f t="shared" si="6"/>
        <v>22382.22</v>
      </c>
      <c r="S95" s="215">
        <f t="shared" si="7"/>
        <v>15865.6</v>
      </c>
      <c r="T95" s="215">
        <f t="shared" si="8"/>
        <v>12772.800000000001</v>
      </c>
      <c r="U95" s="215">
        <f t="shared" si="9"/>
        <v>12049.27</v>
      </c>
    </row>
    <row r="96" spans="1:21" ht="15.5" x14ac:dyDescent="0.35">
      <c r="B96" s="214" t="s">
        <v>612</v>
      </c>
      <c r="C96" s="215">
        <v>0</v>
      </c>
      <c r="D96" s="215">
        <v>19.95</v>
      </c>
      <c r="E96" s="215">
        <v>0</v>
      </c>
      <c r="F96" s="215">
        <v>80.3</v>
      </c>
      <c r="G96" s="215">
        <v>0</v>
      </c>
      <c r="H96" s="215">
        <v>0</v>
      </c>
      <c r="I96" s="215">
        <v>-31.98</v>
      </c>
      <c r="J96" s="215">
        <v>0</v>
      </c>
      <c r="K96" s="215">
        <v>0</v>
      </c>
      <c r="L96" s="215">
        <v>0</v>
      </c>
      <c r="M96" s="215">
        <v>0</v>
      </c>
      <c r="N96" s="215">
        <v>0</v>
      </c>
      <c r="O96" s="215">
        <v>68.27</v>
      </c>
      <c r="Q96" s="215">
        <f t="shared" si="5"/>
        <v>0</v>
      </c>
      <c r="R96" s="215">
        <f t="shared" si="6"/>
        <v>0</v>
      </c>
      <c r="S96" s="215">
        <f t="shared" si="7"/>
        <v>0</v>
      </c>
      <c r="T96" s="215">
        <f t="shared" si="8"/>
        <v>-63.96</v>
      </c>
      <c r="U96" s="215">
        <f t="shared" si="9"/>
        <v>68.27</v>
      </c>
    </row>
    <row r="97" spans="1:21" ht="15.5" x14ac:dyDescent="0.35">
      <c r="B97" s="214" t="s">
        <v>613</v>
      </c>
      <c r="C97" s="215">
        <v>0</v>
      </c>
      <c r="D97" s="215">
        <v>200</v>
      </c>
      <c r="E97" s="215">
        <v>0</v>
      </c>
      <c r="F97" s="215">
        <v>0</v>
      </c>
      <c r="G97" s="215">
        <v>0</v>
      </c>
      <c r="H97" s="215">
        <v>125</v>
      </c>
      <c r="I97" s="215">
        <v>980</v>
      </c>
      <c r="J97" s="215">
        <v>0</v>
      </c>
      <c r="K97" s="215">
        <v>0</v>
      </c>
      <c r="L97" s="215">
        <v>0</v>
      </c>
      <c r="M97" s="215">
        <v>0</v>
      </c>
      <c r="N97" s="215">
        <v>515</v>
      </c>
      <c r="O97" s="215">
        <v>1820</v>
      </c>
      <c r="Q97" s="215">
        <f t="shared" si="5"/>
        <v>6180</v>
      </c>
      <c r="R97" s="215">
        <f t="shared" si="6"/>
        <v>3090</v>
      </c>
      <c r="S97" s="215">
        <f t="shared" si="7"/>
        <v>2060</v>
      </c>
      <c r="T97" s="215">
        <f t="shared" si="8"/>
        <v>2990</v>
      </c>
      <c r="U97" s="215">
        <f t="shared" si="9"/>
        <v>1820</v>
      </c>
    </row>
    <row r="98" spans="1:21" ht="15.5" x14ac:dyDescent="0.35">
      <c r="B98" s="214" t="s">
        <v>614</v>
      </c>
      <c r="C98" s="215">
        <v>0</v>
      </c>
      <c r="D98" s="215">
        <v>0</v>
      </c>
      <c r="E98" s="215">
        <v>0</v>
      </c>
      <c r="F98" s="215">
        <v>0</v>
      </c>
      <c r="G98" s="215">
        <v>0</v>
      </c>
      <c r="H98" s="215">
        <v>0</v>
      </c>
      <c r="I98" s="215">
        <v>0</v>
      </c>
      <c r="J98" s="215">
        <v>0</v>
      </c>
      <c r="K98" s="215">
        <v>0</v>
      </c>
      <c r="L98" s="215">
        <v>152</v>
      </c>
      <c r="M98" s="215">
        <v>5140</v>
      </c>
      <c r="N98" s="215">
        <v>970</v>
      </c>
      <c r="O98" s="215">
        <v>6262</v>
      </c>
      <c r="Q98" s="215">
        <f t="shared" si="5"/>
        <v>11640</v>
      </c>
      <c r="R98" s="215">
        <f t="shared" si="6"/>
        <v>36660</v>
      </c>
      <c r="S98" s="215">
        <f t="shared" si="7"/>
        <v>25048</v>
      </c>
      <c r="T98" s="215">
        <f t="shared" si="8"/>
        <v>12524</v>
      </c>
      <c r="U98" s="215">
        <f t="shared" si="9"/>
        <v>6262</v>
      </c>
    </row>
    <row r="99" spans="1:21" ht="15.5" x14ac:dyDescent="0.35">
      <c r="B99" s="214" t="s">
        <v>615</v>
      </c>
      <c r="C99" s="215">
        <v>0</v>
      </c>
      <c r="D99" s="215">
        <v>0</v>
      </c>
      <c r="E99" s="215">
        <v>0</v>
      </c>
      <c r="F99" s="215">
        <v>560</v>
      </c>
      <c r="G99" s="215">
        <v>4100</v>
      </c>
      <c r="H99" s="215">
        <v>0</v>
      </c>
      <c r="I99" s="215">
        <v>6260</v>
      </c>
      <c r="J99" s="215">
        <v>0</v>
      </c>
      <c r="K99" s="215">
        <v>0</v>
      </c>
      <c r="L99" s="215">
        <v>2245</v>
      </c>
      <c r="M99" s="215">
        <v>0</v>
      </c>
      <c r="N99" s="215">
        <v>1210</v>
      </c>
      <c r="O99" s="215">
        <v>14375</v>
      </c>
      <c r="Q99" s="215">
        <f t="shared" si="5"/>
        <v>14520</v>
      </c>
      <c r="R99" s="215">
        <f t="shared" si="6"/>
        <v>7260</v>
      </c>
      <c r="S99" s="215">
        <f t="shared" si="7"/>
        <v>13820</v>
      </c>
      <c r="T99" s="215">
        <f t="shared" si="8"/>
        <v>19430</v>
      </c>
      <c r="U99" s="215">
        <f t="shared" si="9"/>
        <v>14375</v>
      </c>
    </row>
    <row r="100" spans="1:21" ht="15.5" x14ac:dyDescent="0.35">
      <c r="A100" s="21">
        <v>13</v>
      </c>
      <c r="B100" s="212" t="s">
        <v>616</v>
      </c>
      <c r="C100" s="216">
        <v>79.099999999999994</v>
      </c>
      <c r="D100" s="216">
        <v>3100.62</v>
      </c>
      <c r="E100" s="216">
        <v>5911.33</v>
      </c>
      <c r="F100" s="216">
        <v>2360.54</v>
      </c>
      <c r="G100" s="216">
        <v>6643.63</v>
      </c>
      <c r="H100" s="216">
        <v>1995</v>
      </c>
      <c r="I100" s="216">
        <v>9628.02</v>
      </c>
      <c r="J100" s="216">
        <v>0</v>
      </c>
      <c r="K100" s="216">
        <v>0</v>
      </c>
      <c r="L100" s="216">
        <v>3303.8</v>
      </c>
      <c r="M100" s="216">
        <v>8685.7800000000007</v>
      </c>
      <c r="N100" s="216">
        <v>8481.2000000000007</v>
      </c>
      <c r="O100" s="216">
        <v>50189.02</v>
      </c>
      <c r="Q100" s="216">
        <f t="shared" si="5"/>
        <v>101774.40000000001</v>
      </c>
      <c r="R100" s="216">
        <f t="shared" si="6"/>
        <v>103001.88000000002</v>
      </c>
      <c r="S100" s="216">
        <f t="shared" si="7"/>
        <v>81883.12000000001</v>
      </c>
      <c r="T100" s="216">
        <f t="shared" si="8"/>
        <v>60197.599999999999</v>
      </c>
      <c r="U100" s="216">
        <f t="shared" si="9"/>
        <v>50189.020000000004</v>
      </c>
    </row>
    <row r="101" spans="1:21" ht="15.5" x14ac:dyDescent="0.35">
      <c r="B101" s="212" t="s">
        <v>617</v>
      </c>
      <c r="C101" s="213"/>
      <c r="D101" s="213"/>
      <c r="E101" s="213"/>
      <c r="F101" s="213"/>
      <c r="G101" s="213"/>
      <c r="H101" s="213"/>
      <c r="I101" s="213"/>
      <c r="J101" s="213"/>
      <c r="K101" s="213"/>
      <c r="L101" s="213"/>
      <c r="M101" s="213"/>
      <c r="N101" s="213"/>
      <c r="O101" s="213"/>
      <c r="Q101" s="213">
        <f t="shared" si="5"/>
        <v>0</v>
      </c>
      <c r="R101" s="213">
        <f t="shared" si="6"/>
        <v>0</v>
      </c>
      <c r="S101" s="213">
        <f t="shared" si="7"/>
        <v>0</v>
      </c>
      <c r="T101" s="213">
        <f t="shared" si="8"/>
        <v>0</v>
      </c>
      <c r="U101" s="213">
        <f t="shared" si="9"/>
        <v>0</v>
      </c>
    </row>
    <row r="102" spans="1:21" ht="15.5" x14ac:dyDescent="0.35">
      <c r="B102" s="214" t="s">
        <v>618</v>
      </c>
      <c r="C102" s="215">
        <v>1319.46</v>
      </c>
      <c r="D102" s="215">
        <v>645</v>
      </c>
      <c r="E102" s="215">
        <v>645</v>
      </c>
      <c r="F102" s="215">
        <v>667.17</v>
      </c>
      <c r="G102" s="215">
        <v>682.98</v>
      </c>
      <c r="H102" s="215">
        <v>1175</v>
      </c>
      <c r="I102" s="215">
        <v>1820</v>
      </c>
      <c r="J102" s="215">
        <v>0</v>
      </c>
      <c r="K102" s="215">
        <v>0</v>
      </c>
      <c r="L102" s="215">
        <v>0</v>
      </c>
      <c r="M102" s="215">
        <v>0</v>
      </c>
      <c r="N102" s="215">
        <v>0</v>
      </c>
      <c r="O102" s="215">
        <v>6954.61</v>
      </c>
      <c r="Q102" s="215">
        <f t="shared" si="5"/>
        <v>0</v>
      </c>
      <c r="R102" s="215">
        <f t="shared" si="6"/>
        <v>0</v>
      </c>
      <c r="S102" s="215">
        <f t="shared" si="7"/>
        <v>0</v>
      </c>
      <c r="T102" s="215">
        <f t="shared" si="8"/>
        <v>3640</v>
      </c>
      <c r="U102" s="215">
        <f t="shared" si="9"/>
        <v>6954.6100000000006</v>
      </c>
    </row>
    <row r="103" spans="1:21" ht="15.5" x14ac:dyDescent="0.35">
      <c r="B103" s="214" t="s">
        <v>619</v>
      </c>
      <c r="C103" s="215">
        <v>0</v>
      </c>
      <c r="D103" s="215">
        <v>0</v>
      </c>
      <c r="E103" s="215">
        <v>0</v>
      </c>
      <c r="F103" s="215">
        <v>0</v>
      </c>
      <c r="G103" s="215">
        <v>0</v>
      </c>
      <c r="H103" s="215">
        <v>0</v>
      </c>
      <c r="I103" s="215">
        <v>0</v>
      </c>
      <c r="J103" s="215">
        <v>1950</v>
      </c>
      <c r="K103" s="215">
        <v>0</v>
      </c>
      <c r="L103" s="215">
        <v>0</v>
      </c>
      <c r="M103" s="215">
        <v>0</v>
      </c>
      <c r="N103" s="215">
        <v>0</v>
      </c>
      <c r="O103" s="215">
        <v>1950</v>
      </c>
      <c r="Q103" s="215">
        <f t="shared" si="5"/>
        <v>0</v>
      </c>
      <c r="R103" s="215">
        <f t="shared" si="6"/>
        <v>0</v>
      </c>
      <c r="S103" s="215">
        <f t="shared" si="7"/>
        <v>0</v>
      </c>
      <c r="T103" s="215">
        <f t="shared" si="8"/>
        <v>3900</v>
      </c>
      <c r="U103" s="215">
        <f t="shared" si="9"/>
        <v>1950</v>
      </c>
    </row>
    <row r="104" spans="1:21" ht="15.5" x14ac:dyDescent="0.35">
      <c r="B104" s="214" t="s">
        <v>620</v>
      </c>
      <c r="C104" s="215">
        <v>0</v>
      </c>
      <c r="D104" s="215">
        <v>0</v>
      </c>
      <c r="E104" s="215">
        <v>0</v>
      </c>
      <c r="F104" s="215">
        <v>0</v>
      </c>
      <c r="G104" s="215">
        <v>0</v>
      </c>
      <c r="H104" s="215">
        <v>0</v>
      </c>
      <c r="I104" s="215">
        <v>0</v>
      </c>
      <c r="J104" s="215">
        <v>0</v>
      </c>
      <c r="K104" s="215">
        <v>0</v>
      </c>
      <c r="L104" s="215">
        <v>600</v>
      </c>
      <c r="M104" s="215">
        <v>750</v>
      </c>
      <c r="N104" s="215">
        <v>0</v>
      </c>
      <c r="O104" s="215">
        <v>1350</v>
      </c>
      <c r="Q104" s="215">
        <f t="shared" si="5"/>
        <v>0</v>
      </c>
      <c r="R104" s="215">
        <f t="shared" si="6"/>
        <v>4500</v>
      </c>
      <c r="S104" s="215">
        <f t="shared" si="7"/>
        <v>5400</v>
      </c>
      <c r="T104" s="215">
        <f t="shared" si="8"/>
        <v>2700</v>
      </c>
      <c r="U104" s="215">
        <f t="shared" si="9"/>
        <v>1350</v>
      </c>
    </row>
    <row r="105" spans="1:21" ht="15.5" x14ac:dyDescent="0.35">
      <c r="B105" s="214" t="s">
        <v>621</v>
      </c>
      <c r="C105" s="215">
        <v>0</v>
      </c>
      <c r="D105" s="215">
        <v>0</v>
      </c>
      <c r="E105" s="215">
        <v>0</v>
      </c>
      <c r="F105" s="215">
        <v>0</v>
      </c>
      <c r="G105" s="215">
        <v>0</v>
      </c>
      <c r="H105" s="215">
        <v>0</v>
      </c>
      <c r="I105" s="215">
        <v>0</v>
      </c>
      <c r="J105" s="215">
        <v>0</v>
      </c>
      <c r="K105" s="215">
        <v>429.38</v>
      </c>
      <c r="L105" s="215">
        <v>0</v>
      </c>
      <c r="M105" s="215">
        <v>-79.03</v>
      </c>
      <c r="N105" s="215">
        <v>69</v>
      </c>
      <c r="O105" s="215">
        <v>419.35</v>
      </c>
      <c r="Q105" s="215">
        <f t="shared" si="5"/>
        <v>828</v>
      </c>
      <c r="R105" s="215">
        <f t="shared" si="6"/>
        <v>-60.180000000000007</v>
      </c>
      <c r="S105" s="215">
        <f t="shared" si="7"/>
        <v>-40.120000000000005</v>
      </c>
      <c r="T105" s="215">
        <f t="shared" si="8"/>
        <v>838.7</v>
      </c>
      <c r="U105" s="215">
        <f t="shared" si="9"/>
        <v>419.35</v>
      </c>
    </row>
    <row r="106" spans="1:21" ht="15.5" x14ac:dyDescent="0.35">
      <c r="B106" s="214" t="s">
        <v>622</v>
      </c>
      <c r="C106" s="215">
        <v>0</v>
      </c>
      <c r="D106" s="215">
        <v>0</v>
      </c>
      <c r="E106" s="215">
        <v>0</v>
      </c>
      <c r="F106" s="215">
        <v>0</v>
      </c>
      <c r="G106" s="215">
        <v>0</v>
      </c>
      <c r="H106" s="215">
        <v>0</v>
      </c>
      <c r="I106" s="215">
        <v>0</v>
      </c>
      <c r="J106" s="215">
        <v>0</v>
      </c>
      <c r="K106" s="215">
        <v>0</v>
      </c>
      <c r="L106" s="215">
        <v>373.23</v>
      </c>
      <c r="M106" s="215">
        <v>0</v>
      </c>
      <c r="N106" s="215">
        <v>0</v>
      </c>
      <c r="O106" s="215">
        <v>373.23</v>
      </c>
      <c r="Q106" s="215">
        <f t="shared" si="5"/>
        <v>0</v>
      </c>
      <c r="R106" s="215">
        <f t="shared" si="6"/>
        <v>0</v>
      </c>
      <c r="S106" s="215">
        <f t="shared" si="7"/>
        <v>1492.92</v>
      </c>
      <c r="T106" s="215">
        <f t="shared" si="8"/>
        <v>746.46</v>
      </c>
      <c r="U106" s="215">
        <f t="shared" si="9"/>
        <v>373.23</v>
      </c>
    </row>
    <row r="107" spans="1:21" ht="15.5" x14ac:dyDescent="0.35">
      <c r="B107" s="214" t="s">
        <v>623</v>
      </c>
      <c r="C107" s="215">
        <v>0</v>
      </c>
      <c r="D107" s="215">
        <v>0</v>
      </c>
      <c r="E107" s="215">
        <v>0</v>
      </c>
      <c r="F107" s="215">
        <v>0</v>
      </c>
      <c r="G107" s="215">
        <v>0</v>
      </c>
      <c r="H107" s="215">
        <v>0</v>
      </c>
      <c r="I107" s="215">
        <v>0</v>
      </c>
      <c r="J107" s="215">
        <v>0</v>
      </c>
      <c r="K107" s="215">
        <v>0</v>
      </c>
      <c r="L107" s="215">
        <v>0</v>
      </c>
      <c r="M107" s="215">
        <v>163.95</v>
      </c>
      <c r="N107" s="215">
        <v>0</v>
      </c>
      <c r="O107" s="215">
        <v>163.95</v>
      </c>
      <c r="Q107" s="215">
        <f t="shared" si="5"/>
        <v>0</v>
      </c>
      <c r="R107" s="215">
        <f t="shared" si="6"/>
        <v>983.69999999999993</v>
      </c>
      <c r="S107" s="215">
        <f t="shared" si="7"/>
        <v>655.8</v>
      </c>
      <c r="T107" s="215">
        <f t="shared" si="8"/>
        <v>327.9</v>
      </c>
      <c r="U107" s="215">
        <f t="shared" si="9"/>
        <v>163.95</v>
      </c>
    </row>
    <row r="108" spans="1:21" ht="15.5" x14ac:dyDescent="0.35">
      <c r="B108" s="214" t="s">
        <v>624</v>
      </c>
      <c r="C108" s="215">
        <v>0</v>
      </c>
      <c r="D108" s="215">
        <v>0</v>
      </c>
      <c r="E108" s="215">
        <v>0</v>
      </c>
      <c r="F108" s="215">
        <v>0</v>
      </c>
      <c r="G108" s="215">
        <v>0</v>
      </c>
      <c r="H108" s="215">
        <v>0</v>
      </c>
      <c r="I108" s="215">
        <v>0</v>
      </c>
      <c r="J108" s="215">
        <v>2940.39</v>
      </c>
      <c r="K108" s="215">
        <v>2532</v>
      </c>
      <c r="L108" s="215">
        <v>2832</v>
      </c>
      <c r="M108" s="215">
        <v>2832</v>
      </c>
      <c r="N108" s="215">
        <v>2832</v>
      </c>
      <c r="O108" s="215">
        <v>13968.39</v>
      </c>
      <c r="Q108" s="215">
        <f t="shared" si="5"/>
        <v>33984</v>
      </c>
      <c r="R108" s="215">
        <f t="shared" si="6"/>
        <v>33984</v>
      </c>
      <c r="S108" s="215">
        <f t="shared" si="7"/>
        <v>33984</v>
      </c>
      <c r="T108" s="215">
        <f t="shared" si="8"/>
        <v>27936.78</v>
      </c>
      <c r="U108" s="215">
        <f t="shared" si="9"/>
        <v>13968.39</v>
      </c>
    </row>
    <row r="109" spans="1:21" ht="15.5" x14ac:dyDescent="0.35">
      <c r="B109" s="214" t="s">
        <v>625</v>
      </c>
      <c r="C109" s="215">
        <v>0</v>
      </c>
      <c r="D109" s="215">
        <v>0</v>
      </c>
      <c r="E109" s="215">
        <v>0</v>
      </c>
      <c r="F109" s="215">
        <v>0</v>
      </c>
      <c r="G109" s="215">
        <v>0</v>
      </c>
      <c r="H109" s="215">
        <v>0</v>
      </c>
      <c r="I109" s="215">
        <v>0</v>
      </c>
      <c r="J109" s="215">
        <v>800.65</v>
      </c>
      <c r="K109" s="215">
        <v>730</v>
      </c>
      <c r="L109" s="215">
        <v>730</v>
      </c>
      <c r="M109" s="215">
        <v>730</v>
      </c>
      <c r="N109" s="215">
        <v>0</v>
      </c>
      <c r="O109" s="215">
        <v>2990.65</v>
      </c>
      <c r="Q109" s="215">
        <f t="shared" si="5"/>
        <v>0</v>
      </c>
      <c r="R109" s="215">
        <f t="shared" si="6"/>
        <v>4380</v>
      </c>
      <c r="S109" s="215">
        <f t="shared" si="7"/>
        <v>5840</v>
      </c>
      <c r="T109" s="215">
        <f t="shared" si="8"/>
        <v>5981.3</v>
      </c>
      <c r="U109" s="215">
        <f t="shared" si="9"/>
        <v>2990.65</v>
      </c>
    </row>
    <row r="110" spans="1:21" ht="15.5" x14ac:dyDescent="0.35">
      <c r="A110" s="21">
        <v>10</v>
      </c>
      <c r="B110" s="212" t="s">
        <v>626</v>
      </c>
      <c r="C110" s="216">
        <v>1319.46</v>
      </c>
      <c r="D110" s="216">
        <v>645</v>
      </c>
      <c r="E110" s="216">
        <v>645</v>
      </c>
      <c r="F110" s="216">
        <v>667.17</v>
      </c>
      <c r="G110" s="216">
        <v>682.98</v>
      </c>
      <c r="H110" s="216">
        <v>1175</v>
      </c>
      <c r="I110" s="216">
        <v>1820</v>
      </c>
      <c r="J110" s="216">
        <v>5691.04</v>
      </c>
      <c r="K110" s="216">
        <v>3691.38</v>
      </c>
      <c r="L110" s="216">
        <v>4535.2299999999996</v>
      </c>
      <c r="M110" s="216">
        <v>4396.92</v>
      </c>
      <c r="N110" s="216">
        <v>2901</v>
      </c>
      <c r="O110" s="216">
        <v>28170.18</v>
      </c>
      <c r="Q110" s="216">
        <f t="shared" si="5"/>
        <v>34812</v>
      </c>
      <c r="R110" s="216">
        <f t="shared" si="6"/>
        <v>43787.520000000004</v>
      </c>
      <c r="S110" s="216">
        <f t="shared" si="7"/>
        <v>47332.6</v>
      </c>
      <c r="T110" s="216">
        <f t="shared" si="8"/>
        <v>46071.14</v>
      </c>
      <c r="U110" s="216">
        <f t="shared" si="9"/>
        <v>28170.18</v>
      </c>
    </row>
    <row r="111" spans="1:21" ht="15.5" x14ac:dyDescent="0.35">
      <c r="B111" s="212" t="s">
        <v>627</v>
      </c>
      <c r="C111" s="213"/>
      <c r="D111" s="213"/>
      <c r="E111" s="213"/>
      <c r="F111" s="213"/>
      <c r="G111" s="213"/>
      <c r="H111" s="213"/>
      <c r="I111" s="213"/>
      <c r="J111" s="213"/>
      <c r="K111" s="213"/>
      <c r="L111" s="213"/>
      <c r="M111" s="213"/>
      <c r="N111" s="213"/>
      <c r="O111" s="213"/>
      <c r="Q111" s="213">
        <f t="shared" si="5"/>
        <v>0</v>
      </c>
      <c r="R111" s="213">
        <f t="shared" si="6"/>
        <v>0</v>
      </c>
      <c r="S111" s="213">
        <f t="shared" si="7"/>
        <v>0</v>
      </c>
      <c r="T111" s="213">
        <f t="shared" si="8"/>
        <v>0</v>
      </c>
      <c r="U111" s="213">
        <f t="shared" si="9"/>
        <v>0</v>
      </c>
    </row>
    <row r="112" spans="1:21" ht="15.5" x14ac:dyDescent="0.35">
      <c r="B112" s="214" t="s">
        <v>628</v>
      </c>
      <c r="C112" s="215">
        <v>0</v>
      </c>
      <c r="D112" s="215">
        <v>776.97</v>
      </c>
      <c r="E112" s="215">
        <v>704.69</v>
      </c>
      <c r="F112" s="215">
        <v>234.76</v>
      </c>
      <c r="G112" s="215">
        <v>960</v>
      </c>
      <c r="H112" s="215">
        <v>0</v>
      </c>
      <c r="I112" s="215">
        <v>1475.28</v>
      </c>
      <c r="J112" s="215">
        <v>1205.79</v>
      </c>
      <c r="K112" s="215">
        <v>502.98</v>
      </c>
      <c r="L112" s="215">
        <v>2330</v>
      </c>
      <c r="M112" s="215">
        <v>818.79</v>
      </c>
      <c r="N112" s="215">
        <v>5860</v>
      </c>
      <c r="O112" s="215">
        <v>14869.26</v>
      </c>
      <c r="Q112" s="215">
        <f t="shared" si="5"/>
        <v>70320</v>
      </c>
      <c r="R112" s="215">
        <f t="shared" si="6"/>
        <v>40072.74</v>
      </c>
      <c r="S112" s="215">
        <f t="shared" si="7"/>
        <v>36035.160000000003</v>
      </c>
      <c r="T112" s="215">
        <f t="shared" si="8"/>
        <v>24385.68</v>
      </c>
      <c r="U112" s="215">
        <f t="shared" si="9"/>
        <v>14869.259999999998</v>
      </c>
    </row>
    <row r="113" spans="1:21" ht="15.5" x14ac:dyDescent="0.35">
      <c r="B113" s="214" t="s">
        <v>629</v>
      </c>
      <c r="C113" s="215">
        <v>35.06</v>
      </c>
      <c r="D113" s="215">
        <v>3414.03</v>
      </c>
      <c r="E113" s="215">
        <v>532.35</v>
      </c>
      <c r="F113" s="215">
        <v>511.46</v>
      </c>
      <c r="G113" s="215">
        <v>2075.9899999999998</v>
      </c>
      <c r="H113" s="215">
        <v>0</v>
      </c>
      <c r="I113" s="215">
        <v>861.56</v>
      </c>
      <c r="J113" s="215">
        <v>2205.25</v>
      </c>
      <c r="K113" s="215">
        <v>0</v>
      </c>
      <c r="L113" s="215">
        <v>1872.8</v>
      </c>
      <c r="M113" s="215">
        <v>2179.4699999999998</v>
      </c>
      <c r="N113" s="215">
        <v>360</v>
      </c>
      <c r="O113" s="215">
        <v>14047.97</v>
      </c>
      <c r="Q113" s="215">
        <f t="shared" si="5"/>
        <v>4320</v>
      </c>
      <c r="R113" s="215">
        <f t="shared" si="6"/>
        <v>15236.82</v>
      </c>
      <c r="S113" s="215">
        <f t="shared" si="7"/>
        <v>17649.079999999998</v>
      </c>
      <c r="T113" s="215">
        <f t="shared" si="8"/>
        <v>14958.16</v>
      </c>
      <c r="U113" s="215">
        <f t="shared" si="9"/>
        <v>14047.969999999998</v>
      </c>
    </row>
    <row r="114" spans="1:21" ht="15.5" x14ac:dyDescent="0.35">
      <c r="B114" s="214" t="s">
        <v>630</v>
      </c>
      <c r="C114" s="215">
        <v>751</v>
      </c>
      <c r="D114" s="215">
        <v>610</v>
      </c>
      <c r="E114" s="215">
        <v>775</v>
      </c>
      <c r="F114" s="215">
        <v>205.3</v>
      </c>
      <c r="G114" s="215">
        <v>0</v>
      </c>
      <c r="H114" s="215">
        <v>650</v>
      </c>
      <c r="I114" s="215">
        <v>0</v>
      </c>
      <c r="J114" s="215">
        <v>309.3</v>
      </c>
      <c r="K114" s="215">
        <v>0</v>
      </c>
      <c r="L114" s="215">
        <v>0</v>
      </c>
      <c r="M114" s="215">
        <v>0</v>
      </c>
      <c r="N114" s="215">
        <v>0</v>
      </c>
      <c r="O114" s="215">
        <v>3300.6</v>
      </c>
      <c r="Q114" s="215">
        <f t="shared" si="5"/>
        <v>0</v>
      </c>
      <c r="R114" s="215">
        <f t="shared" si="6"/>
        <v>0</v>
      </c>
      <c r="S114" s="215">
        <f t="shared" si="7"/>
        <v>0</v>
      </c>
      <c r="T114" s="215">
        <f t="shared" si="8"/>
        <v>618.6</v>
      </c>
      <c r="U114" s="215">
        <f t="shared" si="9"/>
        <v>3300.6000000000004</v>
      </c>
    </row>
    <row r="115" spans="1:21" ht="15.5" x14ac:dyDescent="0.35">
      <c r="B115" s="214" t="s">
        <v>631</v>
      </c>
      <c r="C115" s="215">
        <v>0</v>
      </c>
      <c r="D115" s="215">
        <v>1500</v>
      </c>
      <c r="E115" s="215">
        <v>1500</v>
      </c>
      <c r="F115" s="215">
        <v>750</v>
      </c>
      <c r="G115" s="215">
        <v>0</v>
      </c>
      <c r="H115" s="215">
        <v>0</v>
      </c>
      <c r="I115" s="215">
        <v>800</v>
      </c>
      <c r="J115" s="215">
        <v>0</v>
      </c>
      <c r="K115" s="215">
        <v>0</v>
      </c>
      <c r="L115" s="215">
        <v>645</v>
      </c>
      <c r="M115" s="215">
        <v>0</v>
      </c>
      <c r="N115" s="215">
        <v>396.41</v>
      </c>
      <c r="O115" s="215">
        <v>5591.41</v>
      </c>
      <c r="Q115" s="215">
        <f t="shared" si="5"/>
        <v>4756.92</v>
      </c>
      <c r="R115" s="215">
        <f t="shared" si="6"/>
        <v>2378.46</v>
      </c>
      <c r="S115" s="215">
        <f t="shared" si="7"/>
        <v>4165.6400000000003</v>
      </c>
      <c r="T115" s="215">
        <f t="shared" si="8"/>
        <v>3682.82</v>
      </c>
      <c r="U115" s="215">
        <f t="shared" si="9"/>
        <v>5591.41</v>
      </c>
    </row>
    <row r="116" spans="1:21" ht="15.5" x14ac:dyDescent="0.35">
      <c r="B116" s="214" t="s">
        <v>632</v>
      </c>
      <c r="C116" s="215">
        <v>0</v>
      </c>
      <c r="D116" s="215">
        <v>1009.81</v>
      </c>
      <c r="E116" s="215">
        <v>510.19</v>
      </c>
      <c r="F116" s="215">
        <v>1369.28</v>
      </c>
      <c r="G116" s="215">
        <v>1819.9</v>
      </c>
      <c r="H116" s="215">
        <v>674.13</v>
      </c>
      <c r="I116" s="215">
        <v>4162.29</v>
      </c>
      <c r="J116" s="215">
        <v>857</v>
      </c>
      <c r="K116" s="215">
        <v>0</v>
      </c>
      <c r="L116" s="215">
        <v>0</v>
      </c>
      <c r="M116" s="215">
        <v>0</v>
      </c>
      <c r="N116" s="215">
        <v>0</v>
      </c>
      <c r="O116" s="215">
        <v>10402.6</v>
      </c>
      <c r="Q116" s="215">
        <f t="shared" si="5"/>
        <v>0</v>
      </c>
      <c r="R116" s="215">
        <f t="shared" si="6"/>
        <v>0</v>
      </c>
      <c r="S116" s="215">
        <f t="shared" si="7"/>
        <v>0</v>
      </c>
      <c r="T116" s="215">
        <f t="shared" si="8"/>
        <v>10038.58</v>
      </c>
      <c r="U116" s="215">
        <f t="shared" si="9"/>
        <v>10402.6</v>
      </c>
    </row>
    <row r="117" spans="1:21" ht="15.5" x14ac:dyDescent="0.35">
      <c r="B117" s="214" t="s">
        <v>633</v>
      </c>
      <c r="C117" s="215">
        <v>-62.69</v>
      </c>
      <c r="D117" s="215">
        <v>0</v>
      </c>
      <c r="E117" s="215">
        <v>0</v>
      </c>
      <c r="F117" s="215">
        <v>0</v>
      </c>
      <c r="G117" s="215">
        <v>0</v>
      </c>
      <c r="H117" s="215">
        <v>0</v>
      </c>
      <c r="I117" s="215">
        <v>0</v>
      </c>
      <c r="J117" s="215">
        <v>0</v>
      </c>
      <c r="K117" s="215">
        <v>0</v>
      </c>
      <c r="L117" s="215">
        <v>0</v>
      </c>
      <c r="M117" s="215">
        <v>0</v>
      </c>
      <c r="N117" s="215">
        <v>0</v>
      </c>
      <c r="O117" s="215">
        <v>-62.69</v>
      </c>
      <c r="Q117" s="215">
        <f t="shared" si="5"/>
        <v>0</v>
      </c>
      <c r="R117" s="215">
        <f t="shared" si="6"/>
        <v>0</v>
      </c>
      <c r="S117" s="215">
        <f t="shared" si="7"/>
        <v>0</v>
      </c>
      <c r="T117" s="215">
        <f t="shared" si="8"/>
        <v>0</v>
      </c>
      <c r="U117" s="215">
        <f t="shared" si="9"/>
        <v>-62.69</v>
      </c>
    </row>
    <row r="118" spans="1:21" ht="15.5" x14ac:dyDescent="0.35">
      <c r="B118" s="214" t="s">
        <v>634</v>
      </c>
      <c r="C118" s="215">
        <v>0</v>
      </c>
      <c r="D118" s="215">
        <v>0</v>
      </c>
      <c r="E118" s="215">
        <v>0</v>
      </c>
      <c r="F118" s="215">
        <v>0</v>
      </c>
      <c r="G118" s="215">
        <v>0</v>
      </c>
      <c r="H118" s="215">
        <v>1405</v>
      </c>
      <c r="I118" s="215">
        <v>954.6</v>
      </c>
      <c r="J118" s="215">
        <v>0</v>
      </c>
      <c r="K118" s="215">
        <v>0</v>
      </c>
      <c r="L118" s="215">
        <v>0</v>
      </c>
      <c r="M118" s="215">
        <v>633.25</v>
      </c>
      <c r="N118" s="215">
        <v>1160</v>
      </c>
      <c r="O118" s="215">
        <v>4152.8500000000004</v>
      </c>
      <c r="Q118" s="215">
        <f t="shared" si="5"/>
        <v>13920</v>
      </c>
      <c r="R118" s="215">
        <f t="shared" si="6"/>
        <v>10759.5</v>
      </c>
      <c r="S118" s="215">
        <f t="shared" si="7"/>
        <v>7173</v>
      </c>
      <c r="T118" s="215">
        <f t="shared" si="8"/>
        <v>5495.7</v>
      </c>
      <c r="U118" s="215">
        <f t="shared" si="9"/>
        <v>4152.8500000000004</v>
      </c>
    </row>
    <row r="119" spans="1:21" ht="15.5" x14ac:dyDescent="0.35">
      <c r="B119" s="214" t="s">
        <v>635</v>
      </c>
      <c r="C119" s="215">
        <v>-208.09</v>
      </c>
      <c r="D119" s="215">
        <v>266.61</v>
      </c>
      <c r="E119" s="215">
        <v>0</v>
      </c>
      <c r="F119" s="215">
        <v>125</v>
      </c>
      <c r="G119" s="215">
        <v>-105</v>
      </c>
      <c r="H119" s="215">
        <v>0</v>
      </c>
      <c r="I119" s="215">
        <v>0</v>
      </c>
      <c r="J119" s="215">
        <v>1123.32</v>
      </c>
      <c r="K119" s="215">
        <v>161.49</v>
      </c>
      <c r="L119" s="215">
        <v>397.86</v>
      </c>
      <c r="M119" s="215">
        <v>953.46</v>
      </c>
      <c r="N119" s="215">
        <v>1175</v>
      </c>
      <c r="O119" s="215">
        <v>3889.65</v>
      </c>
      <c r="Q119" s="215">
        <f t="shared" si="5"/>
        <v>14100</v>
      </c>
      <c r="R119" s="215">
        <f t="shared" si="6"/>
        <v>12770.76</v>
      </c>
      <c r="S119" s="215">
        <f t="shared" si="7"/>
        <v>10105.280000000001</v>
      </c>
      <c r="T119" s="215">
        <f t="shared" si="8"/>
        <v>7622.26</v>
      </c>
      <c r="U119" s="215">
        <f t="shared" si="9"/>
        <v>3889.65</v>
      </c>
    </row>
    <row r="120" spans="1:21" ht="15.5" x14ac:dyDescent="0.35">
      <c r="B120" s="214" t="s">
        <v>636</v>
      </c>
      <c r="C120" s="215">
        <v>2539.2600000000002</v>
      </c>
      <c r="D120" s="215">
        <v>0</v>
      </c>
      <c r="E120" s="215">
        <v>0</v>
      </c>
      <c r="F120" s="215">
        <v>-118</v>
      </c>
      <c r="G120" s="215">
        <v>0</v>
      </c>
      <c r="H120" s="215">
        <v>0</v>
      </c>
      <c r="I120" s="215">
        <v>128.99</v>
      </c>
      <c r="J120" s="215">
        <v>0</v>
      </c>
      <c r="K120" s="215">
        <v>0</v>
      </c>
      <c r="L120" s="215">
        <v>0</v>
      </c>
      <c r="M120" s="215">
        <v>0</v>
      </c>
      <c r="N120" s="215">
        <v>0</v>
      </c>
      <c r="O120" s="215">
        <v>2550.25</v>
      </c>
      <c r="Q120" s="215">
        <f t="shared" si="5"/>
        <v>0</v>
      </c>
      <c r="R120" s="215">
        <f t="shared" si="6"/>
        <v>0</v>
      </c>
      <c r="S120" s="215">
        <f t="shared" si="7"/>
        <v>0</v>
      </c>
      <c r="T120" s="215">
        <f t="shared" si="8"/>
        <v>257.98</v>
      </c>
      <c r="U120" s="215">
        <f t="shared" si="9"/>
        <v>2550.25</v>
      </c>
    </row>
    <row r="121" spans="1:21" ht="15.5" x14ac:dyDescent="0.35">
      <c r="B121" s="214" t="s">
        <v>637</v>
      </c>
      <c r="C121" s="215">
        <v>175</v>
      </c>
      <c r="D121" s="215">
        <v>0</v>
      </c>
      <c r="E121" s="215">
        <v>75</v>
      </c>
      <c r="F121" s="215">
        <v>0</v>
      </c>
      <c r="G121" s="215">
        <v>50</v>
      </c>
      <c r="H121" s="215">
        <v>50</v>
      </c>
      <c r="I121" s="215">
        <v>25</v>
      </c>
      <c r="J121" s="215">
        <v>0</v>
      </c>
      <c r="K121" s="215">
        <v>0</v>
      </c>
      <c r="L121" s="215">
        <v>0</v>
      </c>
      <c r="M121" s="215">
        <v>0</v>
      </c>
      <c r="N121" s="215">
        <v>0</v>
      </c>
      <c r="O121" s="215">
        <v>375</v>
      </c>
      <c r="Q121" s="215">
        <f t="shared" si="5"/>
        <v>0</v>
      </c>
      <c r="R121" s="215">
        <f t="shared" si="6"/>
        <v>0</v>
      </c>
      <c r="S121" s="215">
        <f t="shared" si="7"/>
        <v>0</v>
      </c>
      <c r="T121" s="215">
        <f t="shared" si="8"/>
        <v>50</v>
      </c>
      <c r="U121" s="215">
        <f t="shared" si="9"/>
        <v>375</v>
      </c>
    </row>
    <row r="122" spans="1:21" ht="15.5" x14ac:dyDescent="0.35">
      <c r="B122" s="214" t="s">
        <v>638</v>
      </c>
      <c r="C122" s="215">
        <v>0</v>
      </c>
      <c r="D122" s="215">
        <v>0</v>
      </c>
      <c r="E122" s="215">
        <v>0</v>
      </c>
      <c r="F122" s="215">
        <v>0</v>
      </c>
      <c r="G122" s="215">
        <v>0</v>
      </c>
      <c r="H122" s="215">
        <v>315</v>
      </c>
      <c r="I122" s="215">
        <v>370</v>
      </c>
      <c r="J122" s="215">
        <v>0</v>
      </c>
      <c r="K122" s="215">
        <v>0</v>
      </c>
      <c r="L122" s="215">
        <v>0</v>
      </c>
      <c r="M122" s="215">
        <v>0</v>
      </c>
      <c r="N122" s="215">
        <v>0</v>
      </c>
      <c r="O122" s="215">
        <v>685</v>
      </c>
      <c r="Q122" s="215">
        <f t="shared" si="5"/>
        <v>0</v>
      </c>
      <c r="R122" s="215">
        <f t="shared" si="6"/>
        <v>0</v>
      </c>
      <c r="S122" s="215">
        <f t="shared" si="7"/>
        <v>0</v>
      </c>
      <c r="T122" s="215">
        <f t="shared" si="8"/>
        <v>740</v>
      </c>
      <c r="U122" s="215">
        <f t="shared" si="9"/>
        <v>685</v>
      </c>
    </row>
    <row r="123" spans="1:21" ht="15.5" x14ac:dyDescent="0.35">
      <c r="B123" s="214" t="s">
        <v>639</v>
      </c>
      <c r="C123" s="215">
        <v>545</v>
      </c>
      <c r="D123" s="215">
        <v>0</v>
      </c>
      <c r="E123" s="215">
        <v>445</v>
      </c>
      <c r="F123" s="215">
        <v>0</v>
      </c>
      <c r="G123" s="215">
        <v>470</v>
      </c>
      <c r="H123" s="215">
        <v>1515</v>
      </c>
      <c r="I123" s="215">
        <v>504.68</v>
      </c>
      <c r="J123" s="215">
        <v>0</v>
      </c>
      <c r="K123" s="215">
        <v>0</v>
      </c>
      <c r="L123" s="215">
        <v>0</v>
      </c>
      <c r="M123" s="215">
        <v>730</v>
      </c>
      <c r="N123" s="215">
        <v>450</v>
      </c>
      <c r="O123" s="215">
        <v>4659.68</v>
      </c>
      <c r="Q123" s="215">
        <f t="shared" si="5"/>
        <v>5400</v>
      </c>
      <c r="R123" s="215">
        <f t="shared" si="6"/>
        <v>7080</v>
      </c>
      <c r="S123" s="215">
        <f t="shared" si="7"/>
        <v>4720</v>
      </c>
      <c r="T123" s="215">
        <f t="shared" si="8"/>
        <v>3369.36</v>
      </c>
      <c r="U123" s="215">
        <f t="shared" si="9"/>
        <v>4659.68</v>
      </c>
    </row>
    <row r="124" spans="1:21" ht="15.5" x14ac:dyDescent="0.35">
      <c r="B124" s="214" t="s">
        <v>640</v>
      </c>
      <c r="C124" s="215">
        <v>0</v>
      </c>
      <c r="D124" s="215">
        <v>0</v>
      </c>
      <c r="E124" s="215">
        <v>0</v>
      </c>
      <c r="F124" s="215">
        <v>0</v>
      </c>
      <c r="G124" s="215">
        <v>0</v>
      </c>
      <c r="H124" s="215">
        <v>0</v>
      </c>
      <c r="I124" s="215">
        <v>0</v>
      </c>
      <c r="J124" s="215">
        <v>0</v>
      </c>
      <c r="K124" s="215">
        <v>38.5</v>
      </c>
      <c r="L124" s="215">
        <v>0</v>
      </c>
      <c r="M124" s="215">
        <v>0</v>
      </c>
      <c r="N124" s="215">
        <v>0</v>
      </c>
      <c r="O124" s="215">
        <v>38.5</v>
      </c>
      <c r="Q124" s="215">
        <f t="shared" si="5"/>
        <v>0</v>
      </c>
      <c r="R124" s="215">
        <f t="shared" si="6"/>
        <v>0</v>
      </c>
      <c r="S124" s="215">
        <f t="shared" si="7"/>
        <v>0</v>
      </c>
      <c r="T124" s="215">
        <f t="shared" si="8"/>
        <v>77</v>
      </c>
      <c r="U124" s="215">
        <f t="shared" si="9"/>
        <v>38.5</v>
      </c>
    </row>
    <row r="125" spans="1:21" ht="15.5" x14ac:dyDescent="0.35">
      <c r="A125" s="21">
        <v>11</v>
      </c>
      <c r="B125" s="212" t="s">
        <v>641</v>
      </c>
      <c r="C125" s="216">
        <v>3774.54</v>
      </c>
      <c r="D125" s="216">
        <v>7577.42</v>
      </c>
      <c r="E125" s="216">
        <v>4542.2299999999996</v>
      </c>
      <c r="F125" s="216">
        <v>3077.8</v>
      </c>
      <c r="G125" s="216">
        <v>5270.89</v>
      </c>
      <c r="H125" s="216">
        <v>4609.13</v>
      </c>
      <c r="I125" s="216">
        <v>9282.4</v>
      </c>
      <c r="J125" s="216">
        <v>5700.66</v>
      </c>
      <c r="K125" s="216">
        <v>702.97</v>
      </c>
      <c r="L125" s="216">
        <v>5245.66</v>
      </c>
      <c r="M125" s="216">
        <v>5314.97</v>
      </c>
      <c r="N125" s="216">
        <v>9401.41</v>
      </c>
      <c r="O125" s="216">
        <v>64500.08</v>
      </c>
      <c r="Q125" s="216">
        <f t="shared" si="5"/>
        <v>112816.92</v>
      </c>
      <c r="R125" s="216">
        <f t="shared" si="6"/>
        <v>88298.28</v>
      </c>
      <c r="S125" s="216">
        <f t="shared" si="7"/>
        <v>79848.160000000003</v>
      </c>
      <c r="T125" s="216">
        <f t="shared" si="8"/>
        <v>71296.14</v>
      </c>
      <c r="U125" s="216">
        <f t="shared" si="9"/>
        <v>64500.08</v>
      </c>
    </row>
    <row r="126" spans="1:21" ht="15.5" x14ac:dyDescent="0.35">
      <c r="B126" s="212" t="s">
        <v>642</v>
      </c>
      <c r="C126" s="213"/>
      <c r="D126" s="213"/>
      <c r="E126" s="213"/>
      <c r="F126" s="213"/>
      <c r="G126" s="213"/>
      <c r="H126" s="213"/>
      <c r="I126" s="213"/>
      <c r="J126" s="213"/>
      <c r="K126" s="213"/>
      <c r="L126" s="213"/>
      <c r="M126" s="213"/>
      <c r="N126" s="213"/>
      <c r="O126" s="213"/>
      <c r="Q126" s="213">
        <f t="shared" si="5"/>
        <v>0</v>
      </c>
      <c r="R126" s="213">
        <f t="shared" si="6"/>
        <v>0</v>
      </c>
      <c r="S126" s="213">
        <f t="shared" si="7"/>
        <v>0</v>
      </c>
      <c r="T126" s="213">
        <f t="shared" si="8"/>
        <v>0</v>
      </c>
      <c r="U126" s="213">
        <f t="shared" si="9"/>
        <v>0</v>
      </c>
    </row>
    <row r="127" spans="1:21" ht="15.5" x14ac:dyDescent="0.35">
      <c r="B127" s="214" t="s">
        <v>643</v>
      </c>
      <c r="C127" s="215">
        <v>0</v>
      </c>
      <c r="D127" s="215">
        <v>0</v>
      </c>
      <c r="E127" s="215">
        <v>0</v>
      </c>
      <c r="F127" s="215">
        <v>0</v>
      </c>
      <c r="G127" s="215">
        <v>0</v>
      </c>
      <c r="H127" s="215">
        <v>0</v>
      </c>
      <c r="I127" s="215">
        <v>0</v>
      </c>
      <c r="J127" s="215">
        <v>0</v>
      </c>
      <c r="K127" s="215">
        <v>19.34</v>
      </c>
      <c r="L127" s="215">
        <v>0</v>
      </c>
      <c r="M127" s="215">
        <v>169.81</v>
      </c>
      <c r="N127" s="215">
        <v>0</v>
      </c>
      <c r="O127" s="215">
        <v>189.15</v>
      </c>
      <c r="Q127" s="215">
        <f t="shared" si="5"/>
        <v>0</v>
      </c>
      <c r="R127" s="215">
        <f t="shared" si="6"/>
        <v>1018.86</v>
      </c>
      <c r="S127" s="215">
        <f t="shared" si="7"/>
        <v>679.24</v>
      </c>
      <c r="T127" s="215">
        <f t="shared" si="8"/>
        <v>378.3</v>
      </c>
      <c r="U127" s="215">
        <f t="shared" si="9"/>
        <v>189.15</v>
      </c>
    </row>
    <row r="128" spans="1:21" ht="15.5" x14ac:dyDescent="0.35">
      <c r="B128" s="214" t="s">
        <v>644</v>
      </c>
      <c r="C128" s="215">
        <v>0</v>
      </c>
      <c r="D128" s="215">
        <v>0</v>
      </c>
      <c r="E128" s="215">
        <v>0</v>
      </c>
      <c r="F128" s="215">
        <v>0</v>
      </c>
      <c r="G128" s="215">
        <v>0</v>
      </c>
      <c r="H128" s="215">
        <v>0</v>
      </c>
      <c r="I128" s="215">
        <v>0</v>
      </c>
      <c r="J128" s="215">
        <v>0</v>
      </c>
      <c r="K128" s="215">
        <v>0</v>
      </c>
      <c r="L128" s="215">
        <v>47.57</v>
      </c>
      <c r="M128" s="215">
        <v>0</v>
      </c>
      <c r="N128" s="215">
        <v>0</v>
      </c>
      <c r="O128" s="215">
        <v>47.57</v>
      </c>
      <c r="Q128" s="215">
        <f t="shared" si="5"/>
        <v>0</v>
      </c>
      <c r="R128" s="215">
        <f t="shared" si="6"/>
        <v>0</v>
      </c>
      <c r="S128" s="215">
        <f t="shared" si="7"/>
        <v>190.28</v>
      </c>
      <c r="T128" s="215">
        <f t="shared" si="8"/>
        <v>95.14</v>
      </c>
      <c r="U128" s="215">
        <f t="shared" si="9"/>
        <v>47.57</v>
      </c>
    </row>
    <row r="129" spans="1:21" ht="15.5" x14ac:dyDescent="0.35">
      <c r="B129" s="214" t="s">
        <v>645</v>
      </c>
      <c r="C129" s="215">
        <v>212</v>
      </c>
      <c r="D129" s="215">
        <v>0</v>
      </c>
      <c r="E129" s="215">
        <v>887</v>
      </c>
      <c r="F129" s="215">
        <v>0</v>
      </c>
      <c r="G129" s="215">
        <v>1186.18</v>
      </c>
      <c r="H129" s="215">
        <v>106</v>
      </c>
      <c r="I129" s="215">
        <v>0</v>
      </c>
      <c r="J129" s="215">
        <v>523.29999999999995</v>
      </c>
      <c r="K129" s="215">
        <v>0</v>
      </c>
      <c r="L129" s="215">
        <v>0</v>
      </c>
      <c r="M129" s="215">
        <v>0</v>
      </c>
      <c r="N129" s="215">
        <v>2953.9</v>
      </c>
      <c r="O129" s="215">
        <v>5868.38</v>
      </c>
      <c r="Q129" s="215">
        <f t="shared" si="5"/>
        <v>35446.800000000003</v>
      </c>
      <c r="R129" s="215">
        <f t="shared" si="6"/>
        <v>17723.400000000001</v>
      </c>
      <c r="S129" s="215">
        <f t="shared" si="7"/>
        <v>11815.6</v>
      </c>
      <c r="T129" s="215">
        <f t="shared" si="8"/>
        <v>6954.4</v>
      </c>
      <c r="U129" s="215">
        <f t="shared" si="9"/>
        <v>5868.380000000001</v>
      </c>
    </row>
    <row r="130" spans="1:21" ht="15.5" x14ac:dyDescent="0.35">
      <c r="B130" s="214" t="s">
        <v>646</v>
      </c>
      <c r="C130" s="215">
        <v>19.95</v>
      </c>
      <c r="D130" s="215">
        <v>0</v>
      </c>
      <c r="E130" s="215">
        <v>24.95</v>
      </c>
      <c r="F130" s="215">
        <v>24.95</v>
      </c>
      <c r="G130" s="215">
        <v>24.95</v>
      </c>
      <c r="H130" s="215">
        <v>0</v>
      </c>
      <c r="I130" s="215">
        <v>49.9</v>
      </c>
      <c r="J130" s="215">
        <v>0</v>
      </c>
      <c r="K130" s="215">
        <v>0</v>
      </c>
      <c r="L130" s="215">
        <v>0</v>
      </c>
      <c r="M130" s="215">
        <v>0</v>
      </c>
      <c r="N130" s="215">
        <v>0</v>
      </c>
      <c r="O130" s="215">
        <v>144.69999999999999</v>
      </c>
      <c r="Q130" s="215">
        <f t="shared" si="5"/>
        <v>0</v>
      </c>
      <c r="R130" s="215">
        <f t="shared" si="6"/>
        <v>0</v>
      </c>
      <c r="S130" s="215">
        <f t="shared" si="7"/>
        <v>0</v>
      </c>
      <c r="T130" s="215">
        <f t="shared" si="8"/>
        <v>99.8</v>
      </c>
      <c r="U130" s="215">
        <f t="shared" si="9"/>
        <v>144.69999999999999</v>
      </c>
    </row>
    <row r="131" spans="1:21" ht="15.5" x14ac:dyDescent="0.35">
      <c r="B131" s="214" t="s">
        <v>647</v>
      </c>
      <c r="C131" s="215">
        <v>107.48</v>
      </c>
      <c r="D131" s="215">
        <v>107.48</v>
      </c>
      <c r="E131" s="215">
        <v>0</v>
      </c>
      <c r="F131" s="215">
        <v>344.33</v>
      </c>
      <c r="G131" s="215">
        <v>458.25</v>
      </c>
      <c r="H131" s="215">
        <v>113.92</v>
      </c>
      <c r="I131" s="215">
        <v>0</v>
      </c>
      <c r="J131" s="215">
        <v>0</v>
      </c>
      <c r="K131" s="215">
        <v>0</v>
      </c>
      <c r="L131" s="215">
        <v>343.47</v>
      </c>
      <c r="M131" s="215">
        <v>341.76</v>
      </c>
      <c r="N131" s="215">
        <v>0</v>
      </c>
      <c r="O131" s="215">
        <v>1816.69</v>
      </c>
      <c r="Q131" s="215">
        <f t="shared" si="5"/>
        <v>0</v>
      </c>
      <c r="R131" s="215">
        <f t="shared" si="6"/>
        <v>2050.56</v>
      </c>
      <c r="S131" s="215">
        <f t="shared" si="7"/>
        <v>2740.92</v>
      </c>
      <c r="T131" s="215">
        <f t="shared" si="8"/>
        <v>1370.46</v>
      </c>
      <c r="U131" s="215">
        <f t="shared" si="9"/>
        <v>1816.69</v>
      </c>
    </row>
    <row r="132" spans="1:21" ht="15.5" x14ac:dyDescent="0.35">
      <c r="B132" s="214" t="s">
        <v>648</v>
      </c>
      <c r="C132" s="215">
        <v>2317.92</v>
      </c>
      <c r="D132" s="215">
        <v>3579.82</v>
      </c>
      <c r="E132" s="215">
        <v>0</v>
      </c>
      <c r="F132" s="215">
        <v>2473</v>
      </c>
      <c r="G132" s="215">
        <v>2888.16</v>
      </c>
      <c r="H132" s="215">
        <v>2662.76</v>
      </c>
      <c r="I132" s="215">
        <v>3499.83</v>
      </c>
      <c r="J132" s="215">
        <v>2225.91</v>
      </c>
      <c r="K132" s="215">
        <v>1604.25</v>
      </c>
      <c r="L132" s="215">
        <v>1877.54</v>
      </c>
      <c r="M132" s="215">
        <v>1964.2</v>
      </c>
      <c r="N132" s="215">
        <v>1660.11</v>
      </c>
      <c r="O132" s="215">
        <v>26753.5</v>
      </c>
      <c r="Q132" s="215">
        <f t="shared" si="5"/>
        <v>19921.32</v>
      </c>
      <c r="R132" s="215">
        <f t="shared" si="6"/>
        <v>21745.86</v>
      </c>
      <c r="S132" s="215">
        <f t="shared" si="7"/>
        <v>22007.399999999998</v>
      </c>
      <c r="T132" s="215">
        <f t="shared" si="8"/>
        <v>25663.68</v>
      </c>
      <c r="U132" s="215">
        <f t="shared" si="9"/>
        <v>26753.5</v>
      </c>
    </row>
    <row r="133" spans="1:21" ht="15.5" x14ac:dyDescent="0.35">
      <c r="B133" s="214" t="s">
        <v>649</v>
      </c>
      <c r="C133" s="215">
        <v>2360.56</v>
      </c>
      <c r="D133" s="215">
        <v>1950</v>
      </c>
      <c r="E133" s="215">
        <v>1950</v>
      </c>
      <c r="F133" s="215">
        <v>1950</v>
      </c>
      <c r="G133" s="215">
        <v>0</v>
      </c>
      <c r="H133" s="215">
        <v>1950</v>
      </c>
      <c r="I133" s="215">
        <v>3900</v>
      </c>
      <c r="J133" s="215">
        <v>1950</v>
      </c>
      <c r="K133" s="215">
        <v>1950</v>
      </c>
      <c r="L133" s="215">
        <v>1950</v>
      </c>
      <c r="M133" s="215">
        <v>1950</v>
      </c>
      <c r="N133" s="215">
        <v>1950</v>
      </c>
      <c r="O133" s="215">
        <v>23810.560000000001</v>
      </c>
      <c r="Q133" s="215">
        <f t="shared" si="5"/>
        <v>23400</v>
      </c>
      <c r="R133" s="215">
        <f t="shared" si="6"/>
        <v>23400</v>
      </c>
      <c r="S133" s="215">
        <f t="shared" si="7"/>
        <v>23400</v>
      </c>
      <c r="T133" s="215">
        <f t="shared" si="8"/>
        <v>27300</v>
      </c>
      <c r="U133" s="215">
        <f t="shared" si="9"/>
        <v>23810.559999999998</v>
      </c>
    </row>
    <row r="134" spans="1:21" ht="15.5" x14ac:dyDescent="0.35">
      <c r="B134" s="214" t="s">
        <v>650</v>
      </c>
      <c r="C134" s="215">
        <v>133.88</v>
      </c>
      <c r="D134" s="215">
        <v>133.84</v>
      </c>
      <c r="E134" s="215">
        <v>138.13999999999999</v>
      </c>
      <c r="F134" s="215">
        <v>138.13999999999999</v>
      </c>
      <c r="G134" s="215">
        <v>138.13999999999999</v>
      </c>
      <c r="H134" s="215">
        <v>138</v>
      </c>
      <c r="I134" s="215">
        <v>138.01</v>
      </c>
      <c r="J134" s="215">
        <v>133.84</v>
      </c>
      <c r="K134" s="215">
        <v>137.16</v>
      </c>
      <c r="L134" s="215">
        <v>158.1</v>
      </c>
      <c r="M134" s="215">
        <v>145.59</v>
      </c>
      <c r="N134" s="215">
        <v>-145.59</v>
      </c>
      <c r="O134" s="215">
        <v>1387.25</v>
      </c>
      <c r="Q134" s="215">
        <f t="shared" si="5"/>
        <v>-1747.08</v>
      </c>
      <c r="R134" s="215">
        <f t="shared" si="6"/>
        <v>0</v>
      </c>
      <c r="S134" s="215">
        <f t="shared" si="7"/>
        <v>632.4</v>
      </c>
      <c r="T134" s="215">
        <f t="shared" si="8"/>
        <v>1134.22</v>
      </c>
      <c r="U134" s="215">
        <f t="shared" si="9"/>
        <v>1387.25</v>
      </c>
    </row>
    <row r="135" spans="1:21" ht="15.5" x14ac:dyDescent="0.35">
      <c r="B135" s="214" t="s">
        <v>651</v>
      </c>
      <c r="C135" s="215">
        <v>180</v>
      </c>
      <c r="D135" s="215">
        <v>180</v>
      </c>
      <c r="E135" s="215">
        <v>180</v>
      </c>
      <c r="F135" s="215">
        <v>-608</v>
      </c>
      <c r="G135" s="215">
        <v>180</v>
      </c>
      <c r="H135" s="215">
        <v>180</v>
      </c>
      <c r="I135" s="215">
        <v>605.5</v>
      </c>
      <c r="J135" s="215">
        <v>180</v>
      </c>
      <c r="K135" s="215">
        <v>180</v>
      </c>
      <c r="L135" s="215">
        <v>180</v>
      </c>
      <c r="M135" s="215">
        <v>180</v>
      </c>
      <c r="N135" s="215">
        <v>703.5</v>
      </c>
      <c r="O135" s="215">
        <v>2321</v>
      </c>
      <c r="Q135" s="215">
        <f t="shared" si="5"/>
        <v>8442</v>
      </c>
      <c r="R135" s="215">
        <f t="shared" si="6"/>
        <v>5301</v>
      </c>
      <c r="S135" s="215">
        <f t="shared" si="7"/>
        <v>4254</v>
      </c>
      <c r="T135" s="215">
        <f t="shared" si="8"/>
        <v>4058</v>
      </c>
      <c r="U135" s="215">
        <f t="shared" si="9"/>
        <v>2321</v>
      </c>
    </row>
    <row r="136" spans="1:21" ht="15.5" x14ac:dyDescent="0.35">
      <c r="B136" s="214" t="s">
        <v>652</v>
      </c>
      <c r="C136" s="215">
        <v>0</v>
      </c>
      <c r="D136" s="215">
        <v>0</v>
      </c>
      <c r="E136" s="215">
        <v>0</v>
      </c>
      <c r="F136" s="215">
        <v>0</v>
      </c>
      <c r="G136" s="215">
        <v>0</v>
      </c>
      <c r="H136" s="215">
        <v>0</v>
      </c>
      <c r="I136" s="215">
        <v>878.31</v>
      </c>
      <c r="J136" s="215">
        <v>0</v>
      </c>
      <c r="K136" s="215">
        <v>0</v>
      </c>
      <c r="L136" s="215">
        <v>900</v>
      </c>
      <c r="M136" s="215">
        <v>225</v>
      </c>
      <c r="N136" s="215">
        <v>1800</v>
      </c>
      <c r="O136" s="215">
        <v>3803.31</v>
      </c>
      <c r="Q136" s="215">
        <f t="shared" si="5"/>
        <v>21600</v>
      </c>
      <c r="R136" s="215">
        <f t="shared" si="6"/>
        <v>12150</v>
      </c>
      <c r="S136" s="215">
        <f t="shared" si="7"/>
        <v>11700</v>
      </c>
      <c r="T136" s="215">
        <f t="shared" si="8"/>
        <v>7606.62</v>
      </c>
      <c r="U136" s="215">
        <f t="shared" si="9"/>
        <v>3803.31</v>
      </c>
    </row>
    <row r="137" spans="1:21" ht="15.5" x14ac:dyDescent="0.35">
      <c r="A137" s="21">
        <v>12</v>
      </c>
      <c r="B137" s="212" t="s">
        <v>653</v>
      </c>
      <c r="C137" s="216">
        <v>5331.79</v>
      </c>
      <c r="D137" s="216">
        <v>5951.14</v>
      </c>
      <c r="E137" s="216">
        <v>3180.09</v>
      </c>
      <c r="F137" s="216">
        <v>4322.42</v>
      </c>
      <c r="G137" s="216">
        <v>4875.68</v>
      </c>
      <c r="H137" s="216">
        <v>5150.68</v>
      </c>
      <c r="I137" s="216">
        <v>9071.5499999999993</v>
      </c>
      <c r="J137" s="216">
        <v>5013.05</v>
      </c>
      <c r="K137" s="216">
        <v>3890.75</v>
      </c>
      <c r="L137" s="216">
        <v>5456.68</v>
      </c>
      <c r="M137" s="216">
        <v>4976.3599999999997</v>
      </c>
      <c r="N137" s="216">
        <v>8921.92</v>
      </c>
      <c r="O137" s="216">
        <v>66142.11</v>
      </c>
      <c r="Q137" s="216">
        <f t="shared" si="5"/>
        <v>107063.04000000001</v>
      </c>
      <c r="R137" s="216">
        <f t="shared" si="6"/>
        <v>83389.679999999993</v>
      </c>
      <c r="S137" s="216">
        <f t="shared" si="7"/>
        <v>77419.839999999997</v>
      </c>
      <c r="T137" s="216">
        <f t="shared" si="8"/>
        <v>74660.62</v>
      </c>
      <c r="U137" s="216">
        <f t="shared" si="9"/>
        <v>66142.110000000015</v>
      </c>
    </row>
    <row r="138" spans="1:21" ht="15.5" x14ac:dyDescent="0.35">
      <c r="B138" s="212" t="s">
        <v>654</v>
      </c>
      <c r="C138" s="213"/>
      <c r="D138" s="213"/>
      <c r="E138" s="213"/>
      <c r="F138" s="213"/>
      <c r="G138" s="213"/>
      <c r="H138" s="213"/>
      <c r="I138" s="213"/>
      <c r="J138" s="213"/>
      <c r="K138" s="213"/>
      <c r="L138" s="213"/>
      <c r="M138" s="213"/>
      <c r="N138" s="213"/>
      <c r="O138" s="213"/>
      <c r="Q138" s="213">
        <f t="shared" si="5"/>
        <v>0</v>
      </c>
      <c r="R138" s="213">
        <f t="shared" si="6"/>
        <v>0</v>
      </c>
      <c r="S138" s="213">
        <f t="shared" si="7"/>
        <v>0</v>
      </c>
      <c r="T138" s="213">
        <f t="shared" si="8"/>
        <v>0</v>
      </c>
      <c r="U138" s="213">
        <f t="shared" si="9"/>
        <v>0</v>
      </c>
    </row>
    <row r="139" spans="1:21" ht="15.5" x14ac:dyDescent="0.35">
      <c r="B139" s="214" t="s">
        <v>655</v>
      </c>
      <c r="C139" s="215">
        <v>1925.21</v>
      </c>
      <c r="D139" s="215">
        <v>1518.99</v>
      </c>
      <c r="E139" s="215">
        <v>159.43</v>
      </c>
      <c r="F139" s="215">
        <v>108.56</v>
      </c>
      <c r="G139" s="215">
        <v>686.75</v>
      </c>
      <c r="H139" s="215">
        <v>847.37</v>
      </c>
      <c r="I139" s="215">
        <v>0</v>
      </c>
      <c r="J139" s="215">
        <v>0</v>
      </c>
      <c r="K139" s="215">
        <v>0</v>
      </c>
      <c r="L139" s="215">
        <v>0</v>
      </c>
      <c r="M139" s="215">
        <v>0</v>
      </c>
      <c r="N139" s="215">
        <v>0</v>
      </c>
      <c r="O139" s="215">
        <v>5246.31</v>
      </c>
      <c r="Q139" s="215">
        <f t="shared" si="5"/>
        <v>0</v>
      </c>
      <c r="R139" s="215">
        <f t="shared" si="6"/>
        <v>0</v>
      </c>
      <c r="S139" s="215">
        <f t="shared" si="7"/>
        <v>0</v>
      </c>
      <c r="T139" s="215">
        <f t="shared" si="8"/>
        <v>0</v>
      </c>
      <c r="U139" s="215">
        <f t="shared" si="9"/>
        <v>5246.3099999999995</v>
      </c>
    </row>
    <row r="140" spans="1:21" ht="15.5" x14ac:dyDescent="0.35">
      <c r="B140" s="214" t="s">
        <v>656</v>
      </c>
      <c r="C140" s="215">
        <v>0</v>
      </c>
      <c r="D140" s="215">
        <v>0</v>
      </c>
      <c r="E140" s="215">
        <v>721.01</v>
      </c>
      <c r="F140" s="215">
        <v>0</v>
      </c>
      <c r="G140" s="215">
        <v>0</v>
      </c>
      <c r="H140" s="215">
        <v>0</v>
      </c>
      <c r="I140" s="215">
        <v>0</v>
      </c>
      <c r="J140" s="215">
        <v>0</v>
      </c>
      <c r="K140" s="215">
        <v>0</v>
      </c>
      <c r="L140" s="215">
        <v>704.84</v>
      </c>
      <c r="M140" s="215">
        <v>576.32000000000005</v>
      </c>
      <c r="N140" s="215">
        <v>0</v>
      </c>
      <c r="O140" s="215">
        <v>2002.17</v>
      </c>
      <c r="Q140" s="215">
        <f t="shared" si="5"/>
        <v>0</v>
      </c>
      <c r="R140" s="215">
        <f t="shared" si="6"/>
        <v>3457.92</v>
      </c>
      <c r="S140" s="215">
        <f t="shared" si="7"/>
        <v>5124.6400000000003</v>
      </c>
      <c r="T140" s="215">
        <f t="shared" si="8"/>
        <v>2562.3200000000002</v>
      </c>
      <c r="U140" s="215">
        <f t="shared" si="9"/>
        <v>2002.17</v>
      </c>
    </row>
    <row r="141" spans="1:21" ht="15.5" x14ac:dyDescent="0.35">
      <c r="B141" s="214" t="s">
        <v>657</v>
      </c>
      <c r="C141" s="215">
        <v>1044.6500000000001</v>
      </c>
      <c r="D141" s="215">
        <v>908.05</v>
      </c>
      <c r="E141" s="215">
        <v>1033.78</v>
      </c>
      <c r="F141" s="215">
        <v>842.86</v>
      </c>
      <c r="G141" s="215">
        <v>858.39</v>
      </c>
      <c r="H141" s="215">
        <v>1328.01</v>
      </c>
      <c r="I141" s="215">
        <v>1291.6300000000001</v>
      </c>
      <c r="J141" s="215">
        <v>0</v>
      </c>
      <c r="K141" s="215">
        <v>0</v>
      </c>
      <c r="L141" s="215">
        <v>0</v>
      </c>
      <c r="M141" s="215">
        <v>0</v>
      </c>
      <c r="N141" s="215">
        <v>0</v>
      </c>
      <c r="O141" s="215">
        <v>7307.37</v>
      </c>
      <c r="Q141" s="215">
        <f t="shared" si="5"/>
        <v>0</v>
      </c>
      <c r="R141" s="215">
        <f t="shared" si="6"/>
        <v>0</v>
      </c>
      <c r="S141" s="215">
        <f t="shared" si="7"/>
        <v>0</v>
      </c>
      <c r="T141" s="215">
        <f t="shared" si="8"/>
        <v>2583.2600000000002</v>
      </c>
      <c r="U141" s="215">
        <f t="shared" si="9"/>
        <v>7307.3700000000008</v>
      </c>
    </row>
    <row r="142" spans="1:21" ht="15.5" x14ac:dyDescent="0.35">
      <c r="B142" s="214" t="s">
        <v>658</v>
      </c>
      <c r="C142" s="215">
        <v>3421.06</v>
      </c>
      <c r="D142" s="215">
        <v>2841.87</v>
      </c>
      <c r="E142" s="215">
        <v>3374.99</v>
      </c>
      <c r="F142" s="215">
        <v>2565.44</v>
      </c>
      <c r="G142" s="215">
        <v>2631.26</v>
      </c>
      <c r="H142" s="215">
        <v>2246.4699999999998</v>
      </c>
      <c r="I142" s="215">
        <v>2181.13</v>
      </c>
      <c r="J142" s="215">
        <v>0</v>
      </c>
      <c r="K142" s="215">
        <v>1272.04</v>
      </c>
      <c r="L142" s="215">
        <v>2020.28</v>
      </c>
      <c r="M142" s="215">
        <v>2161.02</v>
      </c>
      <c r="N142" s="215">
        <v>1319.62</v>
      </c>
      <c r="O142" s="215">
        <v>26035.18</v>
      </c>
      <c r="Q142" s="215">
        <f t="shared" si="5"/>
        <v>15835.439999999999</v>
      </c>
      <c r="R142" s="215">
        <f t="shared" si="6"/>
        <v>20883.84</v>
      </c>
      <c r="S142" s="215">
        <f t="shared" si="7"/>
        <v>22003.68</v>
      </c>
      <c r="T142" s="215">
        <f t="shared" si="8"/>
        <v>17908.18</v>
      </c>
      <c r="U142" s="215">
        <f t="shared" si="9"/>
        <v>26035.18</v>
      </c>
    </row>
    <row r="143" spans="1:21" ht="15.5" x14ac:dyDescent="0.35">
      <c r="B143" s="214" t="s">
        <v>659</v>
      </c>
      <c r="C143" s="215">
        <v>0</v>
      </c>
      <c r="D143" s="215">
        <v>0</v>
      </c>
      <c r="E143" s="215">
        <v>2217.0500000000002</v>
      </c>
      <c r="F143" s="215">
        <v>700.34</v>
      </c>
      <c r="G143" s="215">
        <v>739.01</v>
      </c>
      <c r="H143" s="215">
        <v>313.17</v>
      </c>
      <c r="I143" s="215">
        <v>223.12</v>
      </c>
      <c r="J143" s="215">
        <v>2930.23</v>
      </c>
      <c r="K143" s="215">
        <v>971.93</v>
      </c>
      <c r="L143" s="215">
        <v>221.03</v>
      </c>
      <c r="M143" s="215">
        <v>927.33</v>
      </c>
      <c r="N143" s="215">
        <v>1026.1400000000001</v>
      </c>
      <c r="O143" s="215">
        <v>10269.35</v>
      </c>
      <c r="Q143" s="215">
        <f t="shared" si="5"/>
        <v>12313.68</v>
      </c>
      <c r="R143" s="215">
        <f t="shared" si="6"/>
        <v>11720.820000000002</v>
      </c>
      <c r="S143" s="215">
        <f t="shared" si="7"/>
        <v>8698</v>
      </c>
      <c r="T143" s="215">
        <f t="shared" si="8"/>
        <v>12599.56</v>
      </c>
      <c r="U143" s="215">
        <f t="shared" si="9"/>
        <v>10269.35</v>
      </c>
    </row>
    <row r="144" spans="1:21" ht="15.5" x14ac:dyDescent="0.35">
      <c r="B144" s="214" t="s">
        <v>660</v>
      </c>
      <c r="C144" s="215">
        <v>0</v>
      </c>
      <c r="D144" s="215">
        <v>0</v>
      </c>
      <c r="E144" s="215">
        <v>656.85</v>
      </c>
      <c r="F144" s="215">
        <v>1523.47</v>
      </c>
      <c r="G144" s="215">
        <v>-85.48</v>
      </c>
      <c r="H144" s="215">
        <v>862.62</v>
      </c>
      <c r="I144" s="215">
        <v>2637.51</v>
      </c>
      <c r="J144" s="215">
        <v>2519.12</v>
      </c>
      <c r="K144" s="215">
        <v>2020.64</v>
      </c>
      <c r="L144" s="215">
        <v>3255.96</v>
      </c>
      <c r="M144" s="215">
        <v>1979.16</v>
      </c>
      <c r="N144" s="215">
        <v>1290.6600000000001</v>
      </c>
      <c r="O144" s="215">
        <v>16660.509999999998</v>
      </c>
      <c r="Q144" s="215">
        <f t="shared" si="5"/>
        <v>15487.920000000002</v>
      </c>
      <c r="R144" s="215">
        <f t="shared" si="6"/>
        <v>19618.920000000002</v>
      </c>
      <c r="S144" s="215">
        <f t="shared" si="7"/>
        <v>26103.119999999999</v>
      </c>
      <c r="T144" s="215">
        <f t="shared" si="8"/>
        <v>27406.1</v>
      </c>
      <c r="U144" s="215">
        <f t="shared" si="9"/>
        <v>16660.509999999998</v>
      </c>
    </row>
    <row r="145" spans="1:21" ht="15.5" x14ac:dyDescent="0.35">
      <c r="B145" s="214" t="s">
        <v>661</v>
      </c>
      <c r="C145" s="215">
        <v>0</v>
      </c>
      <c r="D145" s="215">
        <v>0</v>
      </c>
      <c r="E145" s="215">
        <v>0</v>
      </c>
      <c r="F145" s="215">
        <v>0</v>
      </c>
      <c r="G145" s="215">
        <v>0</v>
      </c>
      <c r="H145" s="215">
        <v>0</v>
      </c>
      <c r="I145" s="215">
        <v>0</v>
      </c>
      <c r="J145" s="215">
        <v>1294.43</v>
      </c>
      <c r="K145" s="215">
        <v>2145.94</v>
      </c>
      <c r="L145" s="215">
        <v>1202.08</v>
      </c>
      <c r="M145" s="215">
        <v>1280.43</v>
      </c>
      <c r="N145" s="215">
        <v>2331.46</v>
      </c>
      <c r="O145" s="215">
        <v>8254.34</v>
      </c>
      <c r="Q145" s="215">
        <f t="shared" si="5"/>
        <v>27977.52</v>
      </c>
      <c r="R145" s="215">
        <f t="shared" si="6"/>
        <v>21671.340000000004</v>
      </c>
      <c r="S145" s="215">
        <f t="shared" si="7"/>
        <v>19255.88</v>
      </c>
      <c r="T145" s="215">
        <f t="shared" si="8"/>
        <v>16508.68</v>
      </c>
      <c r="U145" s="215">
        <f t="shared" si="9"/>
        <v>8254.34</v>
      </c>
    </row>
    <row r="146" spans="1:21" ht="15.5" x14ac:dyDescent="0.35">
      <c r="A146" s="21">
        <v>14</v>
      </c>
      <c r="B146" s="212" t="s">
        <v>662</v>
      </c>
      <c r="C146" s="216">
        <v>6390.92</v>
      </c>
      <c r="D146" s="216">
        <v>5268.91</v>
      </c>
      <c r="E146" s="216">
        <v>8163.11</v>
      </c>
      <c r="F146" s="216">
        <v>5740.67</v>
      </c>
      <c r="G146" s="216">
        <v>4829.93</v>
      </c>
      <c r="H146" s="216">
        <v>5597.64</v>
      </c>
      <c r="I146" s="216">
        <v>6333.39</v>
      </c>
      <c r="J146" s="216">
        <v>6743.78</v>
      </c>
      <c r="K146" s="216">
        <v>6410.55</v>
      </c>
      <c r="L146" s="216">
        <v>7404.19</v>
      </c>
      <c r="M146" s="216">
        <v>6924.26</v>
      </c>
      <c r="N146" s="216">
        <v>5967.88</v>
      </c>
      <c r="O146" s="216">
        <v>75775.23</v>
      </c>
      <c r="Q146" s="216">
        <f t="shared" ref="Q146:Q208" si="10">+N146*12</f>
        <v>71614.559999999998</v>
      </c>
      <c r="R146" s="216">
        <f t="shared" ref="R146:R208" si="11">+SUM(M146:N146)*6</f>
        <v>77352.84</v>
      </c>
      <c r="S146" s="216">
        <f t="shared" ref="S146:S208" si="12">+SUM(L146:N146)*4</f>
        <v>81185.320000000007</v>
      </c>
      <c r="T146" s="216">
        <f t="shared" ref="T146:T208" si="13">+SUM(I146:N146)*2</f>
        <v>79568.099999999991</v>
      </c>
      <c r="U146" s="216">
        <f t="shared" ref="U146:U208" si="14">+SUM(C146:N146)</f>
        <v>75775.23000000001</v>
      </c>
    </row>
    <row r="147" spans="1:21" ht="15.5" x14ac:dyDescent="0.35">
      <c r="B147" s="212" t="s">
        <v>663</v>
      </c>
      <c r="C147" s="213"/>
      <c r="D147" s="213"/>
      <c r="E147" s="213"/>
      <c r="F147" s="213"/>
      <c r="G147" s="213"/>
      <c r="H147" s="213"/>
      <c r="I147" s="213"/>
      <c r="J147" s="213"/>
      <c r="K147" s="213"/>
      <c r="L147" s="213"/>
      <c r="M147" s="213"/>
      <c r="N147" s="213"/>
      <c r="O147" s="213"/>
      <c r="Q147" s="213">
        <f t="shared" si="10"/>
        <v>0</v>
      </c>
      <c r="R147" s="213">
        <f t="shared" si="11"/>
        <v>0</v>
      </c>
      <c r="S147" s="213">
        <f t="shared" si="12"/>
        <v>0</v>
      </c>
      <c r="T147" s="213">
        <f t="shared" si="13"/>
        <v>0</v>
      </c>
      <c r="U147" s="213">
        <f t="shared" si="14"/>
        <v>0</v>
      </c>
    </row>
    <row r="148" spans="1:21" ht="15.5" x14ac:dyDescent="0.35">
      <c r="A148" s="21">
        <v>16</v>
      </c>
      <c r="B148" s="214" t="s">
        <v>664</v>
      </c>
      <c r="C148" s="215">
        <v>19057.990000000002</v>
      </c>
      <c r="D148" s="215">
        <v>19057.990000000002</v>
      </c>
      <c r="E148" s="215">
        <v>7450.19</v>
      </c>
      <c r="F148" s="215">
        <v>16496.849999999999</v>
      </c>
      <c r="G148" s="215">
        <v>16496.849999999999</v>
      </c>
      <c r="H148" s="215">
        <v>16496.849999999999</v>
      </c>
      <c r="I148" s="215">
        <v>16496.849999999999</v>
      </c>
      <c r="J148" s="215">
        <v>16496.849999999999</v>
      </c>
      <c r="K148" s="215">
        <v>16496.849999999999</v>
      </c>
      <c r="L148" s="215">
        <v>20353.189999999999</v>
      </c>
      <c r="M148" s="215">
        <v>20353.189999999999</v>
      </c>
      <c r="N148" s="215">
        <v>20353.189999999999</v>
      </c>
      <c r="O148" s="215">
        <v>205606.84</v>
      </c>
      <c r="Q148" s="215">
        <f t="shared" si="10"/>
        <v>244238.27999999997</v>
      </c>
      <c r="R148" s="215">
        <f t="shared" si="11"/>
        <v>244238.27999999997</v>
      </c>
      <c r="S148" s="215">
        <f t="shared" si="12"/>
        <v>244238.27999999997</v>
      </c>
      <c r="T148" s="215">
        <f t="shared" si="13"/>
        <v>221100.24</v>
      </c>
      <c r="U148" s="215">
        <f t="shared" si="14"/>
        <v>205606.84000000003</v>
      </c>
    </row>
    <row r="149" spans="1:21" ht="15.5" x14ac:dyDescent="0.35">
      <c r="A149" s="21">
        <v>15</v>
      </c>
      <c r="B149" s="214" t="s">
        <v>665</v>
      </c>
      <c r="C149" s="215">
        <v>13244.91</v>
      </c>
      <c r="D149" s="215">
        <v>13244.91</v>
      </c>
      <c r="E149" s="215">
        <v>13652.25</v>
      </c>
      <c r="F149" s="215">
        <v>13652.25</v>
      </c>
      <c r="G149" s="215">
        <v>13652.25</v>
      </c>
      <c r="H149" s="215">
        <v>13652.25</v>
      </c>
      <c r="I149" s="215">
        <v>13652.25</v>
      </c>
      <c r="J149" s="215">
        <v>13652.25</v>
      </c>
      <c r="K149" s="215">
        <v>13652.25</v>
      </c>
      <c r="L149" s="215">
        <v>15688.81</v>
      </c>
      <c r="M149" s="215">
        <v>15688.81</v>
      </c>
      <c r="N149" s="215">
        <v>15688.81</v>
      </c>
      <c r="O149" s="215">
        <v>169122</v>
      </c>
      <c r="Q149" s="215">
        <f t="shared" si="10"/>
        <v>188265.72</v>
      </c>
      <c r="R149" s="215">
        <f t="shared" si="11"/>
        <v>188265.72</v>
      </c>
      <c r="S149" s="215">
        <f t="shared" si="12"/>
        <v>188265.72</v>
      </c>
      <c r="T149" s="215">
        <f t="shared" si="13"/>
        <v>176046.36</v>
      </c>
      <c r="U149" s="215">
        <f t="shared" si="14"/>
        <v>169122</v>
      </c>
    </row>
    <row r="150" spans="1:21" ht="15.5" x14ac:dyDescent="0.35">
      <c r="B150" s="212" t="s">
        <v>666</v>
      </c>
      <c r="C150" s="216">
        <v>32302.9</v>
      </c>
      <c r="D150" s="216">
        <v>32302.9</v>
      </c>
      <c r="E150" s="216">
        <v>21102.44</v>
      </c>
      <c r="F150" s="216">
        <v>30149.1</v>
      </c>
      <c r="G150" s="216">
        <v>30149.1</v>
      </c>
      <c r="H150" s="216">
        <v>30149.1</v>
      </c>
      <c r="I150" s="216">
        <v>30149.1</v>
      </c>
      <c r="J150" s="216">
        <v>30149.1</v>
      </c>
      <c r="K150" s="216">
        <v>30149.1</v>
      </c>
      <c r="L150" s="216">
        <v>36042</v>
      </c>
      <c r="M150" s="216">
        <v>36042</v>
      </c>
      <c r="N150" s="216">
        <v>36042</v>
      </c>
      <c r="O150" s="216">
        <v>374728.84</v>
      </c>
      <c r="Q150" s="216">
        <f t="shared" si="10"/>
        <v>432504</v>
      </c>
      <c r="R150" s="216">
        <f t="shared" si="11"/>
        <v>432504</v>
      </c>
      <c r="S150" s="216">
        <f t="shared" si="12"/>
        <v>432504</v>
      </c>
      <c r="T150" s="216">
        <f t="shared" si="13"/>
        <v>397146.6</v>
      </c>
      <c r="U150" s="216">
        <f t="shared" si="14"/>
        <v>374728.84</v>
      </c>
    </row>
    <row r="151" spans="1:21" ht="15.5" x14ac:dyDescent="0.35">
      <c r="B151" s="212" t="s">
        <v>667</v>
      </c>
      <c r="C151" s="213"/>
      <c r="D151" s="213"/>
      <c r="E151" s="213"/>
      <c r="F151" s="213"/>
      <c r="G151" s="213"/>
      <c r="H151" s="213"/>
      <c r="I151" s="213"/>
      <c r="J151" s="213"/>
      <c r="K151" s="213"/>
      <c r="L151" s="213"/>
      <c r="M151" s="213"/>
      <c r="N151" s="213"/>
      <c r="O151" s="213"/>
      <c r="Q151" s="213">
        <f t="shared" si="10"/>
        <v>0</v>
      </c>
      <c r="R151" s="213">
        <f t="shared" si="11"/>
        <v>0</v>
      </c>
      <c r="S151" s="213">
        <f t="shared" si="12"/>
        <v>0</v>
      </c>
      <c r="T151" s="213">
        <f t="shared" si="13"/>
        <v>0</v>
      </c>
      <c r="U151" s="213">
        <f t="shared" si="14"/>
        <v>0</v>
      </c>
    </row>
    <row r="152" spans="1:21" ht="15.5" x14ac:dyDescent="0.35">
      <c r="B152" s="214" t="s">
        <v>668</v>
      </c>
      <c r="C152" s="215">
        <v>0</v>
      </c>
      <c r="D152" s="215">
        <v>0</v>
      </c>
      <c r="E152" s="215">
        <v>0</v>
      </c>
      <c r="F152" s="215">
        <v>0</v>
      </c>
      <c r="G152" s="215">
        <v>0</v>
      </c>
      <c r="H152" s="215">
        <v>0</v>
      </c>
      <c r="I152" s="215">
        <v>0</v>
      </c>
      <c r="J152" s="215">
        <v>350</v>
      </c>
      <c r="K152" s="215">
        <v>700</v>
      </c>
      <c r="L152" s="215">
        <v>250</v>
      </c>
      <c r="M152" s="215">
        <v>0</v>
      </c>
      <c r="N152" s="215">
        <v>0</v>
      </c>
      <c r="O152" s="215">
        <v>1300</v>
      </c>
      <c r="Q152" s="215">
        <f t="shared" si="10"/>
        <v>0</v>
      </c>
      <c r="R152" s="215">
        <f t="shared" si="11"/>
        <v>0</v>
      </c>
      <c r="S152" s="215">
        <f t="shared" si="12"/>
        <v>1000</v>
      </c>
      <c r="T152" s="215">
        <f t="shared" si="13"/>
        <v>2600</v>
      </c>
      <c r="U152" s="215">
        <f t="shared" si="14"/>
        <v>1300</v>
      </c>
    </row>
    <row r="153" spans="1:21" ht="15.5" x14ac:dyDescent="0.35">
      <c r="B153" s="214" t="s">
        <v>669</v>
      </c>
      <c r="C153" s="215">
        <v>0</v>
      </c>
      <c r="D153" s="215">
        <v>0</v>
      </c>
      <c r="E153" s="215">
        <v>0</v>
      </c>
      <c r="F153" s="215">
        <v>0</v>
      </c>
      <c r="G153" s="215">
        <v>0</v>
      </c>
      <c r="H153" s="215">
        <v>0</v>
      </c>
      <c r="I153" s="215">
        <v>2067.13</v>
      </c>
      <c r="J153" s="215">
        <v>12911.24</v>
      </c>
      <c r="K153" s="215">
        <v>17611.93</v>
      </c>
      <c r="L153" s="215">
        <v>14937.77</v>
      </c>
      <c r="M153" s="215">
        <v>9049.4699999999993</v>
      </c>
      <c r="N153" s="215">
        <v>6743.37</v>
      </c>
      <c r="O153" s="215">
        <v>63320.91</v>
      </c>
      <c r="Q153" s="215">
        <f t="shared" si="10"/>
        <v>80920.44</v>
      </c>
      <c r="R153" s="215">
        <f t="shared" si="11"/>
        <v>94757.040000000008</v>
      </c>
      <c r="S153" s="215">
        <f t="shared" si="12"/>
        <v>122922.43999999999</v>
      </c>
      <c r="T153" s="215">
        <f t="shared" si="13"/>
        <v>126641.82</v>
      </c>
      <c r="U153" s="215">
        <f t="shared" si="14"/>
        <v>63320.91</v>
      </c>
    </row>
    <row r="154" spans="1:21" ht="15.5" x14ac:dyDescent="0.35">
      <c r="B154" s="214" t="s">
        <v>670</v>
      </c>
      <c r="C154" s="215">
        <v>0</v>
      </c>
      <c r="D154" s="215">
        <v>0</v>
      </c>
      <c r="E154" s="215">
        <v>0</v>
      </c>
      <c r="F154" s="215">
        <v>0</v>
      </c>
      <c r="G154" s="215">
        <v>0</v>
      </c>
      <c r="H154" s="215">
        <v>0</v>
      </c>
      <c r="I154" s="215">
        <v>128.16</v>
      </c>
      <c r="J154" s="215">
        <v>797.88</v>
      </c>
      <c r="K154" s="215">
        <v>1089.02</v>
      </c>
      <c r="L154" s="215">
        <v>994.53</v>
      </c>
      <c r="M154" s="215">
        <v>641.75</v>
      </c>
      <c r="N154" s="215">
        <v>587.04</v>
      </c>
      <c r="O154" s="215">
        <v>4238.38</v>
      </c>
      <c r="Q154" s="215">
        <f t="shared" si="10"/>
        <v>7044.48</v>
      </c>
      <c r="R154" s="215">
        <f t="shared" si="11"/>
        <v>7372.74</v>
      </c>
      <c r="S154" s="215">
        <f t="shared" si="12"/>
        <v>8893.2799999999988</v>
      </c>
      <c r="T154" s="215">
        <f t="shared" si="13"/>
        <v>8476.76</v>
      </c>
      <c r="U154" s="215">
        <f t="shared" si="14"/>
        <v>4238.38</v>
      </c>
    </row>
    <row r="155" spans="1:21" ht="15.5" x14ac:dyDescent="0.35">
      <c r="B155" s="214" t="s">
        <v>671</v>
      </c>
      <c r="C155" s="215">
        <v>0</v>
      </c>
      <c r="D155" s="215">
        <v>0</v>
      </c>
      <c r="E155" s="215">
        <v>0</v>
      </c>
      <c r="F155" s="215">
        <v>0</v>
      </c>
      <c r="G155" s="215">
        <v>0</v>
      </c>
      <c r="H155" s="215">
        <v>0</v>
      </c>
      <c r="I155" s="215">
        <v>29.97</v>
      </c>
      <c r="J155" s="215">
        <v>186.6</v>
      </c>
      <c r="K155" s="215">
        <v>254.7</v>
      </c>
      <c r="L155" s="215">
        <v>105.87</v>
      </c>
      <c r="M155" s="215">
        <v>150.09</v>
      </c>
      <c r="N155" s="215">
        <v>137.29</v>
      </c>
      <c r="O155" s="215">
        <v>864.52</v>
      </c>
      <c r="Q155" s="215">
        <f t="shared" si="10"/>
        <v>1647.48</v>
      </c>
      <c r="R155" s="215">
        <f t="shared" si="11"/>
        <v>1724.28</v>
      </c>
      <c r="S155" s="215">
        <f t="shared" si="12"/>
        <v>1573</v>
      </c>
      <c r="T155" s="215">
        <f t="shared" si="13"/>
        <v>1729.04</v>
      </c>
      <c r="U155" s="215">
        <f t="shared" si="14"/>
        <v>864.52</v>
      </c>
    </row>
    <row r="156" spans="1:21" ht="15.5" x14ac:dyDescent="0.35">
      <c r="B156" s="214" t="s">
        <v>672</v>
      </c>
      <c r="C156" s="215">
        <v>0</v>
      </c>
      <c r="D156" s="215">
        <v>0</v>
      </c>
      <c r="E156" s="215">
        <v>0</v>
      </c>
      <c r="F156" s="215">
        <v>0</v>
      </c>
      <c r="G156" s="215">
        <v>0</v>
      </c>
      <c r="H156" s="215">
        <v>0</v>
      </c>
      <c r="I156" s="215">
        <v>12.41</v>
      </c>
      <c r="J156" s="215">
        <v>73.7</v>
      </c>
      <c r="K156" s="215">
        <v>72.959999999999994</v>
      </c>
      <c r="L156" s="215">
        <v>0</v>
      </c>
      <c r="M156" s="215">
        <v>1.72</v>
      </c>
      <c r="N156" s="215">
        <v>11.72</v>
      </c>
      <c r="O156" s="215">
        <v>172.51</v>
      </c>
      <c r="Q156" s="215">
        <f t="shared" si="10"/>
        <v>140.64000000000001</v>
      </c>
      <c r="R156" s="215">
        <f t="shared" si="11"/>
        <v>80.640000000000015</v>
      </c>
      <c r="S156" s="215">
        <f t="shared" si="12"/>
        <v>53.760000000000005</v>
      </c>
      <c r="T156" s="215">
        <f t="shared" si="13"/>
        <v>345.02</v>
      </c>
      <c r="U156" s="215">
        <f t="shared" si="14"/>
        <v>172.51</v>
      </c>
    </row>
    <row r="157" spans="1:21" ht="15.5" x14ac:dyDescent="0.35">
      <c r="B157" s="214" t="s">
        <v>673</v>
      </c>
      <c r="C157" s="215">
        <v>0</v>
      </c>
      <c r="D157" s="215">
        <v>0</v>
      </c>
      <c r="E157" s="215">
        <v>0</v>
      </c>
      <c r="F157" s="215">
        <v>0</v>
      </c>
      <c r="G157" s="215">
        <v>0</v>
      </c>
      <c r="H157" s="215">
        <v>0</v>
      </c>
      <c r="I157" s="215">
        <v>5.78</v>
      </c>
      <c r="J157" s="215">
        <v>34.380000000000003</v>
      </c>
      <c r="K157" s="215">
        <v>34.049999999999997</v>
      </c>
      <c r="L157" s="215">
        <v>0</v>
      </c>
      <c r="M157" s="215">
        <v>0.8</v>
      </c>
      <c r="N157" s="215">
        <v>5.47</v>
      </c>
      <c r="O157" s="215">
        <v>80.48</v>
      </c>
      <c r="Q157" s="215">
        <f t="shared" si="10"/>
        <v>65.64</v>
      </c>
      <c r="R157" s="215">
        <f t="shared" si="11"/>
        <v>37.619999999999997</v>
      </c>
      <c r="S157" s="215">
        <f t="shared" si="12"/>
        <v>25.08</v>
      </c>
      <c r="T157" s="215">
        <f t="shared" si="13"/>
        <v>160.96</v>
      </c>
      <c r="U157" s="215">
        <f t="shared" si="14"/>
        <v>80.48</v>
      </c>
    </row>
    <row r="158" spans="1:21" ht="15.5" x14ac:dyDescent="0.35">
      <c r="B158" s="214" t="s">
        <v>674</v>
      </c>
      <c r="C158" s="215">
        <v>0</v>
      </c>
      <c r="D158" s="215">
        <v>0</v>
      </c>
      <c r="E158" s="215">
        <v>0</v>
      </c>
      <c r="F158" s="215">
        <v>0</v>
      </c>
      <c r="G158" s="215">
        <v>0</v>
      </c>
      <c r="H158" s="215">
        <v>0</v>
      </c>
      <c r="I158" s="215">
        <v>14.06</v>
      </c>
      <c r="J158" s="215">
        <v>150.94</v>
      </c>
      <c r="K158" s="215">
        <v>153.63999999999999</v>
      </c>
      <c r="L158" s="215">
        <v>109.4</v>
      </c>
      <c r="M158" s="215">
        <v>76.44</v>
      </c>
      <c r="N158" s="215">
        <v>104.64</v>
      </c>
      <c r="O158" s="215">
        <v>609.12</v>
      </c>
      <c r="Q158" s="215">
        <f t="shared" si="10"/>
        <v>1255.68</v>
      </c>
      <c r="R158" s="215">
        <f t="shared" si="11"/>
        <v>1086.48</v>
      </c>
      <c r="S158" s="215">
        <f t="shared" si="12"/>
        <v>1161.92</v>
      </c>
      <c r="T158" s="215">
        <f t="shared" si="13"/>
        <v>1218.24</v>
      </c>
      <c r="U158" s="215">
        <f t="shared" si="14"/>
        <v>609.12</v>
      </c>
    </row>
    <row r="159" spans="1:21" ht="15.5" x14ac:dyDescent="0.35">
      <c r="B159" s="214" t="s">
        <v>675</v>
      </c>
      <c r="C159" s="215">
        <v>0</v>
      </c>
      <c r="D159" s="215">
        <v>0</v>
      </c>
      <c r="E159" s="215">
        <v>0</v>
      </c>
      <c r="F159" s="215">
        <v>0</v>
      </c>
      <c r="G159" s="215">
        <v>0</v>
      </c>
      <c r="H159" s="215">
        <v>0</v>
      </c>
      <c r="I159" s="215">
        <v>45.54</v>
      </c>
      <c r="J159" s="215">
        <v>90.92</v>
      </c>
      <c r="K159" s="215">
        <v>91</v>
      </c>
      <c r="L159" s="215">
        <v>68.97</v>
      </c>
      <c r="M159" s="215">
        <v>45.44</v>
      </c>
      <c r="N159" s="215">
        <v>0</v>
      </c>
      <c r="O159" s="215">
        <v>341.87</v>
      </c>
      <c r="Q159" s="215">
        <f t="shared" si="10"/>
        <v>0</v>
      </c>
      <c r="R159" s="215">
        <f t="shared" si="11"/>
        <v>272.64</v>
      </c>
      <c r="S159" s="215">
        <f t="shared" si="12"/>
        <v>457.64</v>
      </c>
      <c r="T159" s="215">
        <f t="shared" si="13"/>
        <v>683.74</v>
      </c>
      <c r="U159" s="215">
        <f t="shared" si="14"/>
        <v>341.87</v>
      </c>
    </row>
    <row r="160" spans="1:21" ht="15.5" x14ac:dyDescent="0.35">
      <c r="B160" s="214" t="s">
        <v>676</v>
      </c>
      <c r="C160" s="215">
        <v>0</v>
      </c>
      <c r="D160" s="215">
        <v>0</v>
      </c>
      <c r="E160" s="215">
        <v>0</v>
      </c>
      <c r="F160" s="215">
        <v>0</v>
      </c>
      <c r="G160" s="215">
        <v>0</v>
      </c>
      <c r="H160" s="215">
        <v>0</v>
      </c>
      <c r="I160" s="215">
        <v>0</v>
      </c>
      <c r="J160" s="215">
        <v>0</v>
      </c>
      <c r="K160" s="215">
        <v>0</v>
      </c>
      <c r="L160" s="215">
        <v>126.73</v>
      </c>
      <c r="M160" s="215">
        <v>0</v>
      </c>
      <c r="N160" s="215">
        <v>0</v>
      </c>
      <c r="O160" s="215">
        <v>126.73</v>
      </c>
      <c r="Q160" s="215">
        <f t="shared" si="10"/>
        <v>0</v>
      </c>
      <c r="R160" s="215">
        <f t="shared" si="11"/>
        <v>0</v>
      </c>
      <c r="S160" s="215">
        <f t="shared" si="12"/>
        <v>506.92</v>
      </c>
      <c r="T160" s="215">
        <f t="shared" si="13"/>
        <v>253.46</v>
      </c>
      <c r="U160" s="215">
        <f t="shared" si="14"/>
        <v>126.73</v>
      </c>
    </row>
    <row r="161" spans="1:21" ht="15.5" x14ac:dyDescent="0.35">
      <c r="B161" s="214" t="s">
        <v>677</v>
      </c>
      <c r="C161" s="215">
        <v>0</v>
      </c>
      <c r="D161" s="215">
        <v>1200</v>
      </c>
      <c r="E161" s="215">
        <v>0</v>
      </c>
      <c r="F161" s="215">
        <v>0</v>
      </c>
      <c r="G161" s="215">
        <v>0</v>
      </c>
      <c r="H161" s="215">
        <v>0</v>
      </c>
      <c r="I161" s="215">
        <v>0</v>
      </c>
      <c r="J161" s="215">
        <v>0</v>
      </c>
      <c r="K161" s="215">
        <v>0</v>
      </c>
      <c r="L161" s="215">
        <v>0</v>
      </c>
      <c r="M161" s="215">
        <v>0</v>
      </c>
      <c r="N161" s="215">
        <v>0</v>
      </c>
      <c r="O161" s="215">
        <v>1200</v>
      </c>
      <c r="Q161" s="215">
        <f t="shared" si="10"/>
        <v>0</v>
      </c>
      <c r="R161" s="215">
        <f t="shared" si="11"/>
        <v>0</v>
      </c>
      <c r="S161" s="215">
        <f t="shared" si="12"/>
        <v>0</v>
      </c>
      <c r="T161" s="215">
        <f t="shared" si="13"/>
        <v>0</v>
      </c>
      <c r="U161" s="215">
        <f t="shared" si="14"/>
        <v>1200</v>
      </c>
    </row>
    <row r="162" spans="1:21" ht="15.5" x14ac:dyDescent="0.35">
      <c r="B162" s="214" t="s">
        <v>678</v>
      </c>
      <c r="C162" s="215">
        <v>0</v>
      </c>
      <c r="D162" s="215">
        <v>0</v>
      </c>
      <c r="E162" s="215">
        <v>0</v>
      </c>
      <c r="F162" s="215">
        <v>0</v>
      </c>
      <c r="G162" s="215">
        <v>0</v>
      </c>
      <c r="H162" s="215">
        <v>0</v>
      </c>
      <c r="I162" s="215">
        <v>0</v>
      </c>
      <c r="J162" s="215">
        <v>0</v>
      </c>
      <c r="K162" s="215">
        <v>0</v>
      </c>
      <c r="L162" s="215">
        <v>67.849999999999994</v>
      </c>
      <c r="M162" s="215">
        <v>14.75</v>
      </c>
      <c r="N162" s="215">
        <v>5.9</v>
      </c>
      <c r="O162" s="215">
        <v>88.5</v>
      </c>
      <c r="Q162" s="215">
        <f t="shared" si="10"/>
        <v>70.800000000000011</v>
      </c>
      <c r="R162" s="215">
        <f t="shared" si="11"/>
        <v>123.89999999999999</v>
      </c>
      <c r="S162" s="215">
        <f t="shared" si="12"/>
        <v>354</v>
      </c>
      <c r="T162" s="215">
        <f t="shared" si="13"/>
        <v>177</v>
      </c>
      <c r="U162" s="215">
        <f t="shared" si="14"/>
        <v>88.5</v>
      </c>
    </row>
    <row r="163" spans="1:21" ht="15.5" x14ac:dyDescent="0.35">
      <c r="B163" s="214" t="s">
        <v>679</v>
      </c>
      <c r="C163" s="215">
        <v>0</v>
      </c>
      <c r="D163" s="215">
        <v>0</v>
      </c>
      <c r="E163" s="215">
        <v>0</v>
      </c>
      <c r="F163" s="215">
        <v>0</v>
      </c>
      <c r="G163" s="215">
        <v>0</v>
      </c>
      <c r="H163" s="215">
        <v>0</v>
      </c>
      <c r="I163" s="215">
        <v>0</v>
      </c>
      <c r="J163" s="215">
        <v>0</v>
      </c>
      <c r="K163" s="215">
        <v>0</v>
      </c>
      <c r="L163" s="215">
        <v>235.4</v>
      </c>
      <c r="M163" s="215">
        <v>51.24</v>
      </c>
      <c r="N163" s="215">
        <v>18.36</v>
      </c>
      <c r="O163" s="215">
        <v>305</v>
      </c>
      <c r="Q163" s="215">
        <f t="shared" si="10"/>
        <v>220.32</v>
      </c>
      <c r="R163" s="215">
        <f t="shared" si="11"/>
        <v>417.59999999999997</v>
      </c>
      <c r="S163" s="215">
        <f t="shared" si="12"/>
        <v>1220</v>
      </c>
      <c r="T163" s="215">
        <f t="shared" si="13"/>
        <v>610</v>
      </c>
      <c r="U163" s="215">
        <f t="shared" si="14"/>
        <v>305</v>
      </c>
    </row>
    <row r="164" spans="1:21" ht="15.5" x14ac:dyDescent="0.35">
      <c r="B164" s="214" t="s">
        <v>680</v>
      </c>
      <c r="C164" s="215">
        <v>0</v>
      </c>
      <c r="D164" s="215">
        <v>0</v>
      </c>
      <c r="E164" s="215">
        <v>0</v>
      </c>
      <c r="F164" s="215">
        <v>0</v>
      </c>
      <c r="G164" s="215">
        <v>0</v>
      </c>
      <c r="H164" s="215">
        <v>0</v>
      </c>
      <c r="I164" s="215">
        <v>0</v>
      </c>
      <c r="J164" s="215">
        <v>0</v>
      </c>
      <c r="K164" s="215">
        <v>0</v>
      </c>
      <c r="L164" s="215">
        <v>1150</v>
      </c>
      <c r="M164" s="215">
        <v>1325</v>
      </c>
      <c r="N164" s="215">
        <v>2725</v>
      </c>
      <c r="O164" s="215">
        <v>5200</v>
      </c>
      <c r="Q164" s="215">
        <f t="shared" si="10"/>
        <v>32700</v>
      </c>
      <c r="R164" s="215">
        <f t="shared" si="11"/>
        <v>24300</v>
      </c>
      <c r="S164" s="215">
        <f t="shared" si="12"/>
        <v>20800</v>
      </c>
      <c r="T164" s="215">
        <f t="shared" si="13"/>
        <v>10400</v>
      </c>
      <c r="U164" s="215">
        <f t="shared" si="14"/>
        <v>5200</v>
      </c>
    </row>
    <row r="165" spans="1:21" ht="15.5" x14ac:dyDescent="0.35">
      <c r="B165" s="214" t="s">
        <v>681</v>
      </c>
      <c r="C165" s="215">
        <v>0</v>
      </c>
      <c r="D165" s="215">
        <v>0</v>
      </c>
      <c r="E165" s="215">
        <v>0</v>
      </c>
      <c r="F165" s="215">
        <v>0</v>
      </c>
      <c r="G165" s="215">
        <v>0</v>
      </c>
      <c r="H165" s="215">
        <v>0</v>
      </c>
      <c r="I165" s="215">
        <v>0</v>
      </c>
      <c r="J165" s="215">
        <v>0</v>
      </c>
      <c r="K165" s="215">
        <v>0</v>
      </c>
      <c r="L165" s="215">
        <v>700</v>
      </c>
      <c r="M165" s="215">
        <v>1050</v>
      </c>
      <c r="N165" s="215">
        <v>1050</v>
      </c>
      <c r="O165" s="215">
        <v>2800</v>
      </c>
      <c r="Q165" s="215">
        <f t="shared" si="10"/>
        <v>12600</v>
      </c>
      <c r="R165" s="215">
        <f t="shared" si="11"/>
        <v>12600</v>
      </c>
      <c r="S165" s="215">
        <f t="shared" si="12"/>
        <v>11200</v>
      </c>
      <c r="T165" s="215">
        <f t="shared" si="13"/>
        <v>5600</v>
      </c>
      <c r="U165" s="215">
        <f t="shared" si="14"/>
        <v>2800</v>
      </c>
    </row>
    <row r="166" spans="1:21" ht="15.5" x14ac:dyDescent="0.35">
      <c r="A166" s="21">
        <v>8</v>
      </c>
      <c r="B166" s="212" t="s">
        <v>682</v>
      </c>
      <c r="C166" s="216">
        <v>0</v>
      </c>
      <c r="D166" s="216">
        <v>1200</v>
      </c>
      <c r="E166" s="216">
        <v>0</v>
      </c>
      <c r="F166" s="216">
        <v>0</v>
      </c>
      <c r="G166" s="216">
        <v>0</v>
      </c>
      <c r="H166" s="216">
        <v>0</v>
      </c>
      <c r="I166" s="216">
        <v>2303.0500000000002</v>
      </c>
      <c r="J166" s="216">
        <v>14595.66</v>
      </c>
      <c r="K166" s="216">
        <v>20007.3</v>
      </c>
      <c r="L166" s="216">
        <v>18746.52</v>
      </c>
      <c r="M166" s="216">
        <v>12406.7</v>
      </c>
      <c r="N166" s="216">
        <v>11388.79</v>
      </c>
      <c r="O166" s="216">
        <v>80648.02</v>
      </c>
      <c r="Q166" s="216">
        <f t="shared" si="10"/>
        <v>136665.48000000001</v>
      </c>
      <c r="R166" s="216">
        <f t="shared" si="11"/>
        <v>142772.94</v>
      </c>
      <c r="S166" s="216">
        <f t="shared" si="12"/>
        <v>170168.04</v>
      </c>
      <c r="T166" s="216">
        <f t="shared" si="13"/>
        <v>158896.03999999998</v>
      </c>
      <c r="U166" s="216">
        <f t="shared" si="14"/>
        <v>80648.01999999999</v>
      </c>
    </row>
    <row r="167" spans="1:21" ht="15.5" x14ac:dyDescent="0.35">
      <c r="B167" s="212" t="s">
        <v>683</v>
      </c>
      <c r="C167" s="216">
        <v>70242.17</v>
      </c>
      <c r="D167" s="216">
        <v>87404.17</v>
      </c>
      <c r="E167" s="216">
        <v>62676.07</v>
      </c>
      <c r="F167" s="216">
        <v>66927.850000000006</v>
      </c>
      <c r="G167" s="216">
        <v>70729.86</v>
      </c>
      <c r="H167" s="216">
        <v>72398.509999999995</v>
      </c>
      <c r="I167" s="216">
        <v>90226.559999999998</v>
      </c>
      <c r="J167" s="216">
        <v>73852.28</v>
      </c>
      <c r="K167" s="216">
        <v>79175</v>
      </c>
      <c r="L167" s="216">
        <v>88704.36</v>
      </c>
      <c r="M167" s="216">
        <v>85022.59</v>
      </c>
      <c r="N167" s="216">
        <v>85246.96</v>
      </c>
      <c r="O167" s="216">
        <v>932606.38</v>
      </c>
      <c r="Q167" s="216">
        <f t="shared" si="10"/>
        <v>1022963.52</v>
      </c>
      <c r="R167" s="216">
        <f t="shared" si="11"/>
        <v>1021617.2999999999</v>
      </c>
      <c r="S167" s="216">
        <f t="shared" si="12"/>
        <v>1035895.6400000001</v>
      </c>
      <c r="T167" s="216">
        <f t="shared" si="13"/>
        <v>1004455.5000000001</v>
      </c>
      <c r="U167" s="216">
        <f t="shared" si="14"/>
        <v>932606.37999999989</v>
      </c>
    </row>
    <row r="168" spans="1:21" ht="15.5" x14ac:dyDescent="0.35">
      <c r="B168" s="214"/>
      <c r="C168" s="215"/>
      <c r="D168" s="215"/>
      <c r="E168" s="215"/>
      <c r="F168" s="215"/>
      <c r="G168" s="215"/>
      <c r="H168" s="215"/>
      <c r="I168" s="215"/>
      <c r="J168" s="215"/>
      <c r="K168" s="215"/>
      <c r="L168" s="215"/>
      <c r="M168" s="215"/>
      <c r="N168" s="215"/>
      <c r="O168" s="215"/>
      <c r="Q168" s="215">
        <f t="shared" si="10"/>
        <v>0</v>
      </c>
      <c r="R168" s="215">
        <f t="shared" si="11"/>
        <v>0</v>
      </c>
      <c r="S168" s="215">
        <f t="shared" si="12"/>
        <v>0</v>
      </c>
      <c r="T168" s="215">
        <f t="shared" si="13"/>
        <v>0</v>
      </c>
      <c r="U168" s="215">
        <f t="shared" si="14"/>
        <v>0</v>
      </c>
    </row>
    <row r="169" spans="1:21" ht="15.5" x14ac:dyDescent="0.35">
      <c r="B169" s="212" t="s">
        <v>684</v>
      </c>
      <c r="C169" s="213">
        <v>14489.12</v>
      </c>
      <c r="D169" s="213">
        <v>37257.99</v>
      </c>
      <c r="E169" s="213">
        <v>45312.68</v>
      </c>
      <c r="F169" s="213">
        <v>61587.85</v>
      </c>
      <c r="G169" s="213">
        <v>45931.4</v>
      </c>
      <c r="H169" s="213">
        <v>43387.88</v>
      </c>
      <c r="I169" s="213">
        <v>38452.879999999997</v>
      </c>
      <c r="J169" s="213">
        <v>49381.54</v>
      </c>
      <c r="K169" s="213">
        <v>40796.92</v>
      </c>
      <c r="L169" s="213">
        <v>26112.37</v>
      </c>
      <c r="M169" s="213">
        <v>13638.14</v>
      </c>
      <c r="N169" s="213">
        <v>46685.61</v>
      </c>
      <c r="O169" s="213">
        <v>463034.38</v>
      </c>
      <c r="Q169" s="213">
        <f t="shared" si="10"/>
        <v>560227.32000000007</v>
      </c>
      <c r="R169" s="213">
        <f t="shared" si="11"/>
        <v>361942.5</v>
      </c>
      <c r="S169" s="213">
        <f t="shared" si="12"/>
        <v>345744.48</v>
      </c>
      <c r="T169" s="213">
        <f t="shared" si="13"/>
        <v>430134.91999999993</v>
      </c>
      <c r="U169" s="213">
        <f t="shared" si="14"/>
        <v>463034.37999999995</v>
      </c>
    </row>
    <row r="170" spans="1:21" ht="15.5" x14ac:dyDescent="0.35">
      <c r="B170" s="214"/>
      <c r="C170" s="215"/>
      <c r="D170" s="215"/>
      <c r="E170" s="215"/>
      <c r="F170" s="215"/>
      <c r="G170" s="215"/>
      <c r="H170" s="215"/>
      <c r="I170" s="215"/>
      <c r="J170" s="215"/>
      <c r="K170" s="215"/>
      <c r="L170" s="215"/>
      <c r="M170" s="215"/>
      <c r="N170" s="215"/>
      <c r="O170" s="215"/>
      <c r="Q170" s="215">
        <f t="shared" si="10"/>
        <v>0</v>
      </c>
      <c r="R170" s="215">
        <f t="shared" si="11"/>
        <v>0</v>
      </c>
      <c r="S170" s="215">
        <f t="shared" si="12"/>
        <v>0</v>
      </c>
      <c r="T170" s="215">
        <f t="shared" si="13"/>
        <v>0</v>
      </c>
      <c r="U170" s="215">
        <f t="shared" si="14"/>
        <v>0</v>
      </c>
    </row>
    <row r="171" spans="1:21" ht="15.5" x14ac:dyDescent="0.35">
      <c r="B171" s="212" t="s">
        <v>685</v>
      </c>
      <c r="C171" s="213"/>
      <c r="D171" s="213"/>
      <c r="E171" s="213"/>
      <c r="F171" s="213"/>
      <c r="G171" s="213"/>
      <c r="H171" s="213"/>
      <c r="I171" s="213"/>
      <c r="J171" s="213"/>
      <c r="K171" s="213"/>
      <c r="L171" s="213"/>
      <c r="M171" s="213"/>
      <c r="N171" s="213"/>
      <c r="O171" s="213"/>
      <c r="Q171" s="213">
        <f t="shared" si="10"/>
        <v>0</v>
      </c>
      <c r="R171" s="213">
        <f t="shared" si="11"/>
        <v>0</v>
      </c>
      <c r="S171" s="213">
        <f t="shared" si="12"/>
        <v>0</v>
      </c>
      <c r="T171" s="213">
        <f t="shared" si="13"/>
        <v>0</v>
      </c>
      <c r="U171" s="213">
        <f t="shared" si="14"/>
        <v>0</v>
      </c>
    </row>
    <row r="172" spans="1:21" ht="15.5" x14ac:dyDescent="0.35">
      <c r="B172" s="212" t="s">
        <v>686</v>
      </c>
      <c r="C172" s="213"/>
      <c r="D172" s="213"/>
      <c r="E172" s="213"/>
      <c r="F172" s="213"/>
      <c r="G172" s="213"/>
      <c r="H172" s="213"/>
      <c r="I172" s="213"/>
      <c r="J172" s="213"/>
      <c r="K172" s="213"/>
      <c r="L172" s="213"/>
      <c r="M172" s="213"/>
      <c r="N172" s="213"/>
      <c r="O172" s="213"/>
      <c r="Q172" s="213">
        <f t="shared" si="10"/>
        <v>0</v>
      </c>
      <c r="R172" s="213">
        <f t="shared" si="11"/>
        <v>0</v>
      </c>
      <c r="S172" s="213">
        <f t="shared" si="12"/>
        <v>0</v>
      </c>
      <c r="T172" s="213">
        <f t="shared" si="13"/>
        <v>0</v>
      </c>
      <c r="U172" s="213">
        <f t="shared" si="14"/>
        <v>0</v>
      </c>
    </row>
    <row r="173" spans="1:21" ht="15.5" x14ac:dyDescent="0.35">
      <c r="B173" s="214" t="s">
        <v>687</v>
      </c>
      <c r="C173" s="215">
        <v>169.17</v>
      </c>
      <c r="D173" s="215">
        <v>0</v>
      </c>
      <c r="E173" s="215">
        <v>156.44</v>
      </c>
      <c r="F173" s="215">
        <v>134.01</v>
      </c>
      <c r="G173" s="215">
        <v>100.61</v>
      </c>
      <c r="H173" s="215">
        <v>88.5</v>
      </c>
      <c r="I173" s="215">
        <v>83.12</v>
      </c>
      <c r="J173" s="215">
        <v>85.88</v>
      </c>
      <c r="K173" s="215">
        <v>79.13</v>
      </c>
      <c r="L173" s="215">
        <v>81.680000000000007</v>
      </c>
      <c r="M173" s="215">
        <v>0</v>
      </c>
      <c r="N173" s="215">
        <v>0</v>
      </c>
      <c r="O173" s="215">
        <v>978.54</v>
      </c>
      <c r="Q173" s="215">
        <f t="shared" si="10"/>
        <v>0</v>
      </c>
      <c r="R173" s="215">
        <f t="shared" si="11"/>
        <v>0</v>
      </c>
      <c r="S173" s="215">
        <f t="shared" si="12"/>
        <v>326.72000000000003</v>
      </c>
      <c r="T173" s="215">
        <f t="shared" si="13"/>
        <v>659.62</v>
      </c>
      <c r="U173" s="215">
        <f t="shared" si="14"/>
        <v>978.54</v>
      </c>
    </row>
    <row r="174" spans="1:21" ht="15.5" x14ac:dyDescent="0.35">
      <c r="B174" s="212" t="s">
        <v>688</v>
      </c>
      <c r="C174" s="216">
        <v>169.17</v>
      </c>
      <c r="D174" s="216">
        <v>0</v>
      </c>
      <c r="E174" s="216">
        <v>156.44</v>
      </c>
      <c r="F174" s="216">
        <v>134.01</v>
      </c>
      <c r="G174" s="216">
        <v>100.61</v>
      </c>
      <c r="H174" s="216">
        <v>88.5</v>
      </c>
      <c r="I174" s="216">
        <v>83.12</v>
      </c>
      <c r="J174" s="216">
        <v>85.88</v>
      </c>
      <c r="K174" s="216">
        <v>79.13</v>
      </c>
      <c r="L174" s="216">
        <v>81.680000000000007</v>
      </c>
      <c r="M174" s="216">
        <v>0</v>
      </c>
      <c r="N174" s="216">
        <v>0</v>
      </c>
      <c r="O174" s="216">
        <v>978.54</v>
      </c>
      <c r="Q174" s="216">
        <f t="shared" si="10"/>
        <v>0</v>
      </c>
      <c r="R174" s="216">
        <f t="shared" si="11"/>
        <v>0</v>
      </c>
      <c r="S174" s="216">
        <f t="shared" si="12"/>
        <v>326.72000000000003</v>
      </c>
      <c r="T174" s="216">
        <f t="shared" si="13"/>
        <v>659.62</v>
      </c>
      <c r="U174" s="216">
        <f t="shared" si="14"/>
        <v>978.54</v>
      </c>
    </row>
    <row r="175" spans="1:21" ht="15.5" x14ac:dyDescent="0.35">
      <c r="B175" s="212" t="s">
        <v>689</v>
      </c>
      <c r="C175" s="213"/>
      <c r="D175" s="213"/>
      <c r="E175" s="213"/>
      <c r="F175" s="213"/>
      <c r="G175" s="213"/>
      <c r="H175" s="213"/>
      <c r="I175" s="213"/>
      <c r="J175" s="213"/>
      <c r="K175" s="213"/>
      <c r="L175" s="213"/>
      <c r="M175" s="213"/>
      <c r="N175" s="213"/>
      <c r="O175" s="213"/>
      <c r="Q175" s="213">
        <f t="shared" si="10"/>
        <v>0</v>
      </c>
      <c r="R175" s="213">
        <f t="shared" si="11"/>
        <v>0</v>
      </c>
      <c r="S175" s="213">
        <f t="shared" si="12"/>
        <v>0</v>
      </c>
      <c r="T175" s="213">
        <f t="shared" si="13"/>
        <v>0</v>
      </c>
      <c r="U175" s="213">
        <f t="shared" si="14"/>
        <v>0</v>
      </c>
    </row>
    <row r="176" spans="1:21" ht="15.5" x14ac:dyDescent="0.35">
      <c r="B176" s="214" t="s">
        <v>690</v>
      </c>
      <c r="C176" s="215">
        <v>74241.600000000006</v>
      </c>
      <c r="D176" s="215">
        <v>71846.710000000006</v>
      </c>
      <c r="E176" s="215">
        <v>74080.490000000005</v>
      </c>
      <c r="F176" s="215">
        <v>74241.600000000006</v>
      </c>
      <c r="G176" s="215">
        <v>69923.759999999995</v>
      </c>
      <c r="H176" s="215">
        <v>73676.600000000006</v>
      </c>
      <c r="I176" s="215">
        <v>78964.38</v>
      </c>
      <c r="J176" s="215">
        <v>78964.38</v>
      </c>
      <c r="K176" s="215">
        <v>76251.05</v>
      </c>
      <c r="L176" s="215">
        <v>79710.320000000007</v>
      </c>
      <c r="M176" s="215">
        <v>79439.22</v>
      </c>
      <c r="N176" s="215">
        <v>76876.67</v>
      </c>
      <c r="O176" s="215">
        <v>908216.78</v>
      </c>
      <c r="Q176" s="215">
        <f t="shared" si="10"/>
        <v>922520.04</v>
      </c>
      <c r="R176" s="215">
        <f t="shared" si="11"/>
        <v>937895.34000000008</v>
      </c>
      <c r="S176" s="215">
        <f t="shared" si="12"/>
        <v>944104.84000000008</v>
      </c>
      <c r="T176" s="215">
        <f t="shared" si="13"/>
        <v>940412.03999999992</v>
      </c>
      <c r="U176" s="215">
        <f t="shared" si="14"/>
        <v>908216.78000000014</v>
      </c>
    </row>
    <row r="177" spans="2:21" ht="15.5" x14ac:dyDescent="0.35">
      <c r="B177" s="214" t="s">
        <v>691</v>
      </c>
      <c r="C177" s="215">
        <v>0</v>
      </c>
      <c r="D177" s="215">
        <v>0</v>
      </c>
      <c r="E177" s="215">
        <v>1700</v>
      </c>
      <c r="F177" s="215">
        <v>0</v>
      </c>
      <c r="G177" s="215">
        <v>0</v>
      </c>
      <c r="H177" s="215">
        <v>0</v>
      </c>
      <c r="I177" s="215">
        <v>1700</v>
      </c>
      <c r="J177" s="215">
        <v>1700</v>
      </c>
      <c r="K177" s="215">
        <v>0</v>
      </c>
      <c r="L177" s="215">
        <v>0</v>
      </c>
      <c r="M177" s="215">
        <v>0</v>
      </c>
      <c r="N177" s="215">
        <v>0</v>
      </c>
      <c r="O177" s="215">
        <v>5100</v>
      </c>
      <c r="Q177" s="215">
        <f t="shared" si="10"/>
        <v>0</v>
      </c>
      <c r="R177" s="215">
        <f t="shared" si="11"/>
        <v>0</v>
      </c>
      <c r="S177" s="215">
        <f t="shared" si="12"/>
        <v>0</v>
      </c>
      <c r="T177" s="215">
        <f t="shared" si="13"/>
        <v>6800</v>
      </c>
      <c r="U177" s="215">
        <f t="shared" si="14"/>
        <v>5100</v>
      </c>
    </row>
    <row r="178" spans="2:21" ht="15.5" x14ac:dyDescent="0.35">
      <c r="B178" s="212" t="s">
        <v>692</v>
      </c>
      <c r="C178" s="213"/>
      <c r="D178" s="213"/>
      <c r="E178" s="213"/>
      <c r="F178" s="213"/>
      <c r="G178" s="213"/>
      <c r="H178" s="213"/>
      <c r="I178" s="213"/>
      <c r="J178" s="213"/>
      <c r="K178" s="213"/>
      <c r="L178" s="213"/>
      <c r="M178" s="213"/>
      <c r="N178" s="213"/>
      <c r="O178" s="213"/>
      <c r="Q178" s="213">
        <f t="shared" si="10"/>
        <v>0</v>
      </c>
      <c r="R178" s="213">
        <f t="shared" si="11"/>
        <v>0</v>
      </c>
      <c r="S178" s="213">
        <f t="shared" si="12"/>
        <v>0</v>
      </c>
      <c r="T178" s="213">
        <f t="shared" si="13"/>
        <v>0</v>
      </c>
      <c r="U178" s="213">
        <f t="shared" si="14"/>
        <v>0</v>
      </c>
    </row>
    <row r="179" spans="2:21" ht="15.5" x14ac:dyDescent="0.35">
      <c r="B179" s="214" t="s">
        <v>693</v>
      </c>
      <c r="C179" s="215">
        <v>0</v>
      </c>
      <c r="D179" s="215">
        <v>0</v>
      </c>
      <c r="E179" s="215">
        <v>0</v>
      </c>
      <c r="F179" s="215">
        <v>0</v>
      </c>
      <c r="G179" s="215">
        <v>0</v>
      </c>
      <c r="H179" s="215">
        <v>0</v>
      </c>
      <c r="I179" s="215">
        <v>121.25</v>
      </c>
      <c r="J179" s="215">
        <v>0</v>
      </c>
      <c r="K179" s="215">
        <v>0</v>
      </c>
      <c r="L179" s="215">
        <v>0</v>
      </c>
      <c r="M179" s="215">
        <v>0</v>
      </c>
      <c r="N179" s="215">
        <v>0</v>
      </c>
      <c r="O179" s="215">
        <v>121.25</v>
      </c>
      <c r="Q179" s="215">
        <f t="shared" si="10"/>
        <v>0</v>
      </c>
      <c r="R179" s="215">
        <f t="shared" si="11"/>
        <v>0</v>
      </c>
      <c r="S179" s="215">
        <f t="shared" si="12"/>
        <v>0</v>
      </c>
      <c r="T179" s="215">
        <f t="shared" si="13"/>
        <v>242.5</v>
      </c>
      <c r="U179" s="215">
        <f t="shared" si="14"/>
        <v>121.25</v>
      </c>
    </row>
    <row r="180" spans="2:21" ht="15.5" x14ac:dyDescent="0.35">
      <c r="B180" s="212" t="s">
        <v>694</v>
      </c>
      <c r="C180" s="216">
        <v>0</v>
      </c>
      <c r="D180" s="216">
        <v>0</v>
      </c>
      <c r="E180" s="216">
        <v>0</v>
      </c>
      <c r="F180" s="216">
        <v>0</v>
      </c>
      <c r="G180" s="216">
        <v>0</v>
      </c>
      <c r="H180" s="216">
        <v>0</v>
      </c>
      <c r="I180" s="216">
        <v>121.25</v>
      </c>
      <c r="J180" s="216">
        <v>0</v>
      </c>
      <c r="K180" s="216">
        <v>0</v>
      </c>
      <c r="L180" s="216">
        <v>0</v>
      </c>
      <c r="M180" s="216">
        <v>0</v>
      </c>
      <c r="N180" s="216">
        <v>0</v>
      </c>
      <c r="O180" s="216">
        <v>121.25</v>
      </c>
      <c r="Q180" s="216">
        <f t="shared" si="10"/>
        <v>0</v>
      </c>
      <c r="R180" s="216">
        <f t="shared" si="11"/>
        <v>0</v>
      </c>
      <c r="S180" s="216">
        <f t="shared" si="12"/>
        <v>0</v>
      </c>
      <c r="T180" s="216">
        <f t="shared" si="13"/>
        <v>242.5</v>
      </c>
      <c r="U180" s="216">
        <f t="shared" si="14"/>
        <v>121.25</v>
      </c>
    </row>
    <row r="181" spans="2:21" ht="15.5" x14ac:dyDescent="0.35">
      <c r="B181" s="212" t="s">
        <v>695</v>
      </c>
      <c r="C181" s="213"/>
      <c r="D181" s="213"/>
      <c r="E181" s="213"/>
      <c r="F181" s="213"/>
      <c r="G181" s="213"/>
      <c r="H181" s="213"/>
      <c r="I181" s="213"/>
      <c r="J181" s="213"/>
      <c r="K181" s="213"/>
      <c r="L181" s="213"/>
      <c r="M181" s="213"/>
      <c r="N181" s="213"/>
      <c r="O181" s="213"/>
      <c r="Q181" s="213">
        <f t="shared" si="10"/>
        <v>0</v>
      </c>
      <c r="R181" s="213">
        <f t="shared" si="11"/>
        <v>0</v>
      </c>
      <c r="S181" s="213">
        <f t="shared" si="12"/>
        <v>0</v>
      </c>
      <c r="T181" s="213">
        <f t="shared" si="13"/>
        <v>0</v>
      </c>
      <c r="U181" s="213">
        <f t="shared" si="14"/>
        <v>0</v>
      </c>
    </row>
    <row r="182" spans="2:21" ht="15.5" x14ac:dyDescent="0.35">
      <c r="B182" s="214" t="s">
        <v>696</v>
      </c>
      <c r="C182" s="215">
        <v>16516.400000000001</v>
      </c>
      <c r="D182" s="215">
        <v>3928.92</v>
      </c>
      <c r="E182" s="215">
        <v>3000</v>
      </c>
      <c r="F182" s="215">
        <v>5000</v>
      </c>
      <c r="G182" s="215">
        <v>2370</v>
      </c>
      <c r="H182" s="215">
        <v>3112</v>
      </c>
      <c r="I182" s="215">
        <v>0</v>
      </c>
      <c r="J182" s="215">
        <v>0</v>
      </c>
      <c r="K182" s="215">
        <v>0</v>
      </c>
      <c r="L182" s="215">
        <v>0</v>
      </c>
      <c r="M182" s="215">
        <v>0</v>
      </c>
      <c r="N182" s="215">
        <v>0</v>
      </c>
      <c r="O182" s="215">
        <v>33927.32</v>
      </c>
      <c r="Q182" s="215">
        <f t="shared" si="10"/>
        <v>0</v>
      </c>
      <c r="R182" s="215">
        <f t="shared" si="11"/>
        <v>0</v>
      </c>
      <c r="S182" s="215">
        <f t="shared" si="12"/>
        <v>0</v>
      </c>
      <c r="T182" s="215">
        <f t="shared" si="13"/>
        <v>0</v>
      </c>
      <c r="U182" s="215">
        <f t="shared" si="14"/>
        <v>33927.32</v>
      </c>
    </row>
    <row r="183" spans="2:21" ht="15.5" x14ac:dyDescent="0.35">
      <c r="B183" s="214" t="s">
        <v>697</v>
      </c>
      <c r="C183" s="215">
        <v>7018.46</v>
      </c>
      <c r="D183" s="215">
        <v>0</v>
      </c>
      <c r="E183" s="215">
        <v>16300.37</v>
      </c>
      <c r="F183" s="215">
        <v>0</v>
      </c>
      <c r="G183" s="215">
        <v>4733.58</v>
      </c>
      <c r="H183" s="215">
        <v>0</v>
      </c>
      <c r="I183" s="215">
        <v>7067.51</v>
      </c>
      <c r="J183" s="215">
        <v>0</v>
      </c>
      <c r="K183" s="215">
        <v>0</v>
      </c>
      <c r="L183" s="215">
        <v>0</v>
      </c>
      <c r="M183" s="215">
        <v>0</v>
      </c>
      <c r="N183" s="215">
        <v>0</v>
      </c>
      <c r="O183" s="215">
        <v>35119.919999999998</v>
      </c>
      <c r="Q183" s="215">
        <f t="shared" si="10"/>
        <v>0</v>
      </c>
      <c r="R183" s="215">
        <f t="shared" si="11"/>
        <v>0</v>
      </c>
      <c r="S183" s="215">
        <f t="shared" si="12"/>
        <v>0</v>
      </c>
      <c r="T183" s="215">
        <f t="shared" si="13"/>
        <v>14135.02</v>
      </c>
      <c r="U183" s="215">
        <f t="shared" si="14"/>
        <v>35119.920000000006</v>
      </c>
    </row>
    <row r="184" spans="2:21" ht="15.5" x14ac:dyDescent="0.35">
      <c r="B184" s="214" t="s">
        <v>698</v>
      </c>
      <c r="C184" s="215">
        <v>0</v>
      </c>
      <c r="D184" s="215">
        <v>14307</v>
      </c>
      <c r="E184" s="215">
        <v>0</v>
      </c>
      <c r="F184" s="215">
        <v>0</v>
      </c>
      <c r="G184" s="215">
        <v>16221.38</v>
      </c>
      <c r="H184" s="215">
        <v>0</v>
      </c>
      <c r="I184" s="215">
        <v>5874</v>
      </c>
      <c r="J184" s="215">
        <v>0</v>
      </c>
      <c r="K184" s="215">
        <v>0</v>
      </c>
      <c r="L184" s="215">
        <v>0</v>
      </c>
      <c r="M184" s="215">
        <v>0</v>
      </c>
      <c r="N184" s="215">
        <v>0</v>
      </c>
      <c r="O184" s="215">
        <v>36402.379999999997</v>
      </c>
      <c r="Q184" s="215">
        <f t="shared" si="10"/>
        <v>0</v>
      </c>
      <c r="R184" s="215">
        <f t="shared" si="11"/>
        <v>0</v>
      </c>
      <c r="S184" s="215">
        <f t="shared" si="12"/>
        <v>0</v>
      </c>
      <c r="T184" s="215">
        <f t="shared" si="13"/>
        <v>11748</v>
      </c>
      <c r="U184" s="215">
        <f t="shared" si="14"/>
        <v>36402.379999999997</v>
      </c>
    </row>
    <row r="185" spans="2:21" ht="15.5" x14ac:dyDescent="0.35">
      <c r="B185" s="214" t="s">
        <v>699</v>
      </c>
      <c r="C185" s="215">
        <v>0</v>
      </c>
      <c r="D185" s="215">
        <v>0</v>
      </c>
      <c r="E185" s="215">
        <v>8500</v>
      </c>
      <c r="F185" s="215">
        <v>0</v>
      </c>
      <c r="G185" s="215">
        <v>0</v>
      </c>
      <c r="H185" s="215">
        <v>0</v>
      </c>
      <c r="I185" s="215">
        <v>0</v>
      </c>
      <c r="J185" s="215">
        <v>0</v>
      </c>
      <c r="K185" s="215">
        <v>0</v>
      </c>
      <c r="L185" s="215">
        <v>0</v>
      </c>
      <c r="M185" s="215">
        <v>0</v>
      </c>
      <c r="N185" s="215">
        <v>0</v>
      </c>
      <c r="O185" s="215">
        <v>8500</v>
      </c>
      <c r="Q185" s="215">
        <f t="shared" si="10"/>
        <v>0</v>
      </c>
      <c r="R185" s="215">
        <f t="shared" si="11"/>
        <v>0</v>
      </c>
      <c r="S185" s="215">
        <f t="shared" si="12"/>
        <v>0</v>
      </c>
      <c r="T185" s="215">
        <f t="shared" si="13"/>
        <v>0</v>
      </c>
      <c r="U185" s="215">
        <f t="shared" si="14"/>
        <v>8500</v>
      </c>
    </row>
    <row r="186" spans="2:21" ht="15.5" x14ac:dyDescent="0.35">
      <c r="B186" s="214" t="s">
        <v>700</v>
      </c>
      <c r="C186" s="215">
        <v>209.92</v>
      </c>
      <c r="D186" s="215">
        <v>1385.71</v>
      </c>
      <c r="E186" s="215">
        <v>1087.1199999999999</v>
      </c>
      <c r="F186" s="215">
        <v>0</v>
      </c>
      <c r="G186" s="215">
        <v>0</v>
      </c>
      <c r="H186" s="215">
        <v>0</v>
      </c>
      <c r="I186" s="215">
        <v>4405</v>
      </c>
      <c r="J186" s="215">
        <v>0</v>
      </c>
      <c r="K186" s="215">
        <v>0</v>
      </c>
      <c r="L186" s="215">
        <v>0</v>
      </c>
      <c r="M186" s="215">
        <v>0</v>
      </c>
      <c r="N186" s="215">
        <v>0</v>
      </c>
      <c r="O186" s="215">
        <v>7087.75</v>
      </c>
      <c r="Q186" s="215">
        <f t="shared" si="10"/>
        <v>0</v>
      </c>
      <c r="R186" s="215">
        <f t="shared" si="11"/>
        <v>0</v>
      </c>
      <c r="S186" s="215">
        <f t="shared" si="12"/>
        <v>0</v>
      </c>
      <c r="T186" s="215">
        <f t="shared" si="13"/>
        <v>8810</v>
      </c>
      <c r="U186" s="215">
        <f t="shared" si="14"/>
        <v>7087.75</v>
      </c>
    </row>
    <row r="187" spans="2:21" ht="15.5" x14ac:dyDescent="0.35">
      <c r="B187" s="214" t="s">
        <v>701</v>
      </c>
      <c r="C187" s="215">
        <v>10700.66</v>
      </c>
      <c r="D187" s="215">
        <v>0</v>
      </c>
      <c r="E187" s="215">
        <v>0</v>
      </c>
      <c r="F187" s="215">
        <v>0</v>
      </c>
      <c r="G187" s="215">
        <v>0</v>
      </c>
      <c r="H187" s="215">
        <v>0</v>
      </c>
      <c r="I187" s="215">
        <v>0</v>
      </c>
      <c r="J187" s="215">
        <v>0</v>
      </c>
      <c r="K187" s="215">
        <v>0</v>
      </c>
      <c r="L187" s="215">
        <v>0</v>
      </c>
      <c r="M187" s="215">
        <v>0</v>
      </c>
      <c r="N187" s="215">
        <v>0</v>
      </c>
      <c r="O187" s="215">
        <v>10700.66</v>
      </c>
      <c r="Q187" s="215">
        <f t="shared" si="10"/>
        <v>0</v>
      </c>
      <c r="R187" s="215">
        <f t="shared" si="11"/>
        <v>0</v>
      </c>
      <c r="S187" s="215">
        <f t="shared" si="12"/>
        <v>0</v>
      </c>
      <c r="T187" s="215">
        <f t="shared" si="13"/>
        <v>0</v>
      </c>
      <c r="U187" s="215">
        <f t="shared" si="14"/>
        <v>10700.66</v>
      </c>
    </row>
    <row r="188" spans="2:21" ht="15.5" x14ac:dyDescent="0.35">
      <c r="B188" s="214" t="s">
        <v>702</v>
      </c>
      <c r="C188" s="215">
        <v>0</v>
      </c>
      <c r="D188" s="215">
        <v>0</v>
      </c>
      <c r="E188" s="215">
        <v>0</v>
      </c>
      <c r="F188" s="215">
        <v>0</v>
      </c>
      <c r="G188" s="215">
        <v>408.02</v>
      </c>
      <c r="H188" s="215">
        <v>90</v>
      </c>
      <c r="I188" s="215">
        <v>0</v>
      </c>
      <c r="J188" s="215">
        <v>0</v>
      </c>
      <c r="K188" s="215">
        <v>0</v>
      </c>
      <c r="L188" s="215">
        <v>0</v>
      </c>
      <c r="M188" s="215">
        <v>0</v>
      </c>
      <c r="N188" s="215">
        <v>0</v>
      </c>
      <c r="O188" s="215">
        <v>498.02</v>
      </c>
      <c r="Q188" s="215">
        <f t="shared" si="10"/>
        <v>0</v>
      </c>
      <c r="R188" s="215">
        <f t="shared" si="11"/>
        <v>0</v>
      </c>
      <c r="S188" s="215">
        <f t="shared" si="12"/>
        <v>0</v>
      </c>
      <c r="T188" s="215">
        <f t="shared" si="13"/>
        <v>0</v>
      </c>
      <c r="U188" s="215">
        <f t="shared" si="14"/>
        <v>498.02</v>
      </c>
    </row>
    <row r="189" spans="2:21" ht="15.5" x14ac:dyDescent="0.35">
      <c r="B189" s="214" t="s">
        <v>703</v>
      </c>
      <c r="C189" s="215">
        <v>0</v>
      </c>
      <c r="D189" s="215">
        <v>0</v>
      </c>
      <c r="E189" s="215">
        <v>0</v>
      </c>
      <c r="F189" s="215">
        <v>0</v>
      </c>
      <c r="G189" s="215">
        <v>0</v>
      </c>
      <c r="H189" s="215">
        <v>0</v>
      </c>
      <c r="I189" s="215">
        <v>0</v>
      </c>
      <c r="J189" s="215">
        <v>3645</v>
      </c>
      <c r="K189" s="215">
        <v>0</v>
      </c>
      <c r="L189" s="215">
        <v>0</v>
      </c>
      <c r="M189" s="215">
        <v>0</v>
      </c>
      <c r="N189" s="215">
        <v>0</v>
      </c>
      <c r="O189" s="215">
        <v>3645</v>
      </c>
      <c r="Q189" s="215">
        <f t="shared" si="10"/>
        <v>0</v>
      </c>
      <c r="R189" s="215">
        <f t="shared" si="11"/>
        <v>0</v>
      </c>
      <c r="S189" s="215">
        <f t="shared" si="12"/>
        <v>0</v>
      </c>
      <c r="T189" s="215">
        <f t="shared" si="13"/>
        <v>7290</v>
      </c>
      <c r="U189" s="215">
        <f t="shared" si="14"/>
        <v>3645</v>
      </c>
    </row>
    <row r="190" spans="2:21" ht="15.5" x14ac:dyDescent="0.35">
      <c r="B190" s="214" t="s">
        <v>704</v>
      </c>
      <c r="C190" s="215">
        <v>0</v>
      </c>
      <c r="D190" s="215">
        <v>0</v>
      </c>
      <c r="E190" s="215">
        <v>0</v>
      </c>
      <c r="F190" s="215">
        <v>0</v>
      </c>
      <c r="G190" s="215">
        <v>0</v>
      </c>
      <c r="H190" s="215">
        <v>0</v>
      </c>
      <c r="I190" s="215">
        <v>0</v>
      </c>
      <c r="J190" s="215">
        <v>0</v>
      </c>
      <c r="K190" s="215">
        <v>3811.06</v>
      </c>
      <c r="L190" s="215">
        <v>0</v>
      </c>
      <c r="M190" s="215">
        <v>0</v>
      </c>
      <c r="N190" s="215">
        <v>0</v>
      </c>
      <c r="O190" s="215">
        <v>3811.06</v>
      </c>
      <c r="Q190" s="215">
        <f t="shared" si="10"/>
        <v>0</v>
      </c>
      <c r="R190" s="215">
        <f t="shared" si="11"/>
        <v>0</v>
      </c>
      <c r="S190" s="215">
        <f t="shared" si="12"/>
        <v>0</v>
      </c>
      <c r="T190" s="215">
        <f t="shared" si="13"/>
        <v>7622.12</v>
      </c>
      <c r="U190" s="215">
        <f t="shared" si="14"/>
        <v>3811.06</v>
      </c>
    </row>
    <row r="191" spans="2:21" ht="15.5" x14ac:dyDescent="0.35">
      <c r="B191" s="214" t="s">
        <v>705</v>
      </c>
      <c r="C191" s="215">
        <v>0</v>
      </c>
      <c r="D191" s="215">
        <v>0</v>
      </c>
      <c r="E191" s="215">
        <v>15245.47</v>
      </c>
      <c r="F191" s="215">
        <v>0</v>
      </c>
      <c r="G191" s="215">
        <v>0</v>
      </c>
      <c r="H191" s="215">
        <v>0</v>
      </c>
      <c r="I191" s="215">
        <v>0</v>
      </c>
      <c r="J191" s="215">
        <v>0</v>
      </c>
      <c r="K191" s="215">
        <v>0</v>
      </c>
      <c r="L191" s="215">
        <v>0</v>
      </c>
      <c r="M191" s="215">
        <v>0</v>
      </c>
      <c r="N191" s="215">
        <v>0</v>
      </c>
      <c r="O191" s="215">
        <v>15245.47</v>
      </c>
      <c r="Q191" s="215">
        <f t="shared" si="10"/>
        <v>0</v>
      </c>
      <c r="R191" s="215">
        <f t="shared" si="11"/>
        <v>0</v>
      </c>
      <c r="S191" s="215">
        <f t="shared" si="12"/>
        <v>0</v>
      </c>
      <c r="T191" s="215">
        <f t="shared" si="13"/>
        <v>0</v>
      </c>
      <c r="U191" s="215">
        <f t="shared" si="14"/>
        <v>15245.47</v>
      </c>
    </row>
    <row r="192" spans="2:21" ht="15.5" x14ac:dyDescent="0.35">
      <c r="B192" s="214" t="s">
        <v>706</v>
      </c>
      <c r="C192" s="215">
        <v>0</v>
      </c>
      <c r="D192" s="215">
        <v>0</v>
      </c>
      <c r="E192" s="215">
        <v>0</v>
      </c>
      <c r="F192" s="215">
        <v>0</v>
      </c>
      <c r="G192" s="215">
        <v>0</v>
      </c>
      <c r="H192" s="215">
        <v>0</v>
      </c>
      <c r="I192" s="215">
        <v>0</v>
      </c>
      <c r="J192" s="215">
        <v>0</v>
      </c>
      <c r="K192" s="215">
        <v>0</v>
      </c>
      <c r="L192" s="215">
        <v>0</v>
      </c>
      <c r="M192" s="215">
        <v>7817.02</v>
      </c>
      <c r="N192" s="215">
        <v>0</v>
      </c>
      <c r="O192" s="215">
        <v>7817.02</v>
      </c>
      <c r="Q192" s="215">
        <f t="shared" si="10"/>
        <v>0</v>
      </c>
      <c r="R192" s="215">
        <f t="shared" si="11"/>
        <v>46902.12</v>
      </c>
      <c r="S192" s="215">
        <f t="shared" si="12"/>
        <v>31268.080000000002</v>
      </c>
      <c r="T192" s="215">
        <f t="shared" si="13"/>
        <v>15634.04</v>
      </c>
      <c r="U192" s="215">
        <f t="shared" si="14"/>
        <v>7817.02</v>
      </c>
    </row>
    <row r="193" spans="2:21" ht="15.5" x14ac:dyDescent="0.35">
      <c r="B193" s="214" t="s">
        <v>707</v>
      </c>
      <c r="C193" s="215">
        <v>0</v>
      </c>
      <c r="D193" s="215">
        <v>0</v>
      </c>
      <c r="E193" s="215">
        <v>3550</v>
      </c>
      <c r="F193" s="215">
        <v>9539.7099999999991</v>
      </c>
      <c r="G193" s="215">
        <v>5230</v>
      </c>
      <c r="H193" s="215">
        <v>9600</v>
      </c>
      <c r="I193" s="215">
        <v>0</v>
      </c>
      <c r="J193" s="215">
        <v>0</v>
      </c>
      <c r="K193" s="215">
        <v>7825</v>
      </c>
      <c r="L193" s="215">
        <v>3690</v>
      </c>
      <c r="M193" s="215">
        <v>16255</v>
      </c>
      <c r="N193" s="215">
        <v>3590</v>
      </c>
      <c r="O193" s="215">
        <v>59279.71</v>
      </c>
      <c r="Q193" s="215">
        <f t="shared" si="10"/>
        <v>43080</v>
      </c>
      <c r="R193" s="215">
        <f t="shared" si="11"/>
        <v>119070</v>
      </c>
      <c r="S193" s="215">
        <f t="shared" si="12"/>
        <v>94140</v>
      </c>
      <c r="T193" s="215">
        <f t="shared" si="13"/>
        <v>62720</v>
      </c>
      <c r="U193" s="215">
        <f t="shared" si="14"/>
        <v>59279.71</v>
      </c>
    </row>
    <row r="194" spans="2:21" ht="15.5" x14ac:dyDescent="0.35">
      <c r="B194" s="214" t="s">
        <v>708</v>
      </c>
      <c r="C194" s="215">
        <v>5500</v>
      </c>
      <c r="D194" s="215">
        <v>0</v>
      </c>
      <c r="E194" s="215">
        <v>0</v>
      </c>
      <c r="F194" s="215">
        <v>0</v>
      </c>
      <c r="G194" s="215">
        <v>0</v>
      </c>
      <c r="H194" s="215">
        <v>0</v>
      </c>
      <c r="I194" s="215">
        <v>0</v>
      </c>
      <c r="J194" s="215">
        <v>0</v>
      </c>
      <c r="K194" s="215">
        <v>0</v>
      </c>
      <c r="L194" s="215">
        <v>0</v>
      </c>
      <c r="M194" s="215">
        <v>0</v>
      </c>
      <c r="N194" s="215">
        <v>0</v>
      </c>
      <c r="O194" s="215">
        <v>5500</v>
      </c>
      <c r="Q194" s="215">
        <f t="shared" si="10"/>
        <v>0</v>
      </c>
      <c r="R194" s="215">
        <f t="shared" si="11"/>
        <v>0</v>
      </c>
      <c r="S194" s="215">
        <f t="shared" si="12"/>
        <v>0</v>
      </c>
      <c r="T194" s="215">
        <f t="shared" si="13"/>
        <v>0</v>
      </c>
      <c r="U194" s="215">
        <f t="shared" si="14"/>
        <v>5500</v>
      </c>
    </row>
    <row r="195" spans="2:21" ht="15.5" x14ac:dyDescent="0.35">
      <c r="B195" s="214" t="s">
        <v>709</v>
      </c>
      <c r="C195" s="215">
        <v>0</v>
      </c>
      <c r="D195" s="215">
        <v>0</v>
      </c>
      <c r="E195" s="215">
        <v>0</v>
      </c>
      <c r="F195" s="215">
        <v>0</v>
      </c>
      <c r="G195" s="215">
        <v>0</v>
      </c>
      <c r="H195" s="215">
        <v>0</v>
      </c>
      <c r="I195" s="215">
        <v>0</v>
      </c>
      <c r="J195" s="215">
        <v>0</v>
      </c>
      <c r="K195" s="215">
        <v>0</v>
      </c>
      <c r="L195" s="215">
        <v>375.12</v>
      </c>
      <c r="M195" s="215">
        <v>0</v>
      </c>
      <c r="N195" s="215">
        <v>0</v>
      </c>
      <c r="O195" s="215">
        <v>375.12</v>
      </c>
      <c r="Q195" s="215">
        <f t="shared" si="10"/>
        <v>0</v>
      </c>
      <c r="R195" s="215">
        <f t="shared" si="11"/>
        <v>0</v>
      </c>
      <c r="S195" s="215">
        <f t="shared" si="12"/>
        <v>1500.48</v>
      </c>
      <c r="T195" s="215">
        <f t="shared" si="13"/>
        <v>750.24</v>
      </c>
      <c r="U195" s="215">
        <f t="shared" si="14"/>
        <v>375.12</v>
      </c>
    </row>
    <row r="196" spans="2:21" ht="15.5" x14ac:dyDescent="0.35">
      <c r="B196" s="214" t="s">
        <v>710</v>
      </c>
      <c r="C196" s="215">
        <v>0</v>
      </c>
      <c r="D196" s="215">
        <v>0</v>
      </c>
      <c r="E196" s="215">
        <v>0</v>
      </c>
      <c r="F196" s="215">
        <v>0</v>
      </c>
      <c r="G196" s="215">
        <v>0</v>
      </c>
      <c r="H196" s="215">
        <v>0</v>
      </c>
      <c r="I196" s="215">
        <v>0</v>
      </c>
      <c r="J196" s="215">
        <v>1350</v>
      </c>
      <c r="K196" s="215">
        <v>0</v>
      </c>
      <c r="L196" s="215">
        <v>0</v>
      </c>
      <c r="M196" s="215">
        <v>0</v>
      </c>
      <c r="N196" s="215">
        <v>0</v>
      </c>
      <c r="O196" s="215">
        <v>1350</v>
      </c>
      <c r="Q196" s="215">
        <f t="shared" si="10"/>
        <v>0</v>
      </c>
      <c r="R196" s="215">
        <f t="shared" si="11"/>
        <v>0</v>
      </c>
      <c r="S196" s="215">
        <f t="shared" si="12"/>
        <v>0</v>
      </c>
      <c r="T196" s="215">
        <f t="shared" si="13"/>
        <v>2700</v>
      </c>
      <c r="U196" s="215">
        <f t="shared" si="14"/>
        <v>1350</v>
      </c>
    </row>
    <row r="197" spans="2:21" ht="15.5" x14ac:dyDescent="0.35">
      <c r="B197" s="214" t="s">
        <v>711</v>
      </c>
      <c r="C197" s="215">
        <v>0</v>
      </c>
      <c r="D197" s="215">
        <v>0</v>
      </c>
      <c r="E197" s="215">
        <v>0</v>
      </c>
      <c r="F197" s="215">
        <v>0</v>
      </c>
      <c r="G197" s="215">
        <v>0</v>
      </c>
      <c r="H197" s="215">
        <v>0</v>
      </c>
      <c r="I197" s="215">
        <v>0</v>
      </c>
      <c r="J197" s="215">
        <v>0</v>
      </c>
      <c r="K197" s="215">
        <v>0</v>
      </c>
      <c r="L197" s="215">
        <v>0</v>
      </c>
      <c r="M197" s="215">
        <v>3335</v>
      </c>
      <c r="N197" s="215">
        <v>0</v>
      </c>
      <c r="O197" s="215">
        <v>3335</v>
      </c>
      <c r="Q197" s="215">
        <f t="shared" si="10"/>
        <v>0</v>
      </c>
      <c r="R197" s="215">
        <f t="shared" si="11"/>
        <v>20010</v>
      </c>
      <c r="S197" s="215">
        <f t="shared" si="12"/>
        <v>13340</v>
      </c>
      <c r="T197" s="215">
        <f t="shared" si="13"/>
        <v>6670</v>
      </c>
      <c r="U197" s="215">
        <f t="shared" si="14"/>
        <v>3335</v>
      </c>
    </row>
    <row r="198" spans="2:21" ht="15.5" x14ac:dyDescent="0.35">
      <c r="B198" s="214" t="s">
        <v>712</v>
      </c>
      <c r="C198" s="215">
        <v>353.68</v>
      </c>
      <c r="D198" s="215">
        <v>0</v>
      </c>
      <c r="E198" s="215">
        <v>0</v>
      </c>
      <c r="F198" s="215">
        <v>0</v>
      </c>
      <c r="G198" s="215">
        <v>0</v>
      </c>
      <c r="H198" s="215">
        <v>0</v>
      </c>
      <c r="I198" s="215">
        <v>0</v>
      </c>
      <c r="J198" s="215">
        <v>0</v>
      </c>
      <c r="K198" s="215">
        <v>0</v>
      </c>
      <c r="L198" s="215">
        <v>0</v>
      </c>
      <c r="M198" s="215">
        <v>0</v>
      </c>
      <c r="N198" s="215">
        <v>0</v>
      </c>
      <c r="O198" s="215">
        <v>353.68</v>
      </c>
      <c r="Q198" s="215">
        <f t="shared" si="10"/>
        <v>0</v>
      </c>
      <c r="R198" s="215">
        <f t="shared" si="11"/>
        <v>0</v>
      </c>
      <c r="S198" s="215">
        <f t="shared" si="12"/>
        <v>0</v>
      </c>
      <c r="T198" s="215">
        <f t="shared" si="13"/>
        <v>0</v>
      </c>
      <c r="U198" s="215">
        <f t="shared" si="14"/>
        <v>353.68</v>
      </c>
    </row>
    <row r="199" spans="2:21" ht="15.5" x14ac:dyDescent="0.35">
      <c r="B199" s="214" t="s">
        <v>713</v>
      </c>
      <c r="C199" s="215">
        <v>0</v>
      </c>
      <c r="D199" s="215">
        <v>0</v>
      </c>
      <c r="E199" s="215">
        <v>0</v>
      </c>
      <c r="F199" s="215">
        <v>26955.8</v>
      </c>
      <c r="G199" s="215">
        <v>0</v>
      </c>
      <c r="H199" s="215">
        <v>0</v>
      </c>
      <c r="I199" s="215">
        <v>0</v>
      </c>
      <c r="J199" s="215">
        <v>0</v>
      </c>
      <c r="K199" s="215">
        <v>0</v>
      </c>
      <c r="L199" s="215">
        <v>0</v>
      </c>
      <c r="M199" s="215">
        <v>0</v>
      </c>
      <c r="N199" s="215">
        <v>0</v>
      </c>
      <c r="O199" s="215">
        <v>26955.8</v>
      </c>
      <c r="Q199" s="215">
        <f t="shared" si="10"/>
        <v>0</v>
      </c>
      <c r="R199" s="215">
        <f t="shared" si="11"/>
        <v>0</v>
      </c>
      <c r="S199" s="215">
        <f t="shared" si="12"/>
        <v>0</v>
      </c>
      <c r="T199" s="215">
        <f t="shared" si="13"/>
        <v>0</v>
      </c>
      <c r="U199" s="215">
        <f t="shared" si="14"/>
        <v>26955.8</v>
      </c>
    </row>
    <row r="200" spans="2:21" ht="15.5" x14ac:dyDescent="0.35">
      <c r="B200" s="212" t="s">
        <v>714</v>
      </c>
      <c r="C200" s="216">
        <v>40299.120000000003</v>
      </c>
      <c r="D200" s="216">
        <v>19621.63</v>
      </c>
      <c r="E200" s="216">
        <v>47682.96</v>
      </c>
      <c r="F200" s="216">
        <v>41495.51</v>
      </c>
      <c r="G200" s="216">
        <v>28962.98</v>
      </c>
      <c r="H200" s="216">
        <v>12802</v>
      </c>
      <c r="I200" s="216">
        <v>17346.509999999998</v>
      </c>
      <c r="J200" s="216">
        <v>4995</v>
      </c>
      <c r="K200" s="216">
        <v>11636.06</v>
      </c>
      <c r="L200" s="216">
        <v>4065.12</v>
      </c>
      <c r="M200" s="216">
        <v>27407.02</v>
      </c>
      <c r="N200" s="216">
        <v>3590</v>
      </c>
      <c r="O200" s="216">
        <v>259903.91</v>
      </c>
      <c r="Q200" s="216">
        <f t="shared" si="10"/>
        <v>43080</v>
      </c>
      <c r="R200" s="216">
        <f t="shared" si="11"/>
        <v>185982.12</v>
      </c>
      <c r="S200" s="216">
        <f t="shared" si="12"/>
        <v>140248.56</v>
      </c>
      <c r="T200" s="216">
        <f t="shared" si="13"/>
        <v>138079.42000000001</v>
      </c>
      <c r="U200" s="216">
        <f t="shared" si="14"/>
        <v>259903.91</v>
      </c>
    </row>
    <row r="201" spans="2:21" ht="15.5" x14ac:dyDescent="0.35">
      <c r="B201" s="212" t="s">
        <v>715</v>
      </c>
      <c r="C201" s="216">
        <v>114540.72</v>
      </c>
      <c r="D201" s="216">
        <v>91468.34</v>
      </c>
      <c r="E201" s="216">
        <v>123463.45</v>
      </c>
      <c r="F201" s="216">
        <v>115737.11</v>
      </c>
      <c r="G201" s="216">
        <v>98886.74</v>
      </c>
      <c r="H201" s="216">
        <v>86478.6</v>
      </c>
      <c r="I201" s="216">
        <v>98132.14</v>
      </c>
      <c r="J201" s="216">
        <v>85659.38</v>
      </c>
      <c r="K201" s="216">
        <v>87887.11</v>
      </c>
      <c r="L201" s="216">
        <v>83775.44</v>
      </c>
      <c r="M201" s="216">
        <v>106846.24</v>
      </c>
      <c r="N201" s="216">
        <v>80466.67</v>
      </c>
      <c r="O201" s="216">
        <v>1173341.94</v>
      </c>
      <c r="Q201" s="216">
        <f t="shared" si="10"/>
        <v>965600.04</v>
      </c>
      <c r="R201" s="216">
        <f t="shared" si="11"/>
        <v>1123877.46</v>
      </c>
      <c r="S201" s="216">
        <f t="shared" si="12"/>
        <v>1084353.3999999999</v>
      </c>
      <c r="T201" s="216">
        <f t="shared" si="13"/>
        <v>1085533.96</v>
      </c>
      <c r="U201" s="216">
        <f t="shared" si="14"/>
        <v>1173341.94</v>
      </c>
    </row>
    <row r="202" spans="2:21" ht="15.5" x14ac:dyDescent="0.35">
      <c r="B202" s="214"/>
      <c r="C202" s="215"/>
      <c r="D202" s="215"/>
      <c r="E202" s="215"/>
      <c r="F202" s="215"/>
      <c r="G202" s="215"/>
      <c r="H202" s="215"/>
      <c r="I202" s="215"/>
      <c r="J202" s="215"/>
      <c r="K202" s="215"/>
      <c r="L202" s="215"/>
      <c r="M202" s="215"/>
      <c r="N202" s="215"/>
      <c r="O202" s="215"/>
      <c r="Q202" s="215">
        <f t="shared" si="10"/>
        <v>0</v>
      </c>
      <c r="R202" s="215">
        <f t="shared" si="11"/>
        <v>0</v>
      </c>
      <c r="S202" s="215">
        <f t="shared" si="12"/>
        <v>0</v>
      </c>
      <c r="T202" s="215">
        <f t="shared" si="13"/>
        <v>0</v>
      </c>
      <c r="U202" s="215">
        <f t="shared" si="14"/>
        <v>0</v>
      </c>
    </row>
    <row r="203" spans="2:21" ht="15.5" x14ac:dyDescent="0.35">
      <c r="B203" s="212" t="s">
        <v>716</v>
      </c>
      <c r="C203" s="216">
        <v>-114371.55</v>
      </c>
      <c r="D203" s="216">
        <v>-91468.34</v>
      </c>
      <c r="E203" s="216">
        <v>-123307.01</v>
      </c>
      <c r="F203" s="216">
        <v>-115603.1</v>
      </c>
      <c r="G203" s="216">
        <v>-98786.13</v>
      </c>
      <c r="H203" s="216">
        <v>-86390.1</v>
      </c>
      <c r="I203" s="216">
        <v>-98049.02</v>
      </c>
      <c r="J203" s="216">
        <v>-85573.5</v>
      </c>
      <c r="K203" s="216">
        <v>-87807.98</v>
      </c>
      <c r="L203" s="216">
        <v>-83693.759999999995</v>
      </c>
      <c r="M203" s="216">
        <v>-106846.24</v>
      </c>
      <c r="N203" s="216">
        <v>-80466.67</v>
      </c>
      <c r="O203" s="216">
        <v>-1172363.3999999999</v>
      </c>
      <c r="Q203" s="216">
        <f t="shared" si="10"/>
        <v>-965600.04</v>
      </c>
      <c r="R203" s="216">
        <f t="shared" si="11"/>
        <v>-1123877.46</v>
      </c>
      <c r="S203" s="216">
        <f t="shared" si="12"/>
        <v>-1084026.68</v>
      </c>
      <c r="T203" s="216">
        <f t="shared" si="13"/>
        <v>-1084874.3400000001</v>
      </c>
      <c r="U203" s="216">
        <f t="shared" si="14"/>
        <v>-1172363.3999999999</v>
      </c>
    </row>
    <row r="204" spans="2:21" ht="15.5" x14ac:dyDescent="0.35">
      <c r="B204" s="214"/>
      <c r="C204" s="215"/>
      <c r="D204" s="215"/>
      <c r="E204" s="215"/>
      <c r="F204" s="215"/>
      <c r="G204" s="215"/>
      <c r="H204" s="215"/>
      <c r="I204" s="215"/>
      <c r="J204" s="215"/>
      <c r="K204" s="215"/>
      <c r="L204" s="215"/>
      <c r="M204" s="215"/>
      <c r="N204" s="215"/>
      <c r="O204" s="215"/>
      <c r="Q204" s="215">
        <f t="shared" si="10"/>
        <v>0</v>
      </c>
      <c r="R204" s="215">
        <f t="shared" si="11"/>
        <v>0</v>
      </c>
      <c r="S204" s="215">
        <f t="shared" si="12"/>
        <v>0</v>
      </c>
      <c r="T204" s="215">
        <f t="shared" si="13"/>
        <v>0</v>
      </c>
      <c r="U204" s="215">
        <f t="shared" si="14"/>
        <v>0</v>
      </c>
    </row>
    <row r="205" spans="2:21" ht="15.5" x14ac:dyDescent="0.35">
      <c r="B205" s="214" t="s">
        <v>717</v>
      </c>
      <c r="C205" s="215">
        <v>84900.46</v>
      </c>
      <c r="D205" s="215">
        <v>124662.16</v>
      </c>
      <c r="E205" s="215">
        <v>108145.19</v>
      </c>
      <c r="F205" s="215">
        <v>128649.71</v>
      </c>
      <c r="G205" s="215">
        <v>116761.87</v>
      </c>
      <c r="H205" s="215">
        <v>115874.89</v>
      </c>
      <c r="I205" s="215">
        <v>128762.56</v>
      </c>
      <c r="J205" s="215">
        <v>123319.7</v>
      </c>
      <c r="K205" s="215">
        <v>120051.05</v>
      </c>
      <c r="L205" s="215">
        <v>114898.41</v>
      </c>
      <c r="M205" s="215">
        <v>98660.73</v>
      </c>
      <c r="N205" s="215">
        <v>131932.57</v>
      </c>
      <c r="O205" s="215">
        <v>1396619.3</v>
      </c>
      <c r="Q205" s="215">
        <f t="shared" si="10"/>
        <v>1583190.84</v>
      </c>
      <c r="R205" s="215">
        <f t="shared" si="11"/>
        <v>1383559.7999999998</v>
      </c>
      <c r="S205" s="215">
        <f t="shared" si="12"/>
        <v>1381966.84</v>
      </c>
      <c r="T205" s="215">
        <f t="shared" si="13"/>
        <v>1435250.04</v>
      </c>
      <c r="U205" s="215">
        <f t="shared" si="14"/>
        <v>1396619.3</v>
      </c>
    </row>
    <row r="206" spans="2:21" ht="15.5" x14ac:dyDescent="0.35">
      <c r="B206" s="214" t="s">
        <v>718</v>
      </c>
      <c r="C206" s="215">
        <v>184782.89</v>
      </c>
      <c r="D206" s="215">
        <v>178872.51</v>
      </c>
      <c r="E206" s="215">
        <v>186139.51999999999</v>
      </c>
      <c r="F206" s="215">
        <v>182664.95999999999</v>
      </c>
      <c r="G206" s="215">
        <v>169616.6</v>
      </c>
      <c r="H206" s="215">
        <v>158877.10999999999</v>
      </c>
      <c r="I206" s="215">
        <v>188358.7</v>
      </c>
      <c r="J206" s="215">
        <v>159511.66</v>
      </c>
      <c r="K206" s="215">
        <v>167062.10999999999</v>
      </c>
      <c r="L206" s="215">
        <v>172479.8</v>
      </c>
      <c r="M206" s="215">
        <v>191868.83</v>
      </c>
      <c r="N206" s="215">
        <v>165713.63</v>
      </c>
      <c r="O206" s="215">
        <v>2105948.3199999998</v>
      </c>
      <c r="Q206" s="215">
        <f t="shared" si="10"/>
        <v>1988563.56</v>
      </c>
      <c r="R206" s="215">
        <f t="shared" si="11"/>
        <v>2145494.7599999998</v>
      </c>
      <c r="S206" s="215">
        <f t="shared" si="12"/>
        <v>2120249.04</v>
      </c>
      <c r="T206" s="215">
        <f t="shared" si="13"/>
        <v>2089989.46</v>
      </c>
      <c r="U206" s="215">
        <f t="shared" si="14"/>
        <v>2105948.3199999998</v>
      </c>
    </row>
    <row r="207" spans="2:21" ht="16" thickBot="1" x14ac:dyDescent="0.4">
      <c r="B207" s="214"/>
      <c r="C207" s="215"/>
      <c r="D207" s="215"/>
      <c r="E207" s="215"/>
      <c r="F207" s="215"/>
      <c r="G207" s="215"/>
      <c r="H207" s="215"/>
      <c r="I207" s="215"/>
      <c r="J207" s="215"/>
      <c r="K207" s="215"/>
      <c r="L207" s="215"/>
      <c r="M207" s="215"/>
      <c r="N207" s="215"/>
      <c r="O207" s="215"/>
      <c r="Q207" s="215">
        <f t="shared" si="10"/>
        <v>0</v>
      </c>
      <c r="R207" s="215">
        <f t="shared" si="11"/>
        <v>0</v>
      </c>
      <c r="S207" s="215">
        <f t="shared" si="12"/>
        <v>0</v>
      </c>
      <c r="T207" s="215">
        <f t="shared" si="13"/>
        <v>0</v>
      </c>
      <c r="U207" s="215">
        <f t="shared" si="14"/>
        <v>0</v>
      </c>
    </row>
    <row r="208" spans="2:21" ht="15.5" x14ac:dyDescent="0.35">
      <c r="B208" s="212" t="s">
        <v>719</v>
      </c>
      <c r="C208" s="217">
        <v>-99882.43</v>
      </c>
      <c r="D208" s="217">
        <v>-54210.35</v>
      </c>
      <c r="E208" s="217">
        <v>-77994.33</v>
      </c>
      <c r="F208" s="217">
        <v>-54015.25</v>
      </c>
      <c r="G208" s="217">
        <v>-52854.73</v>
      </c>
      <c r="H208" s="217">
        <v>-43002.22</v>
      </c>
      <c r="I208" s="217">
        <v>-59596.14</v>
      </c>
      <c r="J208" s="217">
        <v>-36191.96</v>
      </c>
      <c r="K208" s="217">
        <v>-47011.06</v>
      </c>
      <c r="L208" s="217">
        <v>-57581.39</v>
      </c>
      <c r="M208" s="217">
        <v>-93208.1</v>
      </c>
      <c r="N208" s="217">
        <v>-33781.06</v>
      </c>
      <c r="O208" s="217">
        <v>-709329.02</v>
      </c>
      <c r="Q208" s="217">
        <f t="shared" si="10"/>
        <v>-405372.72</v>
      </c>
      <c r="R208" s="217">
        <f t="shared" si="11"/>
        <v>-761934.96</v>
      </c>
      <c r="S208" s="217">
        <f t="shared" si="12"/>
        <v>-738282.2</v>
      </c>
      <c r="T208" s="217">
        <f t="shared" si="13"/>
        <v>-654739.42000000004</v>
      </c>
      <c r="U208" s="217">
        <f t="shared" si="14"/>
        <v>-709329.02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E5E50-D3A9-49D0-B1A6-10FD807A1FDB}">
  <dimension ref="A1:V354"/>
  <sheetViews>
    <sheetView showGridLines="0" workbookViewId="0">
      <selection activeCell="F8" sqref="F8:AS350"/>
    </sheetView>
  </sheetViews>
  <sheetFormatPr defaultColWidth="8.7265625" defaultRowHeight="14.5" x14ac:dyDescent="0.35"/>
  <cols>
    <col min="1" max="1" width="5.54296875" style="6" customWidth="1"/>
    <col min="2" max="2" width="9.1796875" style="1" bestFit="1" customWidth="1"/>
    <col min="3" max="5" width="8.7265625" style="1"/>
    <col min="6" max="18" width="12.54296875" style="3" customWidth="1"/>
    <col min="19" max="19" width="8.7265625" style="1"/>
    <col min="20" max="22" width="12.54296875" style="3" customWidth="1"/>
    <col min="23" max="16384" width="8.7265625" style="1"/>
  </cols>
  <sheetData>
    <row r="1" spans="1:22" x14ac:dyDescent="0.35">
      <c r="B1" s="1" t="s">
        <v>0</v>
      </c>
    </row>
    <row r="2" spans="1:22" x14ac:dyDescent="0.35">
      <c r="B2" s="1" t="s">
        <v>1</v>
      </c>
    </row>
    <row r="3" spans="1:22" x14ac:dyDescent="0.35">
      <c r="B3" s="2">
        <v>45657</v>
      </c>
    </row>
    <row r="4" spans="1:22" x14ac:dyDescent="0.35">
      <c r="F4" s="4">
        <v>45322</v>
      </c>
      <c r="G4" s="4">
        <v>45351</v>
      </c>
      <c r="H4" s="4">
        <v>45382</v>
      </c>
      <c r="I4" s="4">
        <v>45412</v>
      </c>
      <c r="J4" s="4">
        <v>45443</v>
      </c>
      <c r="K4" s="4">
        <v>45473</v>
      </c>
      <c r="L4" s="4">
        <v>45504</v>
      </c>
      <c r="M4" s="4">
        <v>45535</v>
      </c>
      <c r="N4" s="4">
        <v>45565</v>
      </c>
      <c r="O4" s="4">
        <v>45596</v>
      </c>
      <c r="P4" s="4">
        <v>45626</v>
      </c>
      <c r="Q4" s="4">
        <v>45657</v>
      </c>
      <c r="R4" s="3" t="s">
        <v>3</v>
      </c>
    </row>
    <row r="5" spans="1:22" x14ac:dyDescent="0.35">
      <c r="F5" s="3" t="s">
        <v>2</v>
      </c>
      <c r="G5" s="3" t="s">
        <v>2</v>
      </c>
      <c r="H5" s="3" t="s">
        <v>2</v>
      </c>
      <c r="I5" s="3" t="s">
        <v>2</v>
      </c>
      <c r="J5" s="3" t="s">
        <v>2</v>
      </c>
      <c r="K5" s="3" t="s">
        <v>2</v>
      </c>
      <c r="L5" s="3" t="s">
        <v>2</v>
      </c>
      <c r="M5" s="3" t="s">
        <v>2</v>
      </c>
      <c r="N5" s="3" t="s">
        <v>2</v>
      </c>
      <c r="O5" s="3" t="s">
        <v>2</v>
      </c>
      <c r="P5" s="3" t="s">
        <v>2</v>
      </c>
      <c r="Q5" s="3" t="s">
        <v>2</v>
      </c>
      <c r="T5" s="9" t="s">
        <v>305</v>
      </c>
      <c r="U5" s="9" t="s">
        <v>306</v>
      </c>
      <c r="V5" s="9" t="s">
        <v>307</v>
      </c>
    </row>
    <row r="6" spans="1:22" x14ac:dyDescent="0.35">
      <c r="B6" s="1" t="s">
        <v>4</v>
      </c>
    </row>
    <row r="7" spans="1:22" x14ac:dyDescent="0.35">
      <c r="B7" s="1" t="s">
        <v>5</v>
      </c>
    </row>
    <row r="8" spans="1:22" x14ac:dyDescent="0.35">
      <c r="B8" s="1">
        <v>40000</v>
      </c>
      <c r="C8" s="1" t="s">
        <v>6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T8" s="8"/>
      <c r="U8" s="8"/>
      <c r="V8" s="8"/>
    </row>
    <row r="9" spans="1:22" x14ac:dyDescent="0.35">
      <c r="B9" s="1">
        <v>40091</v>
      </c>
      <c r="C9" s="1" t="s">
        <v>7</v>
      </c>
      <c r="T9" s="8"/>
      <c r="U9" s="8"/>
      <c r="V9" s="8"/>
    </row>
    <row r="10" spans="1:22" x14ac:dyDescent="0.35">
      <c r="B10" s="1">
        <v>41000</v>
      </c>
      <c r="C10" s="1" t="s">
        <v>8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T10" s="8"/>
      <c r="U10" s="8"/>
      <c r="V10" s="8"/>
    </row>
    <row r="11" spans="1:22" x14ac:dyDescent="0.35">
      <c r="B11" s="1">
        <v>41010</v>
      </c>
      <c r="C11" s="1" t="s">
        <v>9</v>
      </c>
      <c r="L11" s="5"/>
      <c r="R11" s="5"/>
      <c r="T11" s="8"/>
      <c r="U11" s="8"/>
      <c r="V11" s="8"/>
    </row>
    <row r="12" spans="1:22" x14ac:dyDescent="0.35">
      <c r="A12" s="6">
        <v>1</v>
      </c>
      <c r="B12" s="12" t="s">
        <v>10</v>
      </c>
      <c r="C12" s="12"/>
      <c r="D12" s="12"/>
      <c r="E12" s="12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T12" s="10"/>
      <c r="U12" s="10"/>
      <c r="V12" s="10"/>
    </row>
    <row r="13" spans="1:22" x14ac:dyDescent="0.35">
      <c r="T13" s="8"/>
      <c r="U13" s="8"/>
      <c r="V13" s="8"/>
    </row>
    <row r="14" spans="1:22" x14ac:dyDescent="0.35">
      <c r="B14" s="1" t="s">
        <v>11</v>
      </c>
      <c r="T14" s="8"/>
      <c r="U14" s="8"/>
      <c r="V14" s="8"/>
    </row>
    <row r="15" spans="1:22" x14ac:dyDescent="0.35">
      <c r="A15" s="6">
        <v>7</v>
      </c>
      <c r="B15" s="1">
        <v>40020</v>
      </c>
      <c r="C15" s="1" t="s">
        <v>12</v>
      </c>
      <c r="T15" s="8"/>
      <c r="U15" s="8"/>
      <c r="V15" s="8"/>
    </row>
    <row r="16" spans="1:22" x14ac:dyDescent="0.35">
      <c r="A16" s="6">
        <v>7</v>
      </c>
      <c r="B16" s="1">
        <v>40025</v>
      </c>
      <c r="C16" s="1" t="s">
        <v>13</v>
      </c>
      <c r="T16" s="8"/>
      <c r="U16" s="8"/>
      <c r="V16" s="8"/>
    </row>
    <row r="17" spans="1:22" x14ac:dyDescent="0.35">
      <c r="A17" s="6">
        <v>7</v>
      </c>
      <c r="B17" s="1">
        <v>40027</v>
      </c>
      <c r="C17" s="1" t="s">
        <v>14</v>
      </c>
      <c r="T17" s="8"/>
      <c r="U17" s="8"/>
      <c r="V17" s="8"/>
    </row>
    <row r="18" spans="1:22" x14ac:dyDescent="0.35">
      <c r="A18" s="6">
        <v>2</v>
      </c>
      <c r="B18" s="1">
        <v>41020</v>
      </c>
      <c r="C18" s="1" t="s">
        <v>15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T18" s="8"/>
      <c r="U18" s="8"/>
      <c r="V18" s="8"/>
    </row>
    <row r="19" spans="1:22" x14ac:dyDescent="0.35">
      <c r="A19" s="6">
        <v>5</v>
      </c>
      <c r="B19" s="1">
        <v>41030</v>
      </c>
      <c r="C19" s="1" t="s">
        <v>16</v>
      </c>
      <c r="T19" s="8"/>
      <c r="U19" s="8"/>
      <c r="V19" s="8"/>
    </row>
    <row r="20" spans="1:22" x14ac:dyDescent="0.35">
      <c r="A20" s="6">
        <v>5</v>
      </c>
      <c r="B20" s="1">
        <v>41040</v>
      </c>
      <c r="C20" s="1" t="s">
        <v>17</v>
      </c>
      <c r="T20" s="8"/>
      <c r="U20" s="8"/>
      <c r="V20" s="8"/>
    </row>
    <row r="21" spans="1:22" x14ac:dyDescent="0.35">
      <c r="A21" s="6">
        <v>3</v>
      </c>
      <c r="B21" s="1">
        <v>41050</v>
      </c>
      <c r="C21" s="1" t="s">
        <v>18</v>
      </c>
      <c r="T21" s="8"/>
      <c r="U21" s="8"/>
      <c r="V21" s="8"/>
    </row>
    <row r="22" spans="1:22" x14ac:dyDescent="0.35">
      <c r="A22" s="6">
        <v>3</v>
      </c>
      <c r="B22" s="1">
        <v>41070</v>
      </c>
      <c r="C22" s="1" t="s">
        <v>19</v>
      </c>
      <c r="T22" s="8"/>
      <c r="U22" s="8"/>
      <c r="V22" s="8"/>
    </row>
    <row r="23" spans="1:22" x14ac:dyDescent="0.35">
      <c r="A23" s="6">
        <v>3</v>
      </c>
      <c r="B23" s="1">
        <v>41080</v>
      </c>
      <c r="C23" s="1" t="s">
        <v>20</v>
      </c>
      <c r="N23" s="5"/>
      <c r="O23" s="5"/>
      <c r="P23" s="5"/>
      <c r="Q23" s="5"/>
      <c r="T23" s="8"/>
      <c r="U23" s="8"/>
      <c r="V23" s="8"/>
    </row>
    <row r="24" spans="1:22" x14ac:dyDescent="0.35">
      <c r="A24" s="6">
        <v>3</v>
      </c>
      <c r="B24" s="1">
        <v>41090</v>
      </c>
      <c r="C24" s="1" t="s">
        <v>21</v>
      </c>
      <c r="Q24" s="5"/>
      <c r="T24" s="8"/>
      <c r="U24" s="8"/>
      <c r="V24" s="8"/>
    </row>
    <row r="25" spans="1:22" x14ac:dyDescent="0.35">
      <c r="A25" s="6">
        <v>3</v>
      </c>
      <c r="B25" s="1">
        <v>41091</v>
      </c>
      <c r="C25" s="1" t="s">
        <v>22</v>
      </c>
      <c r="T25" s="8"/>
      <c r="U25" s="8"/>
      <c r="V25" s="8"/>
    </row>
    <row r="26" spans="1:22" x14ac:dyDescent="0.35">
      <c r="A26" s="6">
        <v>4</v>
      </c>
      <c r="B26" s="1">
        <v>41095</v>
      </c>
      <c r="C26" s="1" t="s">
        <v>23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R26" s="5"/>
      <c r="T26" s="8"/>
      <c r="U26" s="8"/>
      <c r="V26" s="8"/>
    </row>
    <row r="27" spans="1:22" x14ac:dyDescent="0.35">
      <c r="A27" s="6">
        <v>4</v>
      </c>
      <c r="B27" s="1">
        <v>41096</v>
      </c>
      <c r="C27" s="1" t="s">
        <v>24</v>
      </c>
      <c r="T27" s="8"/>
      <c r="U27" s="8"/>
      <c r="V27" s="8"/>
    </row>
    <row r="28" spans="1:22" x14ac:dyDescent="0.35">
      <c r="A28" s="6">
        <v>4</v>
      </c>
      <c r="B28" s="1">
        <v>41097</v>
      </c>
      <c r="C28" s="1" t="s">
        <v>25</v>
      </c>
      <c r="T28" s="8"/>
      <c r="U28" s="8"/>
      <c r="V28" s="8"/>
    </row>
    <row r="29" spans="1:22" x14ac:dyDescent="0.35">
      <c r="B29" s="12" t="s">
        <v>26</v>
      </c>
      <c r="C29" s="12"/>
      <c r="D29" s="12"/>
      <c r="E29" s="12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T29" s="10"/>
      <c r="U29" s="10"/>
      <c r="V29" s="10"/>
    </row>
    <row r="30" spans="1:22" x14ac:dyDescent="0.35">
      <c r="T30" s="8"/>
      <c r="U30" s="8"/>
      <c r="V30" s="8"/>
    </row>
    <row r="31" spans="1:22" x14ac:dyDescent="0.35">
      <c r="B31" s="14" t="s">
        <v>27</v>
      </c>
      <c r="C31" s="14"/>
      <c r="D31" s="14"/>
      <c r="E31" s="14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T31" s="11"/>
      <c r="U31" s="11"/>
      <c r="V31" s="11"/>
    </row>
    <row r="32" spans="1:22" x14ac:dyDescent="0.35">
      <c r="T32" s="8"/>
      <c r="U32" s="8"/>
      <c r="V32" s="8"/>
    </row>
    <row r="33" spans="1:22" x14ac:dyDescent="0.35">
      <c r="B33" s="1" t="s">
        <v>28</v>
      </c>
      <c r="T33" s="8"/>
      <c r="U33" s="8"/>
      <c r="V33" s="8"/>
    </row>
    <row r="34" spans="1:22" x14ac:dyDescent="0.35">
      <c r="A34" s="6">
        <v>7</v>
      </c>
      <c r="B34" s="1">
        <v>42000</v>
      </c>
      <c r="C34" s="1" t="s">
        <v>29</v>
      </c>
      <c r="T34" s="8"/>
      <c r="U34" s="8"/>
      <c r="V34" s="8"/>
    </row>
    <row r="35" spans="1:22" x14ac:dyDescent="0.35">
      <c r="A35" s="6">
        <v>7</v>
      </c>
      <c r="B35" s="1">
        <v>42010</v>
      </c>
      <c r="C35" s="1" t="s">
        <v>30</v>
      </c>
      <c r="T35" s="8"/>
      <c r="U35" s="8"/>
      <c r="V35" s="8"/>
    </row>
    <row r="36" spans="1:22" x14ac:dyDescent="0.35">
      <c r="A36" s="6">
        <v>7</v>
      </c>
      <c r="B36" s="1">
        <v>42100</v>
      </c>
      <c r="C36" s="1" t="s">
        <v>31</v>
      </c>
      <c r="T36" s="8"/>
      <c r="U36" s="8"/>
      <c r="V36" s="8"/>
    </row>
    <row r="37" spans="1:22" x14ac:dyDescent="0.35">
      <c r="A37" s="6">
        <v>7</v>
      </c>
      <c r="B37" s="1">
        <v>42150</v>
      </c>
      <c r="C37" s="1" t="s">
        <v>32</v>
      </c>
      <c r="T37" s="8"/>
      <c r="U37" s="8"/>
      <c r="V37" s="8"/>
    </row>
    <row r="38" spans="1:22" x14ac:dyDescent="0.35">
      <c r="A38" s="6">
        <v>7</v>
      </c>
      <c r="B38" s="1">
        <v>42200</v>
      </c>
      <c r="C38" s="1" t="s">
        <v>33</v>
      </c>
      <c r="T38" s="8"/>
      <c r="U38" s="8"/>
      <c r="V38" s="8"/>
    </row>
    <row r="39" spans="1:22" x14ac:dyDescent="0.35">
      <c r="A39" s="6">
        <v>7</v>
      </c>
      <c r="B39" s="1">
        <v>42500</v>
      </c>
      <c r="C39" s="1" t="s">
        <v>34</v>
      </c>
      <c r="R39" s="5"/>
      <c r="T39" s="8"/>
      <c r="U39" s="8"/>
      <c r="V39" s="8"/>
    </row>
    <row r="40" spans="1:22" x14ac:dyDescent="0.35">
      <c r="A40" s="6">
        <v>7</v>
      </c>
      <c r="B40" s="1">
        <v>42505</v>
      </c>
      <c r="C40" s="1" t="s">
        <v>35</v>
      </c>
      <c r="R40" s="5"/>
      <c r="T40" s="8"/>
      <c r="U40" s="8"/>
      <c r="V40" s="8"/>
    </row>
    <row r="41" spans="1:22" x14ac:dyDescent="0.35">
      <c r="A41" s="6">
        <v>6</v>
      </c>
      <c r="B41" s="1">
        <v>42800</v>
      </c>
      <c r="C41" s="1" t="s">
        <v>36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T41" s="8"/>
      <c r="U41" s="8"/>
      <c r="V41" s="8"/>
    </row>
    <row r="42" spans="1:22" x14ac:dyDescent="0.35">
      <c r="A42" s="6">
        <v>7</v>
      </c>
      <c r="B42" s="1">
        <v>42810</v>
      </c>
      <c r="C42" s="1" t="s">
        <v>37</v>
      </c>
      <c r="T42" s="8"/>
      <c r="U42" s="8"/>
      <c r="V42" s="8"/>
    </row>
    <row r="43" spans="1:22" x14ac:dyDescent="0.35">
      <c r="A43" s="6">
        <v>7</v>
      </c>
      <c r="B43" s="1">
        <v>42900</v>
      </c>
      <c r="C43" s="1" t="s">
        <v>38</v>
      </c>
      <c r="T43" s="8"/>
      <c r="U43" s="8"/>
      <c r="V43" s="8"/>
    </row>
    <row r="44" spans="1:22" x14ac:dyDescent="0.35">
      <c r="A44" s="6">
        <v>7</v>
      </c>
      <c r="B44" s="1">
        <v>42905</v>
      </c>
      <c r="C44" s="1" t="s">
        <v>39</v>
      </c>
      <c r="T44" s="8"/>
      <c r="U44" s="8"/>
      <c r="V44" s="8"/>
    </row>
    <row r="45" spans="1:22" x14ac:dyDescent="0.35">
      <c r="A45" s="6">
        <v>7</v>
      </c>
      <c r="B45" s="1">
        <v>43300</v>
      </c>
      <c r="C45" s="1" t="s">
        <v>40</v>
      </c>
      <c r="R45" s="5"/>
      <c r="T45" s="8"/>
      <c r="U45" s="8"/>
      <c r="V45" s="8"/>
    </row>
    <row r="46" spans="1:22" x14ac:dyDescent="0.35">
      <c r="A46" s="6">
        <v>7</v>
      </c>
      <c r="B46" s="1">
        <v>43305</v>
      </c>
      <c r="C46" s="1" t="s">
        <v>41</v>
      </c>
      <c r="T46" s="8"/>
      <c r="U46" s="8"/>
      <c r="V46" s="8"/>
    </row>
    <row r="47" spans="1:22" x14ac:dyDescent="0.35">
      <c r="A47" s="6">
        <v>7</v>
      </c>
      <c r="B47" s="1">
        <v>43325</v>
      </c>
      <c r="C47" s="1" t="s">
        <v>42</v>
      </c>
      <c r="R47" s="5"/>
      <c r="T47" s="8"/>
      <c r="U47" s="8"/>
      <c r="V47" s="8"/>
    </row>
    <row r="48" spans="1:22" x14ac:dyDescent="0.35">
      <c r="A48" s="6">
        <v>7</v>
      </c>
      <c r="B48" s="1">
        <v>43350</v>
      </c>
      <c r="C48" s="1" t="s">
        <v>43</v>
      </c>
      <c r="R48" s="5"/>
      <c r="T48" s="8"/>
      <c r="U48" s="8"/>
      <c r="V48" s="8"/>
    </row>
    <row r="49" spans="1:22" x14ac:dyDescent="0.35">
      <c r="A49" s="6">
        <v>7</v>
      </c>
      <c r="B49" s="1">
        <v>43355</v>
      </c>
      <c r="C49" s="1" t="s">
        <v>44</v>
      </c>
      <c r="T49" s="8"/>
      <c r="U49" s="8"/>
      <c r="V49" s="8"/>
    </row>
    <row r="50" spans="1:22" x14ac:dyDescent="0.35">
      <c r="A50" s="6">
        <v>7</v>
      </c>
      <c r="B50" s="1">
        <v>43375</v>
      </c>
      <c r="C50" s="1" t="s">
        <v>45</v>
      </c>
      <c r="T50" s="8"/>
      <c r="U50" s="8"/>
      <c r="V50" s="8"/>
    </row>
    <row r="51" spans="1:22" x14ac:dyDescent="0.35">
      <c r="A51" s="6">
        <v>7</v>
      </c>
      <c r="B51" s="1">
        <v>43400</v>
      </c>
      <c r="C51" s="1" t="s">
        <v>46</v>
      </c>
      <c r="G51" s="5"/>
      <c r="H51" s="5"/>
      <c r="J51" s="5"/>
      <c r="L51" s="5"/>
      <c r="M51" s="5"/>
      <c r="N51" s="5"/>
      <c r="P51" s="5"/>
      <c r="R51" s="5"/>
      <c r="T51" s="8"/>
      <c r="U51" s="8"/>
      <c r="V51" s="8"/>
    </row>
    <row r="52" spans="1:22" x14ac:dyDescent="0.35">
      <c r="A52" s="6">
        <v>7</v>
      </c>
      <c r="B52" s="1">
        <v>43405</v>
      </c>
      <c r="C52" s="1" t="s">
        <v>47</v>
      </c>
      <c r="T52" s="8"/>
      <c r="U52" s="8"/>
      <c r="V52" s="8"/>
    </row>
    <row r="53" spans="1:22" x14ac:dyDescent="0.35">
      <c r="A53" s="6">
        <v>7</v>
      </c>
      <c r="B53" s="1">
        <v>43410</v>
      </c>
      <c r="C53" s="1" t="s">
        <v>48</v>
      </c>
      <c r="F53" s="5"/>
      <c r="G53" s="5"/>
      <c r="R53" s="5"/>
      <c r="T53" s="8"/>
      <c r="U53" s="8"/>
      <c r="V53" s="8"/>
    </row>
    <row r="54" spans="1:22" x14ac:dyDescent="0.35">
      <c r="A54" s="6">
        <v>7</v>
      </c>
      <c r="B54" s="1">
        <v>43500</v>
      </c>
      <c r="C54" s="1" t="s">
        <v>49</v>
      </c>
      <c r="T54" s="8"/>
      <c r="U54" s="8"/>
      <c r="V54" s="8"/>
    </row>
    <row r="55" spans="1:22" x14ac:dyDescent="0.35">
      <c r="A55" s="6">
        <v>7</v>
      </c>
      <c r="B55" s="1">
        <v>43510</v>
      </c>
      <c r="C55" s="1" t="s">
        <v>50</v>
      </c>
      <c r="Q55" s="5"/>
      <c r="R55" s="5"/>
      <c r="T55" s="8"/>
      <c r="U55" s="8"/>
      <c r="V55" s="8"/>
    </row>
    <row r="56" spans="1:22" x14ac:dyDescent="0.35">
      <c r="A56" s="6">
        <v>7</v>
      </c>
      <c r="B56" s="1">
        <v>43520</v>
      </c>
      <c r="C56" s="1" t="s">
        <v>51</v>
      </c>
      <c r="R56" s="5"/>
      <c r="T56" s="8"/>
      <c r="U56" s="8"/>
      <c r="V56" s="8"/>
    </row>
    <row r="57" spans="1:22" x14ac:dyDescent="0.35">
      <c r="A57" s="6">
        <v>7</v>
      </c>
      <c r="B57" s="1">
        <v>43530</v>
      </c>
      <c r="C57" s="1" t="s">
        <v>52</v>
      </c>
      <c r="T57" s="8"/>
      <c r="U57" s="8"/>
      <c r="V57" s="8"/>
    </row>
    <row r="58" spans="1:22" x14ac:dyDescent="0.35">
      <c r="A58" s="6">
        <v>7</v>
      </c>
      <c r="B58" s="1">
        <v>43540</v>
      </c>
      <c r="C58" s="1" t="s">
        <v>53</v>
      </c>
      <c r="F58" s="5"/>
      <c r="H58" s="5"/>
      <c r="K58" s="5"/>
      <c r="R58" s="5"/>
      <c r="T58" s="8"/>
      <c r="U58" s="8"/>
      <c r="V58" s="8"/>
    </row>
    <row r="59" spans="1:22" x14ac:dyDescent="0.35">
      <c r="A59" s="6">
        <v>7</v>
      </c>
      <c r="B59" s="1">
        <v>43550</v>
      </c>
      <c r="C59" s="1" t="s">
        <v>54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T59" s="8"/>
      <c r="U59" s="8"/>
      <c r="V59" s="8"/>
    </row>
    <row r="60" spans="1:22" x14ac:dyDescent="0.35">
      <c r="A60" s="6">
        <v>7</v>
      </c>
      <c r="B60" s="1">
        <v>43355</v>
      </c>
      <c r="C60" s="1" t="s">
        <v>55</v>
      </c>
      <c r="T60" s="8"/>
      <c r="U60" s="8"/>
      <c r="V60" s="8"/>
    </row>
    <row r="61" spans="1:22" x14ac:dyDescent="0.35">
      <c r="A61" s="6">
        <v>7</v>
      </c>
      <c r="B61" s="1">
        <v>43560</v>
      </c>
      <c r="C61" s="1" t="s">
        <v>56</v>
      </c>
      <c r="T61" s="8"/>
      <c r="U61" s="8"/>
      <c r="V61" s="8"/>
    </row>
    <row r="62" spans="1:22" x14ac:dyDescent="0.35">
      <c r="A62" s="6">
        <v>7</v>
      </c>
      <c r="B62" s="1">
        <v>43570</v>
      </c>
      <c r="C62" s="1" t="s">
        <v>57</v>
      </c>
      <c r="T62" s="8"/>
      <c r="U62" s="8"/>
      <c r="V62" s="8"/>
    </row>
    <row r="63" spans="1:22" x14ac:dyDescent="0.35">
      <c r="A63" s="6">
        <v>7</v>
      </c>
      <c r="B63" s="1">
        <v>43575</v>
      </c>
      <c r="C63" s="1" t="s">
        <v>58</v>
      </c>
      <c r="T63" s="8"/>
      <c r="U63" s="8"/>
      <c r="V63" s="8"/>
    </row>
    <row r="64" spans="1:22" x14ac:dyDescent="0.35">
      <c r="A64" s="6">
        <v>7</v>
      </c>
      <c r="B64" s="1">
        <v>43600</v>
      </c>
      <c r="C64" s="1" t="s">
        <v>59</v>
      </c>
      <c r="T64" s="8"/>
      <c r="U64" s="8"/>
      <c r="V64" s="8"/>
    </row>
    <row r="65" spans="1:22" x14ac:dyDescent="0.35">
      <c r="A65" s="6">
        <v>7</v>
      </c>
      <c r="B65" s="1">
        <v>43610</v>
      </c>
      <c r="C65" s="1" t="s">
        <v>60</v>
      </c>
      <c r="T65" s="8"/>
      <c r="U65" s="8"/>
      <c r="V65" s="8"/>
    </row>
    <row r="66" spans="1:22" x14ac:dyDescent="0.35">
      <c r="A66" s="6">
        <v>7</v>
      </c>
      <c r="B66" s="1">
        <v>44200</v>
      </c>
      <c r="C66" s="1" t="s">
        <v>61</v>
      </c>
      <c r="T66" s="8"/>
      <c r="U66" s="8"/>
      <c r="V66" s="8"/>
    </row>
    <row r="67" spans="1:22" x14ac:dyDescent="0.35">
      <c r="A67" s="6">
        <v>7</v>
      </c>
      <c r="B67" s="1">
        <v>44210</v>
      </c>
      <c r="C67" s="1" t="s">
        <v>62</v>
      </c>
      <c r="T67" s="8"/>
      <c r="U67" s="8"/>
      <c r="V67" s="8"/>
    </row>
    <row r="68" spans="1:22" x14ac:dyDescent="0.35">
      <c r="A68" s="6">
        <v>7</v>
      </c>
      <c r="B68" s="1">
        <v>44500</v>
      </c>
      <c r="C68" s="1" t="s">
        <v>63</v>
      </c>
      <c r="T68" s="8"/>
      <c r="U68" s="8"/>
      <c r="V68" s="8"/>
    </row>
    <row r="69" spans="1:22" x14ac:dyDescent="0.35">
      <c r="A69" s="6">
        <v>7</v>
      </c>
      <c r="B69" s="1">
        <v>44505</v>
      </c>
      <c r="C69" s="1" t="s">
        <v>64</v>
      </c>
      <c r="T69" s="8"/>
      <c r="U69" s="8"/>
      <c r="V69" s="8"/>
    </row>
    <row r="70" spans="1:22" x14ac:dyDescent="0.35">
      <c r="A70" s="6">
        <v>7</v>
      </c>
      <c r="B70" s="1">
        <v>44600</v>
      </c>
      <c r="C70" s="1" t="s">
        <v>65</v>
      </c>
      <c r="T70" s="8"/>
      <c r="U70" s="8"/>
      <c r="V70" s="8"/>
    </row>
    <row r="71" spans="1:22" x14ac:dyDescent="0.35">
      <c r="A71" s="6">
        <v>7</v>
      </c>
      <c r="B71" s="1">
        <v>44605</v>
      </c>
      <c r="C71" s="1" t="s">
        <v>66</v>
      </c>
      <c r="T71" s="8"/>
      <c r="U71" s="8"/>
      <c r="V71" s="8"/>
    </row>
    <row r="72" spans="1:22" x14ac:dyDescent="0.35">
      <c r="A72" s="6">
        <v>7</v>
      </c>
      <c r="B72" s="1">
        <v>44610</v>
      </c>
      <c r="C72" s="1" t="s">
        <v>67</v>
      </c>
      <c r="T72" s="8"/>
      <c r="U72" s="8"/>
      <c r="V72" s="8"/>
    </row>
    <row r="73" spans="1:22" x14ac:dyDescent="0.35">
      <c r="A73" s="6">
        <v>7</v>
      </c>
      <c r="B73" s="1">
        <v>44700</v>
      </c>
      <c r="C73" s="1" t="s">
        <v>68</v>
      </c>
      <c r="T73" s="8"/>
      <c r="U73" s="8"/>
      <c r="V73" s="8"/>
    </row>
    <row r="74" spans="1:22" x14ac:dyDescent="0.35">
      <c r="A74" s="6">
        <v>7</v>
      </c>
      <c r="B74" s="1">
        <v>44750</v>
      </c>
      <c r="C74" s="1" t="s">
        <v>69</v>
      </c>
      <c r="T74" s="8"/>
      <c r="U74" s="8"/>
      <c r="V74" s="8"/>
    </row>
    <row r="75" spans="1:22" x14ac:dyDescent="0.35">
      <c r="A75" s="6">
        <v>7</v>
      </c>
      <c r="B75" s="1">
        <v>44780</v>
      </c>
      <c r="C75" s="1" t="s">
        <v>70</v>
      </c>
      <c r="R75" s="5"/>
      <c r="T75" s="8"/>
      <c r="U75" s="8"/>
      <c r="V75" s="8"/>
    </row>
    <row r="76" spans="1:22" x14ac:dyDescent="0.35">
      <c r="A76" s="6">
        <v>7</v>
      </c>
      <c r="B76" s="1">
        <v>44785</v>
      </c>
      <c r="C76" s="1" t="s">
        <v>71</v>
      </c>
      <c r="T76" s="8"/>
      <c r="U76" s="8"/>
      <c r="V76" s="8"/>
    </row>
    <row r="77" spans="1:22" x14ac:dyDescent="0.35">
      <c r="A77" s="6">
        <v>7</v>
      </c>
      <c r="B77" s="1">
        <v>44790</v>
      </c>
      <c r="C77" s="1" t="s">
        <v>72</v>
      </c>
      <c r="T77" s="8"/>
      <c r="U77" s="8"/>
      <c r="V77" s="8"/>
    </row>
    <row r="78" spans="1:22" x14ac:dyDescent="0.35">
      <c r="A78" s="6">
        <v>7</v>
      </c>
      <c r="B78" s="1">
        <v>44900</v>
      </c>
      <c r="C78" s="1" t="s">
        <v>73</v>
      </c>
      <c r="R78" s="5"/>
      <c r="T78" s="8"/>
      <c r="U78" s="8"/>
      <c r="V78" s="8"/>
    </row>
    <row r="79" spans="1:22" x14ac:dyDescent="0.35">
      <c r="A79" s="6">
        <v>7</v>
      </c>
      <c r="B79" s="1">
        <v>44925</v>
      </c>
      <c r="C79" s="1" t="s">
        <v>74</v>
      </c>
      <c r="T79" s="8"/>
      <c r="U79" s="8"/>
      <c r="V79" s="8"/>
    </row>
    <row r="80" spans="1:22" x14ac:dyDescent="0.35">
      <c r="A80" s="6">
        <v>7</v>
      </c>
      <c r="B80" s="1">
        <v>44950</v>
      </c>
      <c r="C80" s="1" t="s">
        <v>75</v>
      </c>
      <c r="T80" s="8"/>
      <c r="U80" s="8"/>
      <c r="V80" s="8"/>
    </row>
    <row r="81" spans="1:22" x14ac:dyDescent="0.35">
      <c r="A81" s="6">
        <v>7</v>
      </c>
      <c r="B81" s="1">
        <v>44952</v>
      </c>
      <c r="C81" s="1" t="s">
        <v>76</v>
      </c>
      <c r="T81" s="8"/>
      <c r="U81" s="8"/>
      <c r="V81" s="8"/>
    </row>
    <row r="82" spans="1:22" x14ac:dyDescent="0.35">
      <c r="A82" s="6">
        <v>7</v>
      </c>
      <c r="B82" s="1">
        <v>44960</v>
      </c>
      <c r="C82" s="1" t="s">
        <v>77</v>
      </c>
      <c r="T82" s="8"/>
      <c r="U82" s="8"/>
      <c r="V82" s="8"/>
    </row>
    <row r="83" spans="1:22" x14ac:dyDescent="0.35">
      <c r="A83" s="6">
        <v>7</v>
      </c>
      <c r="B83" s="1">
        <v>44965</v>
      </c>
      <c r="C83" s="1" t="s">
        <v>78</v>
      </c>
      <c r="T83" s="8"/>
      <c r="U83" s="8"/>
      <c r="V83" s="8"/>
    </row>
    <row r="84" spans="1:22" x14ac:dyDescent="0.35">
      <c r="A84" s="6">
        <v>7</v>
      </c>
      <c r="B84" s="1">
        <v>44970</v>
      </c>
      <c r="C84" s="1" t="s">
        <v>79</v>
      </c>
      <c r="T84" s="8"/>
      <c r="U84" s="8"/>
      <c r="V84" s="8"/>
    </row>
    <row r="85" spans="1:22" x14ac:dyDescent="0.35">
      <c r="A85" s="6">
        <v>7</v>
      </c>
      <c r="B85" s="1">
        <v>44973</v>
      </c>
      <c r="C85" s="1" t="s">
        <v>39</v>
      </c>
      <c r="R85" s="5"/>
      <c r="T85" s="8"/>
      <c r="U85" s="8"/>
      <c r="V85" s="8"/>
    </row>
    <row r="86" spans="1:22" x14ac:dyDescent="0.35">
      <c r="A86" s="6">
        <v>7</v>
      </c>
      <c r="B86" s="1">
        <v>44975</v>
      </c>
      <c r="C86" s="1" t="s">
        <v>80</v>
      </c>
      <c r="F86" s="5"/>
      <c r="I86" s="5"/>
      <c r="K86" s="5"/>
      <c r="N86" s="5"/>
      <c r="Q86" s="5"/>
      <c r="R86" s="5"/>
      <c r="T86" s="8"/>
      <c r="U86" s="8"/>
      <c r="V86" s="8"/>
    </row>
    <row r="87" spans="1:22" x14ac:dyDescent="0.35">
      <c r="A87" s="6">
        <v>7</v>
      </c>
      <c r="B87" s="1">
        <v>44976</v>
      </c>
      <c r="C87" s="1" t="s">
        <v>81</v>
      </c>
      <c r="T87" s="8"/>
      <c r="U87" s="8"/>
      <c r="V87" s="8"/>
    </row>
    <row r="88" spans="1:22" x14ac:dyDescent="0.35">
      <c r="A88" s="6">
        <v>7</v>
      </c>
      <c r="B88" s="1">
        <v>44980</v>
      </c>
      <c r="C88" s="1" t="s">
        <v>82</v>
      </c>
      <c r="T88" s="8"/>
      <c r="U88" s="8"/>
      <c r="V88" s="8"/>
    </row>
    <row r="89" spans="1:22" x14ac:dyDescent="0.35">
      <c r="A89" s="6">
        <v>7</v>
      </c>
      <c r="B89" s="1">
        <v>45000</v>
      </c>
      <c r="C89" s="1" t="s">
        <v>28</v>
      </c>
      <c r="R89" s="5"/>
      <c r="T89" s="8"/>
      <c r="U89" s="8"/>
      <c r="V89" s="8"/>
    </row>
    <row r="90" spans="1:22" x14ac:dyDescent="0.35">
      <c r="A90" s="6">
        <v>7</v>
      </c>
      <c r="B90" s="1">
        <v>46000</v>
      </c>
      <c r="C90" s="1" t="s">
        <v>83</v>
      </c>
      <c r="T90" s="8"/>
      <c r="U90" s="8"/>
      <c r="V90" s="8"/>
    </row>
    <row r="91" spans="1:22" x14ac:dyDescent="0.35">
      <c r="A91" s="6">
        <v>7</v>
      </c>
      <c r="B91" s="1">
        <v>49998</v>
      </c>
      <c r="C91" s="1" t="s">
        <v>84</v>
      </c>
      <c r="T91" s="8"/>
      <c r="U91" s="8"/>
      <c r="V91" s="8"/>
    </row>
    <row r="92" spans="1:22" x14ac:dyDescent="0.35">
      <c r="A92" s="6">
        <v>7</v>
      </c>
      <c r="B92" s="1">
        <v>49999</v>
      </c>
      <c r="C92" s="1" t="s">
        <v>85</v>
      </c>
      <c r="F92" s="5"/>
      <c r="G92" s="5"/>
      <c r="L92" s="5"/>
      <c r="M92" s="5"/>
      <c r="N92" s="5"/>
      <c r="O92" s="5"/>
      <c r="T92" s="8"/>
      <c r="U92" s="8"/>
      <c r="V92" s="8"/>
    </row>
    <row r="93" spans="1:22" x14ac:dyDescent="0.35">
      <c r="B93" s="12" t="s">
        <v>86</v>
      </c>
      <c r="C93" s="12"/>
      <c r="D93" s="12"/>
      <c r="E93" s="12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T93" s="10"/>
      <c r="U93" s="10"/>
      <c r="V93" s="10"/>
    </row>
    <row r="94" spans="1:22" x14ac:dyDescent="0.35">
      <c r="T94" s="8"/>
      <c r="U94" s="8"/>
      <c r="V94" s="8"/>
    </row>
    <row r="95" spans="1:22" x14ac:dyDescent="0.35">
      <c r="B95" s="14" t="s">
        <v>87</v>
      </c>
      <c r="C95" s="14"/>
      <c r="D95" s="14"/>
      <c r="E95" s="14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4"/>
      <c r="T95" s="11"/>
      <c r="U95" s="11"/>
      <c r="V95" s="11"/>
    </row>
    <row r="96" spans="1:22" x14ac:dyDescent="0.35">
      <c r="T96" s="8"/>
      <c r="U96" s="8"/>
      <c r="V96" s="8"/>
    </row>
    <row r="97" spans="2:22" x14ac:dyDescent="0.35">
      <c r="B97" s="1" t="s">
        <v>88</v>
      </c>
      <c r="T97" s="8"/>
      <c r="U97" s="8"/>
      <c r="V97" s="8"/>
    </row>
    <row r="98" spans="2:22" x14ac:dyDescent="0.35">
      <c r="B98" s="1" t="s">
        <v>89</v>
      </c>
      <c r="T98" s="8"/>
      <c r="U98" s="8"/>
      <c r="V98" s="8"/>
    </row>
    <row r="99" spans="2:22" x14ac:dyDescent="0.35">
      <c r="B99" s="1">
        <v>60000</v>
      </c>
      <c r="C99" s="1" t="s">
        <v>90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T99" s="8"/>
      <c r="U99" s="8"/>
      <c r="V99" s="8"/>
    </row>
    <row r="100" spans="2:22" x14ac:dyDescent="0.35">
      <c r="B100" s="1">
        <v>60040</v>
      </c>
      <c r="C100" s="1" t="s">
        <v>91</v>
      </c>
      <c r="L100" s="5"/>
      <c r="M100" s="5"/>
      <c r="N100" s="5"/>
      <c r="R100" s="5"/>
      <c r="T100" s="8"/>
      <c r="U100" s="8"/>
      <c r="V100" s="8"/>
    </row>
    <row r="101" spans="2:22" x14ac:dyDescent="0.35">
      <c r="B101" s="1">
        <v>60050</v>
      </c>
      <c r="C101" s="1" t="s">
        <v>92</v>
      </c>
      <c r="T101" s="8"/>
      <c r="U101" s="8"/>
      <c r="V101" s="8"/>
    </row>
    <row r="102" spans="2:22" x14ac:dyDescent="0.35">
      <c r="B102" s="1">
        <v>60055</v>
      </c>
      <c r="C102" s="1" t="s">
        <v>93</v>
      </c>
      <c r="R102" s="5"/>
      <c r="T102" s="8"/>
      <c r="U102" s="8"/>
      <c r="V102" s="8"/>
    </row>
    <row r="103" spans="2:22" x14ac:dyDescent="0.35">
      <c r="B103" s="1">
        <v>60100</v>
      </c>
      <c r="C103" s="1" t="s">
        <v>94</v>
      </c>
      <c r="T103" s="8"/>
      <c r="U103" s="8"/>
      <c r="V103" s="8"/>
    </row>
    <row r="104" spans="2:22" x14ac:dyDescent="0.35">
      <c r="B104" s="1">
        <v>60200</v>
      </c>
      <c r="C104" s="1" t="s">
        <v>95</v>
      </c>
      <c r="Q104" s="5"/>
      <c r="R104" s="5"/>
      <c r="T104" s="8"/>
      <c r="U104" s="8"/>
      <c r="V104" s="8"/>
    </row>
    <row r="105" spans="2:22" x14ac:dyDescent="0.35">
      <c r="B105" s="1">
        <v>60210</v>
      </c>
      <c r="C105" s="1" t="s">
        <v>96</v>
      </c>
      <c r="M105" s="5"/>
      <c r="R105" s="5"/>
      <c r="T105" s="8"/>
      <c r="U105" s="8"/>
      <c r="V105" s="8"/>
    </row>
    <row r="106" spans="2:22" x14ac:dyDescent="0.35">
      <c r="B106" s="1">
        <v>60250</v>
      </c>
      <c r="C106" s="1" t="s">
        <v>97</v>
      </c>
      <c r="T106" s="8"/>
      <c r="U106" s="8"/>
      <c r="V106" s="8"/>
    </row>
    <row r="107" spans="2:22" x14ac:dyDescent="0.35">
      <c r="B107" s="1">
        <v>60300</v>
      </c>
      <c r="C107" s="1" t="s">
        <v>98</v>
      </c>
      <c r="T107" s="8"/>
      <c r="U107" s="8"/>
      <c r="V107" s="8"/>
    </row>
    <row r="108" spans="2:22" x14ac:dyDescent="0.35">
      <c r="B108" s="1">
        <v>60310</v>
      </c>
      <c r="C108" s="1" t="s">
        <v>99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T108" s="8"/>
      <c r="U108" s="8"/>
      <c r="V108" s="8"/>
    </row>
    <row r="109" spans="2:22" x14ac:dyDescent="0.35">
      <c r="B109" s="1">
        <v>60350</v>
      </c>
      <c r="C109" s="1" t="s">
        <v>100</v>
      </c>
      <c r="T109" s="8"/>
      <c r="U109" s="8"/>
      <c r="V109" s="8"/>
    </row>
    <row r="110" spans="2:22" x14ac:dyDescent="0.35">
      <c r="B110" s="1">
        <v>60355</v>
      </c>
      <c r="C110" s="1" t="s">
        <v>101</v>
      </c>
      <c r="K110" s="5"/>
      <c r="L110" s="5"/>
      <c r="M110" s="5"/>
      <c r="N110" s="5"/>
      <c r="O110" s="5"/>
      <c r="P110" s="5"/>
      <c r="Q110" s="5"/>
      <c r="R110" s="5"/>
      <c r="T110" s="8"/>
      <c r="U110" s="8"/>
      <c r="V110" s="8"/>
    </row>
    <row r="111" spans="2:22" x14ac:dyDescent="0.35">
      <c r="B111" s="1">
        <v>60400</v>
      </c>
      <c r="C111" s="1" t="s">
        <v>102</v>
      </c>
      <c r="R111" s="5"/>
      <c r="T111" s="8"/>
      <c r="U111" s="8"/>
      <c r="V111" s="8"/>
    </row>
    <row r="112" spans="2:22" x14ac:dyDescent="0.35">
      <c r="B112" s="1">
        <v>60533</v>
      </c>
      <c r="C112" s="1" t="s">
        <v>103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T112" s="8"/>
      <c r="U112" s="8"/>
      <c r="V112" s="8"/>
    </row>
    <row r="113" spans="1:22" x14ac:dyDescent="0.35">
      <c r="B113" s="1">
        <v>60537</v>
      </c>
      <c r="C113" s="1" t="s">
        <v>104</v>
      </c>
      <c r="T113" s="8"/>
      <c r="U113" s="8"/>
      <c r="V113" s="8"/>
    </row>
    <row r="114" spans="1:22" x14ac:dyDescent="0.35">
      <c r="B114" s="1">
        <v>60600</v>
      </c>
      <c r="C114" s="1" t="s">
        <v>105</v>
      </c>
      <c r="T114" s="8"/>
      <c r="U114" s="8"/>
      <c r="V114" s="8"/>
    </row>
    <row r="115" spans="1:22" x14ac:dyDescent="0.35">
      <c r="A115" s="7">
        <v>8</v>
      </c>
      <c r="B115" s="12" t="s">
        <v>106</v>
      </c>
      <c r="C115" s="12"/>
      <c r="D115" s="12"/>
      <c r="E115" s="12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T115" s="10"/>
      <c r="U115" s="10"/>
      <c r="V115" s="10"/>
    </row>
    <row r="116" spans="1:22" x14ac:dyDescent="0.35">
      <c r="A116" s="7"/>
      <c r="T116" s="8"/>
      <c r="U116" s="8"/>
      <c r="V116" s="8"/>
    </row>
    <row r="117" spans="1:22" x14ac:dyDescent="0.35">
      <c r="A117" s="7"/>
      <c r="B117" s="1" t="s">
        <v>107</v>
      </c>
      <c r="T117" s="8"/>
      <c r="U117" s="8"/>
      <c r="V117" s="8"/>
    </row>
    <row r="118" spans="1:22" x14ac:dyDescent="0.35">
      <c r="A118" s="7"/>
      <c r="B118" s="1">
        <v>61000</v>
      </c>
      <c r="C118" s="1" t="s">
        <v>108</v>
      </c>
      <c r="J118" s="5"/>
      <c r="K118" s="5"/>
      <c r="L118" s="5"/>
      <c r="N118" s="5"/>
      <c r="R118" s="5"/>
      <c r="T118" s="8"/>
      <c r="U118" s="8"/>
      <c r="V118" s="8"/>
    </row>
    <row r="119" spans="1:22" x14ac:dyDescent="0.35">
      <c r="A119" s="7"/>
      <c r="B119" s="1">
        <v>61005</v>
      </c>
      <c r="C119" s="1" t="s">
        <v>109</v>
      </c>
      <c r="F119" s="5"/>
      <c r="H119" s="5"/>
      <c r="I119" s="5"/>
      <c r="J119" s="5"/>
      <c r="K119" s="5"/>
      <c r="L119" s="5"/>
      <c r="M119" s="5"/>
      <c r="N119" s="5"/>
      <c r="O119" s="5"/>
      <c r="Q119" s="5"/>
      <c r="R119" s="5"/>
      <c r="T119" s="8"/>
      <c r="U119" s="8"/>
      <c r="V119" s="8"/>
    </row>
    <row r="120" spans="1:22" x14ac:dyDescent="0.35">
      <c r="A120" s="7"/>
      <c r="B120" s="1">
        <v>61010</v>
      </c>
      <c r="C120" s="1" t="s">
        <v>110</v>
      </c>
      <c r="R120" s="5"/>
      <c r="T120" s="8"/>
      <c r="U120" s="8"/>
      <c r="V120" s="8"/>
    </row>
    <row r="121" spans="1:22" x14ac:dyDescent="0.35">
      <c r="A121" s="7"/>
      <c r="B121" s="1">
        <v>61015</v>
      </c>
      <c r="C121" s="1" t="s">
        <v>111</v>
      </c>
      <c r="T121" s="8"/>
      <c r="U121" s="8"/>
      <c r="V121" s="8"/>
    </row>
    <row r="122" spans="1:22" x14ac:dyDescent="0.35">
      <c r="A122" s="7"/>
      <c r="B122" s="1">
        <v>61020</v>
      </c>
      <c r="C122" s="1" t="s">
        <v>112</v>
      </c>
      <c r="T122" s="8"/>
      <c r="U122" s="8"/>
      <c r="V122" s="8"/>
    </row>
    <row r="123" spans="1:22" x14ac:dyDescent="0.35">
      <c r="A123" s="7"/>
      <c r="B123" s="1">
        <v>61025</v>
      </c>
      <c r="C123" s="1" t="s">
        <v>113</v>
      </c>
      <c r="R123" s="5"/>
      <c r="T123" s="8"/>
      <c r="U123" s="8"/>
      <c r="V123" s="8"/>
    </row>
    <row r="124" spans="1:22" x14ac:dyDescent="0.35">
      <c r="B124" s="1">
        <v>61026</v>
      </c>
      <c r="C124" s="1" t="s">
        <v>114</v>
      </c>
      <c r="M124" s="5"/>
      <c r="O124" s="5"/>
      <c r="Q124" s="5"/>
      <c r="R124" s="5"/>
      <c r="T124" s="8"/>
      <c r="U124" s="8"/>
      <c r="V124" s="8"/>
    </row>
    <row r="125" spans="1:22" x14ac:dyDescent="0.35">
      <c r="A125" s="7"/>
      <c r="B125" s="1">
        <v>61030</v>
      </c>
      <c r="C125" s="1" t="s">
        <v>115</v>
      </c>
      <c r="T125" s="8"/>
      <c r="U125" s="8"/>
      <c r="V125" s="8"/>
    </row>
    <row r="126" spans="1:22" x14ac:dyDescent="0.35">
      <c r="A126" s="7">
        <v>13</v>
      </c>
      <c r="B126" s="12" t="s">
        <v>116</v>
      </c>
      <c r="C126" s="12"/>
      <c r="D126" s="12"/>
      <c r="E126" s="12"/>
      <c r="F126" s="13"/>
      <c r="G126" s="16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T126" s="10"/>
      <c r="U126" s="10"/>
      <c r="V126" s="10"/>
    </row>
    <row r="127" spans="1:22" x14ac:dyDescent="0.35">
      <c r="A127" s="7"/>
      <c r="T127" s="8"/>
      <c r="U127" s="8"/>
      <c r="V127" s="8"/>
    </row>
    <row r="128" spans="1:22" x14ac:dyDescent="0.35">
      <c r="A128" s="7"/>
      <c r="B128" s="1" t="s">
        <v>117</v>
      </c>
      <c r="T128" s="8"/>
      <c r="U128" s="8"/>
      <c r="V128" s="8"/>
    </row>
    <row r="129" spans="1:22" x14ac:dyDescent="0.35">
      <c r="A129" s="7"/>
      <c r="B129" s="1">
        <v>62000</v>
      </c>
      <c r="C129" s="1" t="s">
        <v>118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T129" s="8"/>
      <c r="U129" s="8"/>
      <c r="V129" s="8"/>
    </row>
    <row r="130" spans="1:22" x14ac:dyDescent="0.35">
      <c r="A130" s="7"/>
      <c r="B130" s="1">
        <v>62010</v>
      </c>
      <c r="C130" s="1" t="s">
        <v>119</v>
      </c>
      <c r="T130" s="8"/>
      <c r="U130" s="8"/>
      <c r="V130" s="8"/>
    </row>
    <row r="131" spans="1:22" x14ac:dyDescent="0.35">
      <c r="A131" s="7"/>
      <c r="B131" s="1">
        <v>62020</v>
      </c>
      <c r="C131" s="1" t="s">
        <v>120</v>
      </c>
      <c r="J131" s="5"/>
      <c r="K131" s="5"/>
      <c r="L131" s="5"/>
      <c r="M131" s="5"/>
      <c r="N131" s="5"/>
      <c r="O131" s="5"/>
      <c r="P131" s="5"/>
      <c r="Q131" s="5"/>
      <c r="R131" s="5"/>
      <c r="T131" s="8"/>
      <c r="U131" s="8"/>
      <c r="V131" s="8"/>
    </row>
    <row r="132" spans="1:22" x14ac:dyDescent="0.35">
      <c r="A132" s="7"/>
      <c r="B132" s="1">
        <v>62100</v>
      </c>
      <c r="C132" s="1" t="s">
        <v>121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T132" s="8"/>
      <c r="U132" s="8"/>
      <c r="V132" s="8"/>
    </row>
    <row r="133" spans="1:22" x14ac:dyDescent="0.35">
      <c r="A133" s="7"/>
      <c r="B133" s="1">
        <v>62200</v>
      </c>
      <c r="C133" s="1" t="s">
        <v>122</v>
      </c>
      <c r="T133" s="8"/>
      <c r="U133" s="8"/>
      <c r="V133" s="8"/>
    </row>
    <row r="134" spans="1:22" x14ac:dyDescent="0.35">
      <c r="B134" s="1">
        <v>62250</v>
      </c>
      <c r="C134" s="1" t="s">
        <v>123</v>
      </c>
      <c r="T134" s="8"/>
      <c r="U134" s="8"/>
      <c r="V134" s="8"/>
    </row>
    <row r="135" spans="1:22" x14ac:dyDescent="0.35">
      <c r="B135" s="1">
        <v>62300</v>
      </c>
      <c r="C135" s="1" t="s">
        <v>124</v>
      </c>
      <c r="T135" s="8"/>
      <c r="U135" s="8"/>
      <c r="V135" s="8"/>
    </row>
    <row r="136" spans="1:22" x14ac:dyDescent="0.35">
      <c r="B136" s="1">
        <v>62400</v>
      </c>
      <c r="C136" s="1" t="s">
        <v>125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T136" s="8"/>
      <c r="U136" s="8"/>
      <c r="V136" s="8"/>
    </row>
    <row r="137" spans="1:22" x14ac:dyDescent="0.35">
      <c r="B137" s="1">
        <v>62405</v>
      </c>
      <c r="C137" s="1" t="s">
        <v>126</v>
      </c>
      <c r="T137" s="8"/>
      <c r="U137" s="8"/>
      <c r="V137" s="8"/>
    </row>
    <row r="138" spans="1:22" x14ac:dyDescent="0.35">
      <c r="B138" s="1">
        <v>62500</v>
      </c>
      <c r="C138" s="1" t="s">
        <v>127</v>
      </c>
      <c r="R138" s="5"/>
      <c r="T138" s="8"/>
      <c r="U138" s="8"/>
      <c r="V138" s="8"/>
    </row>
    <row r="139" spans="1:22" x14ac:dyDescent="0.35">
      <c r="B139" s="1">
        <v>62505</v>
      </c>
      <c r="C139" s="1" t="s">
        <v>128</v>
      </c>
      <c r="T139" s="8"/>
      <c r="U139" s="8"/>
      <c r="V139" s="8"/>
    </row>
    <row r="140" spans="1:22" x14ac:dyDescent="0.35">
      <c r="B140" s="1">
        <v>62510</v>
      </c>
      <c r="C140" s="1" t="s">
        <v>129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T140" s="8"/>
      <c r="U140" s="8"/>
      <c r="V140" s="8"/>
    </row>
    <row r="141" spans="1:22" x14ac:dyDescent="0.35">
      <c r="B141" s="1">
        <v>62520</v>
      </c>
      <c r="C141" s="1" t="s">
        <v>130</v>
      </c>
      <c r="T141" s="8"/>
      <c r="U141" s="8"/>
      <c r="V141" s="8"/>
    </row>
    <row r="142" spans="1:22" x14ac:dyDescent="0.35">
      <c r="B142" s="1">
        <v>62550</v>
      </c>
      <c r="C142" s="1" t="s">
        <v>131</v>
      </c>
      <c r="T142" s="8"/>
      <c r="U142" s="8"/>
      <c r="V142" s="8"/>
    </row>
    <row r="143" spans="1:22" x14ac:dyDescent="0.35">
      <c r="A143" s="7">
        <v>14</v>
      </c>
      <c r="B143" s="12" t="s">
        <v>132</v>
      </c>
      <c r="C143" s="12"/>
      <c r="D143" s="12"/>
      <c r="E143" s="12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T143" s="10"/>
      <c r="U143" s="10"/>
      <c r="V143" s="10"/>
    </row>
    <row r="144" spans="1:22" x14ac:dyDescent="0.35">
      <c r="A144" s="7"/>
      <c r="T144" s="8"/>
      <c r="U144" s="8"/>
      <c r="V144" s="8"/>
    </row>
    <row r="145" spans="1:22" x14ac:dyDescent="0.35">
      <c r="A145" s="7"/>
      <c r="B145" s="1" t="s">
        <v>133</v>
      </c>
      <c r="T145" s="8"/>
      <c r="U145" s="8"/>
      <c r="V145" s="8"/>
    </row>
    <row r="146" spans="1:22" x14ac:dyDescent="0.35">
      <c r="A146" s="7"/>
      <c r="B146" s="1">
        <v>63000</v>
      </c>
      <c r="C146" s="1" t="s">
        <v>134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T146" s="8"/>
      <c r="U146" s="8"/>
      <c r="V146" s="8"/>
    </row>
    <row r="147" spans="1:22" x14ac:dyDescent="0.35">
      <c r="A147" s="7"/>
      <c r="B147" s="1">
        <v>63050</v>
      </c>
      <c r="C147" s="1" t="s">
        <v>135</v>
      </c>
      <c r="T147" s="8"/>
      <c r="U147" s="8"/>
      <c r="V147" s="8"/>
    </row>
    <row r="148" spans="1:22" x14ac:dyDescent="0.35">
      <c r="B148" s="1">
        <v>63100</v>
      </c>
      <c r="C148" s="1" t="s">
        <v>136</v>
      </c>
      <c r="H148" s="5"/>
      <c r="N148" s="5"/>
      <c r="R148" s="5"/>
      <c r="T148" s="8"/>
      <c r="U148" s="8"/>
      <c r="V148" s="8"/>
    </row>
    <row r="149" spans="1:22" x14ac:dyDescent="0.35">
      <c r="A149" s="7"/>
      <c r="B149" s="1">
        <v>63200</v>
      </c>
      <c r="C149" s="1" t="s">
        <v>137</v>
      </c>
      <c r="T149" s="8"/>
      <c r="U149" s="8"/>
      <c r="V149" s="8"/>
    </row>
    <row r="150" spans="1:22" x14ac:dyDescent="0.35">
      <c r="A150" s="7"/>
      <c r="B150" s="1">
        <v>63300</v>
      </c>
      <c r="C150" s="1" t="s">
        <v>138</v>
      </c>
      <c r="T150" s="8"/>
      <c r="U150" s="8"/>
      <c r="V150" s="8"/>
    </row>
    <row r="151" spans="1:22" x14ac:dyDescent="0.35">
      <c r="A151" s="7"/>
      <c r="B151" s="1">
        <v>63400</v>
      </c>
      <c r="C151" s="1" t="s">
        <v>139</v>
      </c>
      <c r="T151" s="8"/>
      <c r="U151" s="8"/>
      <c r="V151" s="8"/>
    </row>
    <row r="152" spans="1:22" x14ac:dyDescent="0.35">
      <c r="A152" s="7">
        <v>17</v>
      </c>
      <c r="B152" s="12" t="s">
        <v>140</v>
      </c>
      <c r="C152" s="12"/>
      <c r="D152" s="12"/>
      <c r="E152" s="12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T152" s="10"/>
      <c r="U152" s="10"/>
      <c r="V152" s="10"/>
    </row>
    <row r="153" spans="1:22" x14ac:dyDescent="0.35">
      <c r="A153" s="7"/>
      <c r="T153" s="8"/>
      <c r="U153" s="8"/>
      <c r="V153" s="8"/>
    </row>
    <row r="154" spans="1:22" x14ac:dyDescent="0.35">
      <c r="A154" s="7"/>
      <c r="B154" s="1" t="s">
        <v>141</v>
      </c>
      <c r="T154" s="8"/>
      <c r="U154" s="8"/>
      <c r="V154" s="8"/>
    </row>
    <row r="155" spans="1:22" x14ac:dyDescent="0.35">
      <c r="A155" s="7"/>
      <c r="B155" s="1">
        <v>63500</v>
      </c>
      <c r="C155" s="1" t="s">
        <v>142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T155" s="8"/>
      <c r="U155" s="8"/>
      <c r="V155" s="8"/>
    </row>
    <row r="156" spans="1:22" x14ac:dyDescent="0.35">
      <c r="A156" s="7"/>
      <c r="B156" s="1">
        <v>63501</v>
      </c>
      <c r="C156" s="1" t="s">
        <v>143</v>
      </c>
      <c r="T156" s="8"/>
      <c r="U156" s="8"/>
      <c r="V156" s="8"/>
    </row>
    <row r="157" spans="1:22" x14ac:dyDescent="0.35">
      <c r="B157" s="1">
        <v>63510</v>
      </c>
      <c r="C157" s="1" t="s">
        <v>144</v>
      </c>
      <c r="R157" s="5"/>
      <c r="T157" s="8"/>
      <c r="U157" s="8"/>
      <c r="V157" s="8"/>
    </row>
    <row r="158" spans="1:22" x14ac:dyDescent="0.35">
      <c r="A158" s="7"/>
      <c r="B158" s="1">
        <v>63520</v>
      </c>
      <c r="C158" s="1" t="s">
        <v>145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T158" s="8"/>
      <c r="U158" s="8"/>
      <c r="V158" s="8"/>
    </row>
    <row r="159" spans="1:22" x14ac:dyDescent="0.35">
      <c r="A159" s="7"/>
      <c r="B159" s="1">
        <v>63525</v>
      </c>
      <c r="C159" s="1" t="s">
        <v>146</v>
      </c>
      <c r="T159" s="8"/>
      <c r="U159" s="8"/>
      <c r="V159" s="8"/>
    </row>
    <row r="160" spans="1:22" x14ac:dyDescent="0.35">
      <c r="A160" s="7"/>
      <c r="B160" s="1">
        <v>63530</v>
      </c>
      <c r="C160" s="1" t="s">
        <v>147</v>
      </c>
      <c r="R160" s="5"/>
      <c r="T160" s="8"/>
      <c r="U160" s="8"/>
      <c r="V160" s="8"/>
    </row>
    <row r="161" spans="1:22" x14ac:dyDescent="0.35">
      <c r="A161" s="7"/>
      <c r="B161" s="1">
        <v>63540</v>
      </c>
      <c r="C161" s="1" t="s">
        <v>148</v>
      </c>
      <c r="T161" s="8"/>
      <c r="U161" s="8"/>
      <c r="V161" s="8"/>
    </row>
    <row r="162" spans="1:22" x14ac:dyDescent="0.35">
      <c r="A162" s="7"/>
      <c r="B162" s="1">
        <v>63541</v>
      </c>
      <c r="C162" s="1" t="s">
        <v>149</v>
      </c>
      <c r="T162" s="8"/>
      <c r="U162" s="8"/>
      <c r="V162" s="8"/>
    </row>
    <row r="163" spans="1:22" x14ac:dyDescent="0.35">
      <c r="A163" s="7"/>
      <c r="B163" s="1">
        <v>63550</v>
      </c>
      <c r="C163" s="1" t="s">
        <v>150</v>
      </c>
      <c r="T163" s="8"/>
      <c r="U163" s="8"/>
      <c r="V163" s="8"/>
    </row>
    <row r="164" spans="1:22" x14ac:dyDescent="0.35">
      <c r="A164" s="7"/>
      <c r="B164" s="1">
        <v>63560</v>
      </c>
      <c r="C164" s="1" t="s">
        <v>151</v>
      </c>
      <c r="T164" s="8"/>
      <c r="U164" s="8"/>
      <c r="V164" s="8"/>
    </row>
    <row r="165" spans="1:22" x14ac:dyDescent="0.35">
      <c r="A165" s="7"/>
      <c r="B165" s="1">
        <v>63565</v>
      </c>
      <c r="C165" s="1" t="s">
        <v>152</v>
      </c>
      <c r="T165" s="8"/>
      <c r="U165" s="8"/>
      <c r="V165" s="8"/>
    </row>
    <row r="166" spans="1:22" x14ac:dyDescent="0.35">
      <c r="A166" s="7"/>
      <c r="B166" s="1">
        <v>63570</v>
      </c>
      <c r="C166" s="1" t="s">
        <v>153</v>
      </c>
      <c r="T166" s="8"/>
      <c r="U166" s="8"/>
      <c r="V166" s="8"/>
    </row>
    <row r="167" spans="1:22" x14ac:dyDescent="0.35">
      <c r="A167" s="7"/>
      <c r="B167" s="1">
        <v>63571</v>
      </c>
      <c r="C167" s="1" t="s">
        <v>154</v>
      </c>
      <c r="T167" s="8"/>
      <c r="U167" s="8"/>
      <c r="V167" s="8"/>
    </row>
    <row r="168" spans="1:22" x14ac:dyDescent="0.35">
      <c r="A168" s="7"/>
      <c r="B168" s="1">
        <v>63572</v>
      </c>
      <c r="C168" s="1" t="s">
        <v>155</v>
      </c>
      <c r="T168" s="8"/>
      <c r="U168" s="8"/>
      <c r="V168" s="8"/>
    </row>
    <row r="169" spans="1:22" x14ac:dyDescent="0.35">
      <c r="A169" s="7"/>
      <c r="B169" s="1">
        <v>63573</v>
      </c>
      <c r="C169" s="1" t="s">
        <v>156</v>
      </c>
      <c r="T169" s="8"/>
      <c r="U169" s="8"/>
      <c r="V169" s="8"/>
    </row>
    <row r="170" spans="1:22" x14ac:dyDescent="0.35">
      <c r="A170" s="7"/>
      <c r="B170" s="1">
        <v>63575</v>
      </c>
      <c r="C170" s="1" t="s">
        <v>157</v>
      </c>
      <c r="T170" s="8"/>
      <c r="U170" s="8"/>
      <c r="V170" s="8"/>
    </row>
    <row r="171" spans="1:22" x14ac:dyDescent="0.35">
      <c r="A171" s="7"/>
      <c r="B171" s="1">
        <v>63576</v>
      </c>
      <c r="C171" s="1" t="s">
        <v>158</v>
      </c>
      <c r="T171" s="8"/>
      <c r="U171" s="8"/>
      <c r="V171" s="8"/>
    </row>
    <row r="172" spans="1:22" x14ac:dyDescent="0.35">
      <c r="A172" s="7"/>
      <c r="B172" s="1">
        <v>63577</v>
      </c>
      <c r="C172" s="1" t="s">
        <v>159</v>
      </c>
      <c r="T172" s="8"/>
      <c r="U172" s="8"/>
      <c r="V172" s="8"/>
    </row>
    <row r="173" spans="1:22" x14ac:dyDescent="0.35">
      <c r="A173" s="7"/>
      <c r="B173" s="1">
        <v>63580</v>
      </c>
      <c r="C173" s="1" t="s">
        <v>160</v>
      </c>
      <c r="T173" s="8"/>
      <c r="U173" s="8"/>
      <c r="V173" s="8"/>
    </row>
    <row r="174" spans="1:22" x14ac:dyDescent="0.35">
      <c r="A174" s="7"/>
      <c r="B174" s="1">
        <v>63584</v>
      </c>
      <c r="C174" s="1" t="s">
        <v>161</v>
      </c>
      <c r="T174" s="8"/>
      <c r="U174" s="8"/>
      <c r="V174" s="8"/>
    </row>
    <row r="175" spans="1:22" x14ac:dyDescent="0.35">
      <c r="A175" s="7"/>
      <c r="B175" s="1">
        <v>63585</v>
      </c>
      <c r="C175" s="1" t="s">
        <v>162</v>
      </c>
      <c r="L175" s="5"/>
      <c r="R175" s="5"/>
      <c r="T175" s="8"/>
      <c r="U175" s="8"/>
      <c r="V175" s="8"/>
    </row>
    <row r="176" spans="1:22" x14ac:dyDescent="0.35">
      <c r="A176" s="7"/>
      <c r="B176" s="1">
        <v>63586</v>
      </c>
      <c r="C176" s="1" t="s">
        <v>163</v>
      </c>
      <c r="T176" s="8"/>
      <c r="U176" s="8"/>
      <c r="V176" s="8"/>
    </row>
    <row r="177" spans="1:22" x14ac:dyDescent="0.35">
      <c r="B177" s="1">
        <v>63590</v>
      </c>
      <c r="C177" s="1" t="s">
        <v>164</v>
      </c>
      <c r="T177" s="8"/>
      <c r="U177" s="8"/>
      <c r="V177" s="8"/>
    </row>
    <row r="178" spans="1:22" x14ac:dyDescent="0.35">
      <c r="A178" s="7">
        <v>12</v>
      </c>
      <c r="B178" s="12" t="s">
        <v>165</v>
      </c>
      <c r="C178" s="12"/>
      <c r="D178" s="12"/>
      <c r="E178" s="12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T178" s="10"/>
      <c r="U178" s="10"/>
      <c r="V178" s="10"/>
    </row>
    <row r="179" spans="1:22" x14ac:dyDescent="0.35">
      <c r="A179" s="7"/>
      <c r="T179" s="8"/>
      <c r="U179" s="8"/>
      <c r="V179" s="8"/>
    </row>
    <row r="180" spans="1:22" x14ac:dyDescent="0.35">
      <c r="A180" s="7"/>
      <c r="B180" s="1" t="s">
        <v>166</v>
      </c>
      <c r="T180" s="8"/>
      <c r="U180" s="8"/>
      <c r="V180" s="8"/>
    </row>
    <row r="181" spans="1:22" x14ac:dyDescent="0.35">
      <c r="A181" s="7"/>
      <c r="B181" s="1">
        <v>64000</v>
      </c>
      <c r="C181" s="1" t="s">
        <v>166</v>
      </c>
      <c r="T181" s="8"/>
      <c r="U181" s="8"/>
      <c r="V181" s="8"/>
    </row>
    <row r="182" spans="1:22" x14ac:dyDescent="0.35">
      <c r="A182" s="7"/>
      <c r="B182" s="1">
        <v>64200</v>
      </c>
      <c r="C182" s="1" t="s">
        <v>167</v>
      </c>
      <c r="R182" s="5"/>
      <c r="T182" s="8"/>
      <c r="U182" s="8"/>
      <c r="V182" s="8"/>
    </row>
    <row r="183" spans="1:22" x14ac:dyDescent="0.35">
      <c r="A183" s="7"/>
      <c r="B183" s="1">
        <v>64250</v>
      </c>
      <c r="C183" s="1" t="s">
        <v>168</v>
      </c>
      <c r="T183" s="8"/>
      <c r="U183" s="8"/>
      <c r="V183" s="8"/>
    </row>
    <row r="184" spans="1:22" x14ac:dyDescent="0.35">
      <c r="A184" s="7"/>
      <c r="B184" s="1">
        <v>64300</v>
      </c>
      <c r="C184" s="1" t="s">
        <v>169</v>
      </c>
      <c r="T184" s="8"/>
      <c r="U184" s="8"/>
      <c r="V184" s="8"/>
    </row>
    <row r="185" spans="1:22" x14ac:dyDescent="0.35">
      <c r="A185" s="7"/>
      <c r="B185" s="1">
        <v>64310</v>
      </c>
      <c r="C185" s="1" t="s">
        <v>170</v>
      </c>
      <c r="R185" s="5"/>
      <c r="T185" s="8"/>
      <c r="U185" s="8"/>
      <c r="V185" s="8"/>
    </row>
    <row r="186" spans="1:22" x14ac:dyDescent="0.35">
      <c r="A186" s="7"/>
      <c r="B186" s="1">
        <v>64320</v>
      </c>
      <c r="C186" s="1" t="s">
        <v>171</v>
      </c>
      <c r="T186" s="8"/>
      <c r="U186" s="8"/>
      <c r="V186" s="8"/>
    </row>
    <row r="187" spans="1:22" x14ac:dyDescent="0.35">
      <c r="A187" s="7"/>
      <c r="B187" s="1">
        <v>64330</v>
      </c>
      <c r="C187" s="1" t="s">
        <v>172</v>
      </c>
      <c r="T187" s="8"/>
      <c r="U187" s="8"/>
      <c r="V187" s="8"/>
    </row>
    <row r="188" spans="1:22" x14ac:dyDescent="0.35">
      <c r="A188" s="7"/>
      <c r="B188" s="1">
        <v>64350</v>
      </c>
      <c r="C188" s="1" t="s">
        <v>173</v>
      </c>
      <c r="T188" s="8"/>
      <c r="U188" s="8"/>
      <c r="V188" s="8"/>
    </row>
    <row r="189" spans="1:22" x14ac:dyDescent="0.35">
      <c r="B189" s="1">
        <v>64351</v>
      </c>
      <c r="C189" s="1" t="s">
        <v>174</v>
      </c>
      <c r="T189" s="8"/>
      <c r="U189" s="8"/>
      <c r="V189" s="8"/>
    </row>
    <row r="190" spans="1:22" x14ac:dyDescent="0.35">
      <c r="A190" s="7"/>
      <c r="B190" s="1">
        <v>64352</v>
      </c>
      <c r="C190" s="1" t="s">
        <v>175</v>
      </c>
      <c r="T190" s="8"/>
      <c r="U190" s="8"/>
      <c r="V190" s="8"/>
    </row>
    <row r="191" spans="1:22" x14ac:dyDescent="0.35">
      <c r="A191" s="7"/>
      <c r="B191" s="1">
        <v>64355</v>
      </c>
      <c r="C191" s="1" t="s">
        <v>176</v>
      </c>
      <c r="R191" s="5"/>
      <c r="T191" s="8"/>
      <c r="U191" s="8"/>
      <c r="V191" s="8"/>
    </row>
    <row r="192" spans="1:22" x14ac:dyDescent="0.35">
      <c r="A192" s="7"/>
      <c r="B192" s="1">
        <v>64360</v>
      </c>
      <c r="C192" s="1" t="s">
        <v>177</v>
      </c>
      <c r="T192" s="8"/>
      <c r="U192" s="8"/>
      <c r="V192" s="8"/>
    </row>
    <row r="193" spans="1:22" x14ac:dyDescent="0.35">
      <c r="A193" s="7"/>
      <c r="B193" s="1">
        <v>64362</v>
      </c>
      <c r="C193" s="1" t="s">
        <v>178</v>
      </c>
      <c r="T193" s="8"/>
      <c r="U193" s="8"/>
      <c r="V193" s="8"/>
    </row>
    <row r="194" spans="1:22" x14ac:dyDescent="0.35">
      <c r="A194" s="7"/>
      <c r="B194" s="1">
        <v>64370</v>
      </c>
      <c r="C194" s="1" t="s">
        <v>179</v>
      </c>
      <c r="T194" s="8"/>
      <c r="U194" s="8"/>
      <c r="V194" s="8"/>
    </row>
    <row r="195" spans="1:22" x14ac:dyDescent="0.35">
      <c r="A195" s="7"/>
      <c r="B195" s="1">
        <v>64372</v>
      </c>
      <c r="C195" s="1" t="s">
        <v>180</v>
      </c>
      <c r="R195" s="5"/>
      <c r="T195" s="8"/>
      <c r="U195" s="8"/>
      <c r="V195" s="8"/>
    </row>
    <row r="196" spans="1:22" x14ac:dyDescent="0.35">
      <c r="A196" s="7"/>
      <c r="B196" s="1">
        <v>64373</v>
      </c>
      <c r="C196" s="1" t="s">
        <v>181</v>
      </c>
      <c r="T196" s="8"/>
      <c r="U196" s="8"/>
      <c r="V196" s="8"/>
    </row>
    <row r="197" spans="1:22" x14ac:dyDescent="0.35">
      <c r="A197" s="7"/>
      <c r="B197" s="1">
        <v>64374</v>
      </c>
      <c r="C197" s="1" t="s">
        <v>182</v>
      </c>
      <c r="T197" s="8"/>
      <c r="U197" s="8"/>
      <c r="V197" s="8"/>
    </row>
    <row r="198" spans="1:22" x14ac:dyDescent="0.35">
      <c r="A198" s="7"/>
      <c r="B198" s="1">
        <v>64375</v>
      </c>
      <c r="C198" s="1" t="s">
        <v>183</v>
      </c>
      <c r="R198" s="5"/>
      <c r="T198" s="8"/>
      <c r="U198" s="8"/>
      <c r="V198" s="8"/>
    </row>
    <row r="199" spans="1:22" x14ac:dyDescent="0.35">
      <c r="A199" s="7"/>
      <c r="B199" s="1">
        <v>64385</v>
      </c>
      <c r="C199" s="1" t="s">
        <v>184</v>
      </c>
      <c r="T199" s="8"/>
      <c r="U199" s="8"/>
      <c r="V199" s="8"/>
    </row>
    <row r="200" spans="1:22" x14ac:dyDescent="0.35">
      <c r="A200" s="7"/>
      <c r="B200" s="1">
        <v>64387</v>
      </c>
      <c r="C200" s="1" t="s">
        <v>185</v>
      </c>
      <c r="T200" s="8"/>
      <c r="U200" s="8"/>
      <c r="V200" s="8"/>
    </row>
    <row r="201" spans="1:22" x14ac:dyDescent="0.35">
      <c r="A201" s="7"/>
      <c r="B201" s="1">
        <v>64389</v>
      </c>
      <c r="C201" s="1" t="s">
        <v>186</v>
      </c>
      <c r="T201" s="8"/>
      <c r="U201" s="8"/>
      <c r="V201" s="8"/>
    </row>
    <row r="202" spans="1:22" x14ac:dyDescent="0.35">
      <c r="A202" s="7"/>
      <c r="B202" s="1">
        <v>64390</v>
      </c>
      <c r="C202" s="1" t="s">
        <v>187</v>
      </c>
      <c r="T202" s="8"/>
      <c r="U202" s="8"/>
      <c r="V202" s="8"/>
    </row>
    <row r="203" spans="1:22" x14ac:dyDescent="0.35">
      <c r="A203" s="7"/>
      <c r="B203" s="1">
        <v>64392</v>
      </c>
      <c r="C203" s="1" t="s">
        <v>188</v>
      </c>
      <c r="T203" s="8"/>
      <c r="U203" s="8"/>
      <c r="V203" s="8"/>
    </row>
    <row r="204" spans="1:22" x14ac:dyDescent="0.35">
      <c r="A204" s="7"/>
      <c r="B204" s="1">
        <v>64394</v>
      </c>
      <c r="C204" s="1" t="s">
        <v>189</v>
      </c>
      <c r="R204" s="5"/>
      <c r="T204" s="8"/>
      <c r="U204" s="8"/>
      <c r="V204" s="8"/>
    </row>
    <row r="205" spans="1:22" x14ac:dyDescent="0.35">
      <c r="A205" s="7"/>
      <c r="B205" s="1">
        <v>64395</v>
      </c>
      <c r="C205" s="1" t="s">
        <v>190</v>
      </c>
      <c r="T205" s="8"/>
      <c r="U205" s="8"/>
      <c r="V205" s="8"/>
    </row>
    <row r="206" spans="1:22" x14ac:dyDescent="0.35">
      <c r="A206" s="7"/>
      <c r="B206" s="1">
        <v>64400</v>
      </c>
      <c r="C206" s="1" t="s">
        <v>191</v>
      </c>
      <c r="T206" s="8"/>
      <c r="U206" s="8"/>
      <c r="V206" s="8"/>
    </row>
    <row r="207" spans="1:22" x14ac:dyDescent="0.35">
      <c r="A207" s="7"/>
      <c r="B207" s="1">
        <v>64405</v>
      </c>
      <c r="C207" s="1" t="s">
        <v>192</v>
      </c>
      <c r="T207" s="8"/>
      <c r="U207" s="8"/>
      <c r="V207" s="8"/>
    </row>
    <row r="208" spans="1:22" x14ac:dyDescent="0.35">
      <c r="A208" s="7"/>
      <c r="B208" s="1">
        <v>64420</v>
      </c>
      <c r="C208" s="1" t="s">
        <v>193</v>
      </c>
      <c r="T208" s="8"/>
      <c r="U208" s="8"/>
      <c r="V208" s="8"/>
    </row>
    <row r="209" spans="1:22" x14ac:dyDescent="0.35">
      <c r="A209" s="7">
        <v>9</v>
      </c>
      <c r="B209" s="12" t="s">
        <v>194</v>
      </c>
      <c r="C209" s="12"/>
      <c r="D209" s="12"/>
      <c r="E209" s="12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T209" s="10"/>
      <c r="U209" s="10"/>
      <c r="V209" s="10"/>
    </row>
    <row r="210" spans="1:22" x14ac:dyDescent="0.35">
      <c r="A210" s="7"/>
      <c r="T210" s="8"/>
      <c r="U210" s="8"/>
      <c r="V210" s="8"/>
    </row>
    <row r="211" spans="1:22" x14ac:dyDescent="0.35">
      <c r="A211" s="7"/>
      <c r="B211" s="1" t="s">
        <v>195</v>
      </c>
      <c r="T211" s="8"/>
      <c r="U211" s="8"/>
      <c r="V211" s="8"/>
    </row>
    <row r="212" spans="1:22" x14ac:dyDescent="0.35">
      <c r="A212" s="7"/>
      <c r="B212" s="1">
        <v>64500</v>
      </c>
      <c r="C212" s="1" t="s">
        <v>196</v>
      </c>
      <c r="T212" s="8"/>
      <c r="U212" s="8"/>
      <c r="V212" s="8"/>
    </row>
    <row r="213" spans="1:22" x14ac:dyDescent="0.35">
      <c r="A213" s="7"/>
      <c r="B213" s="1">
        <v>64501</v>
      </c>
      <c r="C213" s="1" t="s">
        <v>197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T213" s="8"/>
      <c r="U213" s="8"/>
      <c r="V213" s="8"/>
    </row>
    <row r="214" spans="1:22" x14ac:dyDescent="0.35">
      <c r="B214" s="1">
        <v>64502</v>
      </c>
      <c r="C214" s="1" t="s">
        <v>198</v>
      </c>
      <c r="T214" s="8"/>
      <c r="U214" s="8"/>
      <c r="V214" s="8"/>
    </row>
    <row r="215" spans="1:22" x14ac:dyDescent="0.35">
      <c r="B215" s="1">
        <v>64503</v>
      </c>
      <c r="C215" s="1" t="s">
        <v>199</v>
      </c>
      <c r="T215" s="8"/>
      <c r="U215" s="8"/>
      <c r="V215" s="8"/>
    </row>
    <row r="216" spans="1:22" x14ac:dyDescent="0.35">
      <c r="B216" s="1">
        <v>64505</v>
      </c>
      <c r="C216" s="1" t="s">
        <v>200</v>
      </c>
      <c r="T216" s="8"/>
      <c r="U216" s="8"/>
      <c r="V216" s="8"/>
    </row>
    <row r="217" spans="1:22" x14ac:dyDescent="0.35">
      <c r="B217" s="1">
        <v>64530</v>
      </c>
      <c r="C217" s="1" t="s">
        <v>201</v>
      </c>
      <c r="R217" s="5"/>
      <c r="T217" s="8"/>
      <c r="U217" s="8"/>
      <c r="V217" s="8"/>
    </row>
    <row r="218" spans="1:22" x14ac:dyDescent="0.35">
      <c r="B218" s="1">
        <v>64531</v>
      </c>
      <c r="C218" s="1" t="s">
        <v>202</v>
      </c>
      <c r="T218" s="8"/>
      <c r="U218" s="8"/>
      <c r="V218" s="8"/>
    </row>
    <row r="219" spans="1:22" x14ac:dyDescent="0.35">
      <c r="B219" s="1">
        <v>64535</v>
      </c>
      <c r="C219" s="1" t="s">
        <v>203</v>
      </c>
      <c r="T219" s="8"/>
      <c r="U219" s="8"/>
      <c r="V219" s="8"/>
    </row>
    <row r="220" spans="1:22" x14ac:dyDescent="0.35">
      <c r="B220" s="1">
        <v>64540</v>
      </c>
      <c r="C220" s="1" t="s">
        <v>204</v>
      </c>
      <c r="T220" s="8"/>
      <c r="U220" s="8"/>
      <c r="V220" s="8"/>
    </row>
    <row r="221" spans="1:22" x14ac:dyDescent="0.35">
      <c r="B221" s="1">
        <v>64541</v>
      </c>
      <c r="C221" s="1" t="s">
        <v>205</v>
      </c>
      <c r="T221" s="8"/>
      <c r="U221" s="8"/>
      <c r="V221" s="8"/>
    </row>
    <row r="222" spans="1:22" x14ac:dyDescent="0.35">
      <c r="B222" s="1">
        <v>64545</v>
      </c>
      <c r="C222" s="1" t="s">
        <v>206</v>
      </c>
      <c r="T222" s="8"/>
      <c r="U222" s="8"/>
      <c r="V222" s="8"/>
    </row>
    <row r="223" spans="1:22" x14ac:dyDescent="0.35">
      <c r="B223" s="1">
        <v>64560</v>
      </c>
      <c r="C223" s="1" t="s">
        <v>207</v>
      </c>
      <c r="T223" s="8"/>
      <c r="U223" s="8"/>
      <c r="V223" s="8"/>
    </row>
    <row r="224" spans="1:22" x14ac:dyDescent="0.35">
      <c r="B224" s="1">
        <v>64570</v>
      </c>
      <c r="C224" s="1" t="s">
        <v>208</v>
      </c>
      <c r="T224" s="8"/>
      <c r="U224" s="8"/>
      <c r="V224" s="8"/>
    </row>
    <row r="225" spans="1:22" x14ac:dyDescent="0.35">
      <c r="B225" s="1">
        <v>64580</v>
      </c>
      <c r="C225" s="1" t="s">
        <v>209</v>
      </c>
      <c r="M225" s="5"/>
      <c r="N225" s="5"/>
      <c r="O225" s="5"/>
      <c r="P225" s="5"/>
      <c r="R225" s="5"/>
      <c r="T225" s="8"/>
      <c r="U225" s="8"/>
      <c r="V225" s="8"/>
    </row>
    <row r="226" spans="1:22" x14ac:dyDescent="0.35">
      <c r="B226" s="1">
        <v>64581</v>
      </c>
      <c r="C226" s="1" t="s">
        <v>210</v>
      </c>
      <c r="Q226" s="5"/>
      <c r="R226" s="5"/>
      <c r="T226" s="8"/>
      <c r="U226" s="8"/>
      <c r="V226" s="8"/>
    </row>
    <row r="227" spans="1:22" x14ac:dyDescent="0.35">
      <c r="B227" s="1">
        <v>64585</v>
      </c>
      <c r="C227" s="1" t="s">
        <v>211</v>
      </c>
      <c r="T227" s="8"/>
      <c r="U227" s="8"/>
      <c r="V227" s="8"/>
    </row>
    <row r="228" spans="1:22" x14ac:dyDescent="0.35">
      <c r="A228" s="7"/>
      <c r="B228" s="1">
        <v>64586</v>
      </c>
      <c r="C228" s="1" t="s">
        <v>212</v>
      </c>
      <c r="T228" s="8"/>
      <c r="U228" s="8"/>
      <c r="V228" s="8"/>
    </row>
    <row r="229" spans="1:22" x14ac:dyDescent="0.35">
      <c r="A229" s="7"/>
      <c r="B229" s="1">
        <v>64590</v>
      </c>
      <c r="C229" s="1" t="s">
        <v>213</v>
      </c>
      <c r="T229" s="8"/>
      <c r="U229" s="8"/>
      <c r="V229" s="8"/>
    </row>
    <row r="230" spans="1:22" x14ac:dyDescent="0.35">
      <c r="A230" s="7"/>
      <c r="B230" s="1">
        <v>64595</v>
      </c>
      <c r="C230" s="1" t="s">
        <v>214</v>
      </c>
      <c r="T230" s="8"/>
      <c r="U230" s="8"/>
      <c r="V230" s="8"/>
    </row>
    <row r="231" spans="1:22" x14ac:dyDescent="0.35">
      <c r="A231" s="7"/>
      <c r="B231" s="1">
        <v>64596</v>
      </c>
      <c r="C231" s="1" t="s">
        <v>215</v>
      </c>
      <c r="T231" s="8"/>
      <c r="U231" s="8"/>
      <c r="V231" s="8"/>
    </row>
    <row r="232" spans="1:22" x14ac:dyDescent="0.35">
      <c r="A232" s="7">
        <v>10</v>
      </c>
      <c r="B232" s="12" t="s">
        <v>216</v>
      </c>
      <c r="C232" s="12"/>
      <c r="D232" s="12"/>
      <c r="E232" s="12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T232" s="10"/>
      <c r="U232" s="10"/>
      <c r="V232" s="10"/>
    </row>
    <row r="233" spans="1:22" x14ac:dyDescent="0.35">
      <c r="A233" s="7"/>
      <c r="T233" s="8"/>
      <c r="U233" s="8"/>
      <c r="V233" s="8"/>
    </row>
    <row r="234" spans="1:22" x14ac:dyDescent="0.35">
      <c r="A234" s="7"/>
      <c r="B234" s="1" t="s">
        <v>217</v>
      </c>
      <c r="T234" s="8"/>
      <c r="U234" s="8"/>
      <c r="V234" s="8"/>
    </row>
    <row r="235" spans="1:22" x14ac:dyDescent="0.35">
      <c r="B235" s="1">
        <v>65000</v>
      </c>
      <c r="C235" s="1" t="s">
        <v>218</v>
      </c>
      <c r="T235" s="8"/>
      <c r="U235" s="8"/>
      <c r="V235" s="8"/>
    </row>
    <row r="236" spans="1:22" x14ac:dyDescent="0.35">
      <c r="B236" s="1">
        <v>65003</v>
      </c>
      <c r="C236" s="1" t="s">
        <v>219</v>
      </c>
      <c r="R236" s="5"/>
      <c r="T236" s="8"/>
      <c r="U236" s="8"/>
      <c r="V236" s="8"/>
    </row>
    <row r="237" spans="1:22" x14ac:dyDescent="0.35">
      <c r="B237" s="1">
        <v>65007</v>
      </c>
      <c r="C237" s="1" t="s">
        <v>220</v>
      </c>
      <c r="F237" s="5"/>
      <c r="I237" s="5"/>
      <c r="J237" s="5"/>
      <c r="K237" s="5"/>
      <c r="L237" s="5"/>
      <c r="M237" s="5"/>
      <c r="P237" s="5"/>
      <c r="Q237" s="5"/>
      <c r="R237" s="5"/>
      <c r="T237" s="8"/>
      <c r="U237" s="8"/>
      <c r="V237" s="8"/>
    </row>
    <row r="238" spans="1:22" x14ac:dyDescent="0.35">
      <c r="B238" s="1">
        <v>65008</v>
      </c>
      <c r="C238" s="1" t="s">
        <v>221</v>
      </c>
      <c r="R238" s="5"/>
      <c r="T238" s="8"/>
      <c r="U238" s="8"/>
      <c r="V238" s="8"/>
    </row>
    <row r="239" spans="1:22" x14ac:dyDescent="0.35">
      <c r="B239" s="1">
        <v>65009</v>
      </c>
      <c r="C239" s="1" t="s">
        <v>222</v>
      </c>
      <c r="R239" s="5"/>
      <c r="T239" s="8"/>
      <c r="U239" s="8"/>
      <c r="V239" s="8"/>
    </row>
    <row r="240" spans="1:22" x14ac:dyDescent="0.35">
      <c r="B240" s="1">
        <v>65011</v>
      </c>
      <c r="C240" s="1" t="s">
        <v>223</v>
      </c>
      <c r="T240" s="8"/>
      <c r="U240" s="8"/>
      <c r="V240" s="8"/>
    </row>
    <row r="241" spans="2:22" x14ac:dyDescent="0.35">
      <c r="B241" s="1">
        <v>65013</v>
      </c>
      <c r="C241" s="1" t="s">
        <v>224</v>
      </c>
      <c r="T241" s="8"/>
      <c r="U241" s="8"/>
      <c r="V241" s="8"/>
    </row>
    <row r="242" spans="2:22" x14ac:dyDescent="0.35">
      <c r="B242" s="1">
        <v>65015</v>
      </c>
      <c r="C242" s="1" t="s">
        <v>225</v>
      </c>
      <c r="T242" s="8"/>
      <c r="U242" s="8"/>
      <c r="V242" s="8"/>
    </row>
    <row r="243" spans="2:22" x14ac:dyDescent="0.35">
      <c r="B243" s="1">
        <v>65017</v>
      </c>
      <c r="C243" s="1" t="s">
        <v>226</v>
      </c>
      <c r="T243" s="8"/>
      <c r="U243" s="8"/>
      <c r="V243" s="8"/>
    </row>
    <row r="244" spans="2:22" x14ac:dyDescent="0.35">
      <c r="B244" s="1">
        <v>65019</v>
      </c>
      <c r="C244" s="1" t="s">
        <v>227</v>
      </c>
      <c r="T244" s="8"/>
      <c r="U244" s="8"/>
      <c r="V244" s="8"/>
    </row>
    <row r="245" spans="2:22" x14ac:dyDescent="0.35">
      <c r="B245" s="1">
        <v>65021</v>
      </c>
      <c r="C245" s="1" t="s">
        <v>228</v>
      </c>
      <c r="T245" s="8"/>
      <c r="U245" s="8"/>
      <c r="V245" s="8"/>
    </row>
    <row r="246" spans="2:22" x14ac:dyDescent="0.35">
      <c r="B246" s="1">
        <v>65023</v>
      </c>
      <c r="C246" s="1" t="s">
        <v>229</v>
      </c>
      <c r="T246" s="8"/>
      <c r="U246" s="8"/>
      <c r="V246" s="8"/>
    </row>
    <row r="247" spans="2:22" x14ac:dyDescent="0.35">
      <c r="B247" s="1">
        <v>65025</v>
      </c>
      <c r="C247" s="1" t="s">
        <v>230</v>
      </c>
      <c r="T247" s="8"/>
      <c r="U247" s="8"/>
      <c r="V247" s="8"/>
    </row>
    <row r="248" spans="2:22" x14ac:dyDescent="0.35">
      <c r="B248" s="1">
        <v>65030</v>
      </c>
      <c r="C248" s="1" t="s">
        <v>231</v>
      </c>
      <c r="T248" s="8"/>
      <c r="U248" s="8"/>
      <c r="V248" s="8"/>
    </row>
    <row r="249" spans="2:22" x14ac:dyDescent="0.35">
      <c r="B249" s="1">
        <v>65033</v>
      </c>
      <c r="C249" s="1" t="s">
        <v>232</v>
      </c>
      <c r="R249" s="5"/>
      <c r="T249" s="8"/>
      <c r="U249" s="8"/>
      <c r="V249" s="8"/>
    </row>
    <row r="250" spans="2:22" x14ac:dyDescent="0.35">
      <c r="B250" s="1">
        <v>65035</v>
      </c>
      <c r="C250" s="1" t="s">
        <v>233</v>
      </c>
      <c r="T250" s="8"/>
      <c r="U250" s="8"/>
      <c r="V250" s="8"/>
    </row>
    <row r="251" spans="2:22" x14ac:dyDescent="0.35">
      <c r="B251" s="1">
        <v>65040</v>
      </c>
      <c r="C251" s="1" t="s">
        <v>234</v>
      </c>
      <c r="R251" s="5"/>
      <c r="T251" s="8"/>
      <c r="U251" s="8"/>
      <c r="V251" s="8"/>
    </row>
    <row r="252" spans="2:22" x14ac:dyDescent="0.35">
      <c r="B252" s="1">
        <v>65043</v>
      </c>
      <c r="C252" s="1" t="s">
        <v>235</v>
      </c>
      <c r="K252" s="5"/>
      <c r="M252" s="5"/>
      <c r="N252" s="5"/>
      <c r="R252" s="5"/>
      <c r="T252" s="8"/>
      <c r="U252" s="8"/>
      <c r="V252" s="8"/>
    </row>
    <row r="253" spans="2:22" x14ac:dyDescent="0.35">
      <c r="B253" s="1">
        <v>65044</v>
      </c>
      <c r="C253" s="1" t="s">
        <v>236</v>
      </c>
      <c r="J253" s="5"/>
      <c r="L253" s="5"/>
      <c r="R253" s="5"/>
      <c r="T253" s="8"/>
      <c r="U253" s="8"/>
      <c r="V253" s="8"/>
    </row>
    <row r="254" spans="2:22" x14ac:dyDescent="0.35">
      <c r="B254" s="1">
        <v>65045</v>
      </c>
      <c r="C254" s="1" t="s">
        <v>237</v>
      </c>
      <c r="T254" s="8"/>
      <c r="U254" s="8"/>
      <c r="V254" s="8"/>
    </row>
    <row r="255" spans="2:22" x14ac:dyDescent="0.35">
      <c r="B255" s="1">
        <v>65050</v>
      </c>
      <c r="C255" s="1" t="s">
        <v>238</v>
      </c>
      <c r="R255" s="5"/>
      <c r="T255" s="8"/>
      <c r="U255" s="8"/>
      <c r="V255" s="8"/>
    </row>
    <row r="256" spans="2:22" x14ac:dyDescent="0.35">
      <c r="B256" s="1">
        <v>65053</v>
      </c>
      <c r="C256" s="1" t="s">
        <v>239</v>
      </c>
      <c r="R256" s="5"/>
      <c r="T256" s="8"/>
      <c r="U256" s="8"/>
      <c r="V256" s="8"/>
    </row>
    <row r="257" spans="2:22" x14ac:dyDescent="0.35">
      <c r="B257" s="1">
        <v>65075</v>
      </c>
      <c r="C257" s="1" t="s">
        <v>240</v>
      </c>
      <c r="T257" s="8"/>
      <c r="U257" s="8"/>
      <c r="V257" s="8"/>
    </row>
    <row r="258" spans="2:22" x14ac:dyDescent="0.35">
      <c r="B258" s="1">
        <v>65203</v>
      </c>
      <c r="C258" s="1" t="s">
        <v>241</v>
      </c>
      <c r="G258" s="5"/>
      <c r="R258" s="5"/>
      <c r="T258" s="8"/>
      <c r="U258" s="8"/>
      <c r="V258" s="8"/>
    </row>
    <row r="259" spans="2:22" x14ac:dyDescent="0.35">
      <c r="B259" s="1">
        <v>65207</v>
      </c>
      <c r="C259" s="1" t="s">
        <v>242</v>
      </c>
      <c r="I259" s="5"/>
      <c r="Q259" s="5"/>
      <c r="R259" s="5"/>
      <c r="T259" s="8"/>
      <c r="U259" s="8"/>
      <c r="V259" s="8"/>
    </row>
    <row r="260" spans="2:22" x14ac:dyDescent="0.35">
      <c r="B260" s="1">
        <v>65208</v>
      </c>
      <c r="C260" s="1" t="s">
        <v>243</v>
      </c>
      <c r="T260" s="8"/>
      <c r="U260" s="8"/>
      <c r="V260" s="8"/>
    </row>
    <row r="261" spans="2:22" x14ac:dyDescent="0.35">
      <c r="B261" s="1">
        <v>65209</v>
      </c>
      <c r="C261" s="1" t="s">
        <v>244</v>
      </c>
      <c r="T261" s="8"/>
      <c r="U261" s="8"/>
      <c r="V261" s="8"/>
    </row>
    <row r="262" spans="2:22" x14ac:dyDescent="0.35">
      <c r="B262" s="1">
        <v>65211</v>
      </c>
      <c r="C262" s="1" t="s">
        <v>245</v>
      </c>
      <c r="T262" s="8"/>
      <c r="U262" s="8"/>
      <c r="V262" s="8"/>
    </row>
    <row r="263" spans="2:22" x14ac:dyDescent="0.35">
      <c r="B263" s="1">
        <v>65213</v>
      </c>
      <c r="C263" s="1" t="s">
        <v>246</v>
      </c>
      <c r="T263" s="8"/>
      <c r="U263" s="8"/>
      <c r="V263" s="8"/>
    </row>
    <row r="264" spans="2:22" x14ac:dyDescent="0.35">
      <c r="B264" s="1">
        <v>65215</v>
      </c>
      <c r="C264" s="1" t="s">
        <v>247</v>
      </c>
      <c r="T264" s="8"/>
      <c r="U264" s="8"/>
      <c r="V264" s="8"/>
    </row>
    <row r="265" spans="2:22" x14ac:dyDescent="0.35">
      <c r="B265" s="1">
        <v>65217</v>
      </c>
      <c r="C265" s="1" t="s">
        <v>248</v>
      </c>
      <c r="F265" s="5"/>
      <c r="R265" s="5"/>
      <c r="T265" s="8"/>
      <c r="U265" s="8"/>
      <c r="V265" s="8"/>
    </row>
    <row r="266" spans="2:22" x14ac:dyDescent="0.35">
      <c r="B266" s="1">
        <v>65219</v>
      </c>
      <c r="C266" s="1" t="s">
        <v>249</v>
      </c>
      <c r="T266" s="8"/>
      <c r="U266" s="8"/>
      <c r="V266" s="8"/>
    </row>
    <row r="267" spans="2:22" x14ac:dyDescent="0.35">
      <c r="B267" s="1">
        <v>65221</v>
      </c>
      <c r="C267" s="1" t="s">
        <v>250</v>
      </c>
      <c r="T267" s="8"/>
      <c r="U267" s="8"/>
      <c r="V267" s="8"/>
    </row>
    <row r="268" spans="2:22" x14ac:dyDescent="0.35">
      <c r="B268" s="1">
        <v>65223</v>
      </c>
      <c r="C268" s="1" t="s">
        <v>251</v>
      </c>
      <c r="T268" s="8"/>
      <c r="U268" s="8"/>
      <c r="V268" s="8"/>
    </row>
    <row r="269" spans="2:22" x14ac:dyDescent="0.35">
      <c r="B269" s="1">
        <v>65230</v>
      </c>
      <c r="C269" s="1" t="s">
        <v>252</v>
      </c>
      <c r="T269" s="8"/>
      <c r="U269" s="8"/>
      <c r="V269" s="8"/>
    </row>
    <row r="270" spans="2:22" x14ac:dyDescent="0.35">
      <c r="B270" s="1">
        <v>65233</v>
      </c>
      <c r="C270" s="1" t="s">
        <v>253</v>
      </c>
      <c r="T270" s="8"/>
      <c r="U270" s="8"/>
      <c r="V270" s="8"/>
    </row>
    <row r="271" spans="2:22" x14ac:dyDescent="0.35">
      <c r="B271" s="1">
        <v>65236</v>
      </c>
      <c r="C271" s="1" t="s">
        <v>254</v>
      </c>
      <c r="I271" s="5"/>
      <c r="R271" s="5"/>
      <c r="T271" s="8"/>
      <c r="U271" s="8"/>
      <c r="V271" s="8"/>
    </row>
    <row r="272" spans="2:22" x14ac:dyDescent="0.35">
      <c r="B272" s="1">
        <v>65240</v>
      </c>
      <c r="C272" s="1" t="s">
        <v>255</v>
      </c>
      <c r="R272" s="5"/>
      <c r="T272" s="8"/>
      <c r="U272" s="8"/>
      <c r="V272" s="8"/>
    </row>
    <row r="273" spans="2:22" x14ac:dyDescent="0.35">
      <c r="B273" s="1">
        <v>65243</v>
      </c>
      <c r="C273" s="1" t="s">
        <v>256</v>
      </c>
      <c r="T273" s="8"/>
      <c r="U273" s="8"/>
      <c r="V273" s="8"/>
    </row>
    <row r="274" spans="2:22" x14ac:dyDescent="0.35">
      <c r="B274" s="1">
        <v>65250</v>
      </c>
      <c r="C274" s="1" t="s">
        <v>257</v>
      </c>
      <c r="T274" s="8"/>
      <c r="U274" s="8"/>
      <c r="V274" s="8"/>
    </row>
    <row r="275" spans="2:22" x14ac:dyDescent="0.35">
      <c r="B275" s="1">
        <v>65300</v>
      </c>
      <c r="C275" s="1" t="s">
        <v>258</v>
      </c>
      <c r="T275" s="8"/>
      <c r="U275" s="8"/>
      <c r="V275" s="8"/>
    </row>
    <row r="276" spans="2:22" x14ac:dyDescent="0.35">
      <c r="B276" s="1">
        <v>65305</v>
      </c>
      <c r="C276" s="1" t="s">
        <v>259</v>
      </c>
      <c r="G276" s="5"/>
      <c r="H276" s="5"/>
      <c r="J276" s="5"/>
      <c r="R276" s="5"/>
      <c r="T276" s="8"/>
      <c r="U276" s="8"/>
      <c r="V276" s="8"/>
    </row>
    <row r="277" spans="2:22" x14ac:dyDescent="0.35">
      <c r="B277" s="1">
        <v>65310</v>
      </c>
      <c r="C277" s="1" t="s">
        <v>260</v>
      </c>
      <c r="T277" s="8"/>
      <c r="U277" s="8"/>
      <c r="V277" s="8"/>
    </row>
    <row r="278" spans="2:22" x14ac:dyDescent="0.35">
      <c r="B278" s="1">
        <v>65315</v>
      </c>
      <c r="C278" s="1" t="s">
        <v>261</v>
      </c>
      <c r="T278" s="8"/>
      <c r="U278" s="8"/>
      <c r="V278" s="8"/>
    </row>
    <row r="279" spans="2:22" x14ac:dyDescent="0.35">
      <c r="B279" s="1">
        <v>65320</v>
      </c>
      <c r="C279" s="1" t="s">
        <v>262</v>
      </c>
      <c r="T279" s="8"/>
      <c r="U279" s="8"/>
      <c r="V279" s="8"/>
    </row>
    <row r="280" spans="2:22" x14ac:dyDescent="0.35">
      <c r="B280" s="1">
        <v>65330</v>
      </c>
      <c r="C280" s="1" t="s">
        <v>263</v>
      </c>
      <c r="T280" s="8"/>
      <c r="U280" s="8"/>
      <c r="V280" s="8"/>
    </row>
    <row r="281" spans="2:22" x14ac:dyDescent="0.35">
      <c r="B281" s="1">
        <v>65340</v>
      </c>
      <c r="C281" s="1" t="s">
        <v>264</v>
      </c>
      <c r="T281" s="8"/>
      <c r="U281" s="8"/>
      <c r="V281" s="8"/>
    </row>
    <row r="282" spans="2:22" x14ac:dyDescent="0.35">
      <c r="B282" s="1">
        <v>65341</v>
      </c>
      <c r="C282" s="1" t="s">
        <v>265</v>
      </c>
      <c r="R282" s="5"/>
      <c r="T282" s="8"/>
      <c r="U282" s="8"/>
      <c r="V282" s="8"/>
    </row>
    <row r="283" spans="2:22" x14ac:dyDescent="0.35">
      <c r="B283" s="1">
        <v>65345</v>
      </c>
      <c r="C283" s="1" t="s">
        <v>266</v>
      </c>
      <c r="T283" s="8"/>
      <c r="U283" s="8"/>
      <c r="V283" s="8"/>
    </row>
    <row r="284" spans="2:22" x14ac:dyDescent="0.35">
      <c r="B284" s="1">
        <v>65350</v>
      </c>
      <c r="C284" s="1" t="s">
        <v>267</v>
      </c>
      <c r="T284" s="8"/>
      <c r="U284" s="8"/>
      <c r="V284" s="8"/>
    </row>
    <row r="285" spans="2:22" x14ac:dyDescent="0.35">
      <c r="B285" s="1">
        <v>65360</v>
      </c>
      <c r="C285" s="1" t="s">
        <v>268</v>
      </c>
      <c r="T285" s="8"/>
      <c r="U285" s="8"/>
      <c r="V285" s="8"/>
    </row>
    <row r="286" spans="2:22" x14ac:dyDescent="0.35">
      <c r="B286" s="1">
        <v>65370</v>
      </c>
      <c r="C286" s="1" t="s">
        <v>269</v>
      </c>
      <c r="T286" s="8"/>
      <c r="U286" s="8"/>
      <c r="V286" s="8"/>
    </row>
    <row r="287" spans="2:22" x14ac:dyDescent="0.35">
      <c r="B287" s="1">
        <v>65397</v>
      </c>
      <c r="C287" s="1" t="s">
        <v>270</v>
      </c>
      <c r="T287" s="8"/>
      <c r="U287" s="8"/>
      <c r="V287" s="8"/>
    </row>
    <row r="288" spans="2:22" x14ac:dyDescent="0.35">
      <c r="B288" s="1">
        <v>65399</v>
      </c>
      <c r="C288" s="1" t="s">
        <v>271</v>
      </c>
      <c r="T288" s="8"/>
      <c r="U288" s="8"/>
      <c r="V288" s="8"/>
    </row>
    <row r="289" spans="1:22" x14ac:dyDescent="0.35">
      <c r="A289" s="7">
        <v>11</v>
      </c>
      <c r="B289" s="12" t="s">
        <v>272</v>
      </c>
      <c r="C289" s="12"/>
      <c r="D289" s="12"/>
      <c r="E289" s="12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T289" s="10"/>
      <c r="U289" s="10"/>
      <c r="V289" s="10"/>
    </row>
    <row r="290" spans="1:22" x14ac:dyDescent="0.35">
      <c r="A290" s="7"/>
      <c r="T290" s="8"/>
      <c r="U290" s="8"/>
      <c r="V290" s="8"/>
    </row>
    <row r="291" spans="1:22" x14ac:dyDescent="0.35">
      <c r="A291" s="7"/>
      <c r="B291" s="14" t="s">
        <v>273</v>
      </c>
      <c r="C291" s="14"/>
      <c r="D291" s="14"/>
      <c r="E291" s="14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4"/>
      <c r="T291" s="11"/>
      <c r="U291" s="11"/>
      <c r="V291" s="11"/>
    </row>
    <row r="292" spans="1:22" x14ac:dyDescent="0.35">
      <c r="A292" s="7"/>
      <c r="T292" s="8"/>
      <c r="U292" s="8"/>
      <c r="V292" s="8"/>
    </row>
    <row r="293" spans="1:22" x14ac:dyDescent="0.35">
      <c r="A293" s="7"/>
      <c r="B293" s="14" t="s">
        <v>274</v>
      </c>
      <c r="C293" s="14"/>
      <c r="D293" s="14"/>
      <c r="E293" s="14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4"/>
      <c r="T293" s="11"/>
      <c r="U293" s="11"/>
      <c r="V293" s="11"/>
    </row>
    <row r="294" spans="1:22" x14ac:dyDescent="0.35">
      <c r="A294" s="7"/>
      <c r="T294" s="8"/>
      <c r="U294" s="8"/>
      <c r="V294" s="8"/>
    </row>
    <row r="295" spans="1:22" x14ac:dyDescent="0.35">
      <c r="A295" s="7"/>
      <c r="B295" s="1" t="s">
        <v>275</v>
      </c>
      <c r="T295" s="8"/>
      <c r="U295" s="8"/>
      <c r="V295" s="8"/>
    </row>
    <row r="296" spans="1:22" x14ac:dyDescent="0.35">
      <c r="A296" s="7">
        <v>15</v>
      </c>
      <c r="B296" s="1">
        <v>66540</v>
      </c>
      <c r="C296" s="1" t="s">
        <v>276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T296" s="8"/>
      <c r="U296" s="8"/>
      <c r="V296" s="8"/>
    </row>
    <row r="297" spans="1:22" x14ac:dyDescent="0.35">
      <c r="A297" s="7">
        <v>15</v>
      </c>
      <c r="B297" s="1">
        <v>66545</v>
      </c>
      <c r="C297" s="1" t="s">
        <v>277</v>
      </c>
      <c r="T297" s="8"/>
      <c r="U297" s="8"/>
      <c r="V297" s="8"/>
    </row>
    <row r="298" spans="1:22" x14ac:dyDescent="0.35">
      <c r="A298" s="7">
        <v>15</v>
      </c>
      <c r="B298" s="1">
        <v>66550</v>
      </c>
      <c r="C298" s="1" t="s">
        <v>278</v>
      </c>
      <c r="P298" s="5"/>
      <c r="R298" s="5"/>
      <c r="T298" s="8"/>
      <c r="U298" s="8"/>
      <c r="V298" s="8"/>
    </row>
    <row r="299" spans="1:22" x14ac:dyDescent="0.35">
      <c r="A299" s="7">
        <v>15</v>
      </c>
      <c r="B299" s="1">
        <v>66560</v>
      </c>
      <c r="C299" s="1" t="s">
        <v>279</v>
      </c>
      <c r="T299" s="8"/>
      <c r="U299" s="8"/>
      <c r="V299" s="8"/>
    </row>
    <row r="300" spans="1:22" x14ac:dyDescent="0.35">
      <c r="A300" s="7">
        <v>16</v>
      </c>
      <c r="B300" s="1">
        <v>66000</v>
      </c>
      <c r="C300" s="1" t="s">
        <v>280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T300" s="8"/>
      <c r="U300" s="8"/>
      <c r="V300" s="8"/>
    </row>
    <row r="301" spans="1:22" x14ac:dyDescent="0.35">
      <c r="A301" s="7">
        <v>16</v>
      </c>
      <c r="B301" s="1">
        <v>66010</v>
      </c>
      <c r="C301" s="1" t="s">
        <v>281</v>
      </c>
      <c r="T301" s="8"/>
      <c r="U301" s="8"/>
      <c r="V301" s="8"/>
    </row>
    <row r="302" spans="1:22" x14ac:dyDescent="0.35">
      <c r="A302" s="7">
        <v>16</v>
      </c>
      <c r="B302" s="1">
        <v>66015</v>
      </c>
      <c r="C302" s="1" t="s">
        <v>282</v>
      </c>
      <c r="T302" s="8"/>
      <c r="U302" s="8"/>
      <c r="V302" s="8"/>
    </row>
    <row r="303" spans="1:22" x14ac:dyDescent="0.35">
      <c r="A303" s="6">
        <v>9</v>
      </c>
      <c r="B303" s="1">
        <v>66610</v>
      </c>
      <c r="C303" s="1" t="s">
        <v>283</v>
      </c>
      <c r="T303" s="8"/>
      <c r="U303" s="8"/>
      <c r="V303" s="8"/>
    </row>
    <row r="304" spans="1:22" x14ac:dyDescent="0.35">
      <c r="A304" s="6">
        <v>9</v>
      </c>
      <c r="B304" s="1">
        <v>66600</v>
      </c>
      <c r="C304" s="1" t="s">
        <v>284</v>
      </c>
      <c r="T304" s="8"/>
      <c r="U304" s="8"/>
      <c r="V304" s="8"/>
    </row>
    <row r="305" spans="2:22" x14ac:dyDescent="0.35">
      <c r="B305" s="12" t="s">
        <v>285</v>
      </c>
      <c r="C305" s="12"/>
      <c r="D305" s="12"/>
      <c r="E305" s="12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T305" s="10"/>
      <c r="U305" s="10"/>
      <c r="V305" s="10"/>
    </row>
    <row r="306" spans="2:22" x14ac:dyDescent="0.35">
      <c r="T306" s="8"/>
      <c r="U306" s="8"/>
      <c r="V306" s="8"/>
    </row>
    <row r="307" spans="2:22" ht="15" thickBot="1" x14ac:dyDescent="0.4">
      <c r="B307" s="17" t="s">
        <v>286</v>
      </c>
      <c r="C307" s="17"/>
      <c r="D307" s="17"/>
      <c r="E307" s="17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4"/>
      <c r="T307" s="19"/>
      <c r="U307" s="19"/>
      <c r="V307" s="19"/>
    </row>
    <row r="308" spans="2:22" ht="15" thickTop="1" x14ac:dyDescent="0.35">
      <c r="T308" s="8"/>
      <c r="U308" s="8"/>
      <c r="V308" s="8"/>
    </row>
    <row r="309" spans="2:22" x14ac:dyDescent="0.35">
      <c r="T309" s="8"/>
      <c r="U309" s="8"/>
      <c r="V309" s="8"/>
    </row>
    <row r="310" spans="2:22" x14ac:dyDescent="0.35">
      <c r="T310" s="8"/>
      <c r="U310" s="8"/>
      <c r="V310" s="8"/>
    </row>
    <row r="311" spans="2:22" x14ac:dyDescent="0.35">
      <c r="T311" s="8"/>
      <c r="U311" s="8"/>
      <c r="V311" s="8"/>
    </row>
    <row r="312" spans="2:22" x14ac:dyDescent="0.35">
      <c r="T312" s="8"/>
      <c r="U312" s="8"/>
      <c r="V312" s="8"/>
    </row>
    <row r="313" spans="2:22" x14ac:dyDescent="0.35">
      <c r="T313" s="8"/>
      <c r="U313" s="8"/>
      <c r="V313" s="8"/>
    </row>
    <row r="314" spans="2:22" x14ac:dyDescent="0.35">
      <c r="T314" s="8"/>
      <c r="U314" s="8"/>
      <c r="V314" s="8"/>
    </row>
    <row r="315" spans="2:22" x14ac:dyDescent="0.35">
      <c r="T315" s="8"/>
      <c r="U315" s="8"/>
      <c r="V315" s="8"/>
    </row>
    <row r="316" spans="2:22" x14ac:dyDescent="0.35">
      <c r="T316" s="8"/>
      <c r="U316" s="8"/>
      <c r="V316" s="8"/>
    </row>
    <row r="317" spans="2:22" x14ac:dyDescent="0.35">
      <c r="T317" s="8"/>
      <c r="U317" s="8"/>
      <c r="V317" s="8"/>
    </row>
    <row r="318" spans="2:22" x14ac:dyDescent="0.35">
      <c r="T318" s="8"/>
      <c r="U318" s="8"/>
      <c r="V318" s="8"/>
    </row>
    <row r="319" spans="2:22" x14ac:dyDescent="0.35">
      <c r="T319" s="8"/>
      <c r="U319" s="8"/>
      <c r="V319" s="8"/>
    </row>
    <row r="320" spans="2:22" x14ac:dyDescent="0.35">
      <c r="T320" s="8"/>
      <c r="U320" s="8"/>
      <c r="V320" s="8"/>
    </row>
    <row r="321" spans="20:22" x14ac:dyDescent="0.35">
      <c r="T321" s="8"/>
      <c r="U321" s="8"/>
      <c r="V321" s="8"/>
    </row>
    <row r="322" spans="20:22" x14ac:dyDescent="0.35">
      <c r="T322" s="8"/>
      <c r="U322" s="8"/>
      <c r="V322" s="8"/>
    </row>
    <row r="323" spans="20:22" x14ac:dyDescent="0.35">
      <c r="T323" s="8"/>
      <c r="U323" s="8"/>
      <c r="V323" s="8"/>
    </row>
    <row r="324" spans="20:22" x14ac:dyDescent="0.35">
      <c r="T324" s="8"/>
      <c r="U324" s="8"/>
      <c r="V324" s="8"/>
    </row>
    <row r="325" spans="20:22" x14ac:dyDescent="0.35">
      <c r="T325" s="8"/>
      <c r="U325" s="8"/>
      <c r="V325" s="8"/>
    </row>
    <row r="326" spans="20:22" x14ac:dyDescent="0.35">
      <c r="T326" s="8"/>
      <c r="U326" s="8"/>
      <c r="V326" s="8"/>
    </row>
    <row r="327" spans="20:22" x14ac:dyDescent="0.35">
      <c r="T327" s="8"/>
      <c r="U327" s="8"/>
      <c r="V327" s="8"/>
    </row>
    <row r="328" spans="20:22" x14ac:dyDescent="0.35">
      <c r="T328" s="8"/>
      <c r="U328" s="8"/>
      <c r="V328" s="8"/>
    </row>
    <row r="329" spans="20:22" x14ac:dyDescent="0.35">
      <c r="T329" s="8"/>
      <c r="U329" s="8"/>
      <c r="V329" s="8"/>
    </row>
    <row r="330" spans="20:22" x14ac:dyDescent="0.35">
      <c r="T330" s="8"/>
      <c r="U330" s="8"/>
      <c r="V330" s="8"/>
    </row>
    <row r="331" spans="20:22" x14ac:dyDescent="0.35">
      <c r="T331" s="8"/>
      <c r="U331" s="8"/>
      <c r="V331" s="8"/>
    </row>
    <row r="332" spans="20:22" x14ac:dyDescent="0.35">
      <c r="T332" s="8"/>
      <c r="U332" s="8"/>
      <c r="V332" s="8"/>
    </row>
    <row r="333" spans="20:22" x14ac:dyDescent="0.35">
      <c r="T333" s="8"/>
      <c r="U333" s="8"/>
      <c r="V333" s="8"/>
    </row>
    <row r="334" spans="20:22" x14ac:dyDescent="0.35">
      <c r="T334" s="8"/>
      <c r="U334" s="8"/>
      <c r="V334" s="8"/>
    </row>
    <row r="335" spans="20:22" x14ac:dyDescent="0.35">
      <c r="T335" s="8"/>
      <c r="U335" s="8"/>
      <c r="V335" s="8"/>
    </row>
    <row r="336" spans="20:22" x14ac:dyDescent="0.35">
      <c r="T336" s="8"/>
      <c r="U336" s="8"/>
      <c r="V336" s="8"/>
    </row>
    <row r="337" spans="20:22" x14ac:dyDescent="0.35">
      <c r="T337" s="8"/>
      <c r="U337" s="8"/>
      <c r="V337" s="8"/>
    </row>
    <row r="338" spans="20:22" x14ac:dyDescent="0.35">
      <c r="T338" s="8"/>
      <c r="U338" s="8"/>
      <c r="V338" s="8"/>
    </row>
    <row r="339" spans="20:22" x14ac:dyDescent="0.35">
      <c r="T339" s="8"/>
      <c r="U339" s="8"/>
      <c r="V339" s="8"/>
    </row>
    <row r="340" spans="20:22" x14ac:dyDescent="0.35">
      <c r="T340" s="8"/>
      <c r="U340" s="8"/>
      <c r="V340" s="8"/>
    </row>
    <row r="341" spans="20:22" x14ac:dyDescent="0.35">
      <c r="T341" s="8"/>
      <c r="U341" s="8"/>
      <c r="V341" s="8"/>
    </row>
    <row r="342" spans="20:22" x14ac:dyDescent="0.35">
      <c r="T342" s="8"/>
      <c r="U342" s="8"/>
      <c r="V342" s="8"/>
    </row>
    <row r="343" spans="20:22" x14ac:dyDescent="0.35">
      <c r="T343" s="8"/>
      <c r="U343" s="8"/>
      <c r="V343" s="8"/>
    </row>
    <row r="344" spans="20:22" x14ac:dyDescent="0.35">
      <c r="T344" s="8"/>
      <c r="U344" s="8"/>
      <c r="V344" s="8"/>
    </row>
    <row r="345" spans="20:22" x14ac:dyDescent="0.35">
      <c r="T345" s="8"/>
      <c r="U345" s="8"/>
      <c r="V345" s="8"/>
    </row>
    <row r="346" spans="20:22" x14ac:dyDescent="0.35">
      <c r="T346" s="8"/>
      <c r="U346" s="8"/>
      <c r="V346" s="8"/>
    </row>
    <row r="347" spans="20:22" x14ac:dyDescent="0.35">
      <c r="T347" s="8"/>
      <c r="U347" s="8"/>
      <c r="V347" s="8"/>
    </row>
    <row r="348" spans="20:22" x14ac:dyDescent="0.35">
      <c r="T348" s="8"/>
      <c r="U348" s="8"/>
      <c r="V348" s="8"/>
    </row>
    <row r="349" spans="20:22" x14ac:dyDescent="0.35">
      <c r="T349" s="8"/>
      <c r="U349" s="8"/>
      <c r="V349" s="8"/>
    </row>
    <row r="350" spans="20:22" x14ac:dyDescent="0.35">
      <c r="T350" s="8"/>
      <c r="U350" s="8"/>
      <c r="V350" s="8"/>
    </row>
    <row r="351" spans="20:22" x14ac:dyDescent="0.35">
      <c r="T351" s="8"/>
      <c r="U351" s="8"/>
      <c r="V351" s="8"/>
    </row>
    <row r="352" spans="20:22" x14ac:dyDescent="0.35">
      <c r="T352" s="8"/>
      <c r="U352" s="8"/>
      <c r="V352" s="8"/>
    </row>
    <row r="353" spans="20:22" x14ac:dyDescent="0.35">
      <c r="T353" s="8"/>
      <c r="U353" s="8"/>
      <c r="V353" s="8"/>
    </row>
    <row r="354" spans="20:22" x14ac:dyDescent="0.35">
      <c r="T354" s="8"/>
      <c r="U354" s="8"/>
      <c r="V354" s="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0622A-2D7D-49F9-A64E-B98D582F4FA4}">
  <dimension ref="A1:V354"/>
  <sheetViews>
    <sheetView workbookViewId="0">
      <selection activeCell="F8" sqref="F8:AS350"/>
    </sheetView>
  </sheetViews>
  <sheetFormatPr defaultColWidth="8.7265625" defaultRowHeight="14.5" x14ac:dyDescent="0.35"/>
  <cols>
    <col min="1" max="1" width="5.54296875" style="6" customWidth="1"/>
    <col min="2" max="2" width="9.1796875" style="1" bestFit="1" customWidth="1"/>
    <col min="3" max="5" width="8.7265625" style="1"/>
    <col min="6" max="18" width="12.54296875" style="3" customWidth="1"/>
    <col min="19" max="19" width="8.7265625" style="1"/>
    <col min="20" max="22" width="12.54296875" style="3" customWidth="1"/>
    <col min="23" max="16384" width="8.7265625" style="1"/>
  </cols>
  <sheetData>
    <row r="1" spans="1:22" x14ac:dyDescent="0.35">
      <c r="B1" s="1" t="s">
        <v>0</v>
      </c>
    </row>
    <row r="2" spans="1:22" x14ac:dyDescent="0.35">
      <c r="B2" s="1" t="s">
        <v>1</v>
      </c>
    </row>
    <row r="3" spans="1:22" x14ac:dyDescent="0.35">
      <c r="B3" s="2">
        <v>45291</v>
      </c>
    </row>
    <row r="4" spans="1:22" x14ac:dyDescent="0.35">
      <c r="F4" s="4">
        <v>44957</v>
      </c>
      <c r="G4" s="4">
        <v>44985</v>
      </c>
      <c r="H4" s="4">
        <v>45016</v>
      </c>
      <c r="I4" s="4">
        <v>45046</v>
      </c>
      <c r="J4" s="4">
        <v>45077</v>
      </c>
      <c r="K4" s="4">
        <v>45107</v>
      </c>
      <c r="L4" s="4">
        <v>45138</v>
      </c>
      <c r="M4" s="4">
        <v>45169</v>
      </c>
      <c r="N4" s="4">
        <v>45199</v>
      </c>
      <c r="O4" s="4">
        <v>45230</v>
      </c>
      <c r="P4" s="4">
        <v>45260</v>
      </c>
      <c r="Q4" s="4">
        <v>45291</v>
      </c>
      <c r="R4" s="3" t="s">
        <v>3</v>
      </c>
    </row>
    <row r="5" spans="1:22" x14ac:dyDescent="0.35">
      <c r="F5" s="3" t="s">
        <v>2</v>
      </c>
      <c r="G5" s="3" t="s">
        <v>2</v>
      </c>
      <c r="H5" s="3" t="s">
        <v>2</v>
      </c>
      <c r="I5" s="3" t="s">
        <v>2</v>
      </c>
      <c r="J5" s="3" t="s">
        <v>2</v>
      </c>
      <c r="K5" s="3" t="s">
        <v>2</v>
      </c>
      <c r="L5" s="3" t="s">
        <v>2</v>
      </c>
      <c r="M5" s="3" t="s">
        <v>2</v>
      </c>
      <c r="N5" s="3" t="s">
        <v>2</v>
      </c>
      <c r="O5" s="3" t="s">
        <v>2</v>
      </c>
      <c r="P5" s="3" t="s">
        <v>2</v>
      </c>
      <c r="Q5" s="3" t="s">
        <v>2</v>
      </c>
      <c r="T5" s="9" t="s">
        <v>305</v>
      </c>
      <c r="U5" s="9" t="s">
        <v>306</v>
      </c>
      <c r="V5" s="9" t="s">
        <v>307</v>
      </c>
    </row>
    <row r="6" spans="1:22" x14ac:dyDescent="0.35">
      <c r="B6" s="1" t="s">
        <v>4</v>
      </c>
    </row>
    <row r="7" spans="1:22" x14ac:dyDescent="0.35">
      <c r="B7" s="1" t="s">
        <v>5</v>
      </c>
    </row>
    <row r="8" spans="1:22" x14ac:dyDescent="0.35">
      <c r="B8" s="1">
        <v>40000</v>
      </c>
      <c r="C8" s="1" t="s">
        <v>6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T8" s="8"/>
      <c r="U8" s="8"/>
      <c r="V8" s="8"/>
    </row>
    <row r="9" spans="1:22" x14ac:dyDescent="0.35">
      <c r="B9" s="1">
        <v>40091</v>
      </c>
      <c r="C9" s="1" t="s">
        <v>7</v>
      </c>
      <c r="T9" s="8"/>
      <c r="U9" s="8"/>
      <c r="V9" s="8"/>
    </row>
    <row r="10" spans="1:22" x14ac:dyDescent="0.35">
      <c r="B10" s="1">
        <v>41000</v>
      </c>
      <c r="C10" s="1" t="s">
        <v>8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T10" s="8"/>
      <c r="U10" s="8"/>
      <c r="V10" s="8"/>
    </row>
    <row r="11" spans="1:22" x14ac:dyDescent="0.35">
      <c r="B11" s="1">
        <v>41010</v>
      </c>
      <c r="C11" s="1" t="s">
        <v>9</v>
      </c>
      <c r="R11" s="5"/>
      <c r="T11" s="8"/>
      <c r="U11" s="8"/>
      <c r="V11" s="8"/>
    </row>
    <row r="12" spans="1:22" x14ac:dyDescent="0.35">
      <c r="A12" s="6">
        <v>1</v>
      </c>
      <c r="B12" s="12" t="s">
        <v>10</v>
      </c>
      <c r="C12" s="12"/>
      <c r="D12" s="12"/>
      <c r="E12" s="12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T12" s="10"/>
      <c r="U12" s="10"/>
      <c r="V12" s="10"/>
    </row>
    <row r="13" spans="1:22" x14ac:dyDescent="0.35">
      <c r="T13" s="8"/>
      <c r="U13" s="8"/>
      <c r="V13" s="8"/>
    </row>
    <row r="14" spans="1:22" x14ac:dyDescent="0.35">
      <c r="B14" s="1" t="s">
        <v>11</v>
      </c>
      <c r="T14" s="8"/>
      <c r="U14" s="8"/>
      <c r="V14" s="8"/>
    </row>
    <row r="15" spans="1:22" x14ac:dyDescent="0.35">
      <c r="A15" s="6">
        <v>7</v>
      </c>
      <c r="B15" s="1">
        <v>40020</v>
      </c>
      <c r="C15" s="1" t="s">
        <v>12</v>
      </c>
      <c r="T15" s="8"/>
      <c r="U15" s="8"/>
      <c r="V15" s="8"/>
    </row>
    <row r="16" spans="1:22" x14ac:dyDescent="0.35">
      <c r="A16" s="6">
        <v>7</v>
      </c>
      <c r="B16" s="1">
        <v>40025</v>
      </c>
      <c r="C16" s="1" t="s">
        <v>13</v>
      </c>
      <c r="T16" s="8"/>
      <c r="U16" s="8"/>
      <c r="V16" s="8"/>
    </row>
    <row r="17" spans="1:22" x14ac:dyDescent="0.35">
      <c r="A17" s="6">
        <v>7</v>
      </c>
      <c r="B17" s="1">
        <v>40027</v>
      </c>
      <c r="C17" s="1" t="s">
        <v>14</v>
      </c>
      <c r="T17" s="8"/>
      <c r="U17" s="8"/>
      <c r="V17" s="8"/>
    </row>
    <row r="18" spans="1:22" x14ac:dyDescent="0.35">
      <c r="A18" s="6">
        <v>2</v>
      </c>
      <c r="B18" s="1">
        <v>41020</v>
      </c>
      <c r="C18" s="1" t="s">
        <v>15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T18" s="8"/>
      <c r="U18" s="8"/>
      <c r="V18" s="8"/>
    </row>
    <row r="19" spans="1:22" x14ac:dyDescent="0.35">
      <c r="A19" s="6">
        <v>5</v>
      </c>
      <c r="B19" s="1">
        <v>41030</v>
      </c>
      <c r="C19" s="1" t="s">
        <v>16</v>
      </c>
      <c r="T19" s="8"/>
      <c r="U19" s="8"/>
      <c r="V19" s="8"/>
    </row>
    <row r="20" spans="1:22" x14ac:dyDescent="0.35">
      <c r="A20" s="6">
        <v>5</v>
      </c>
      <c r="B20" s="1">
        <v>41040</v>
      </c>
      <c r="C20" s="1" t="s">
        <v>17</v>
      </c>
      <c r="T20" s="8"/>
      <c r="U20" s="8"/>
      <c r="V20" s="8"/>
    </row>
    <row r="21" spans="1:22" x14ac:dyDescent="0.35">
      <c r="A21" s="6">
        <v>3</v>
      </c>
      <c r="B21" s="1">
        <v>41050</v>
      </c>
      <c r="C21" s="1" t="s">
        <v>18</v>
      </c>
      <c r="T21" s="8"/>
      <c r="U21" s="8"/>
      <c r="V21" s="8"/>
    </row>
    <row r="22" spans="1:22" x14ac:dyDescent="0.35">
      <c r="A22" s="6">
        <v>3</v>
      </c>
      <c r="B22" s="1">
        <v>41070</v>
      </c>
      <c r="C22" s="1" t="s">
        <v>19</v>
      </c>
      <c r="T22" s="8"/>
      <c r="U22" s="8"/>
      <c r="V22" s="8"/>
    </row>
    <row r="23" spans="1:22" x14ac:dyDescent="0.35">
      <c r="A23" s="6">
        <v>3</v>
      </c>
      <c r="B23" s="1">
        <v>41080</v>
      </c>
      <c r="C23" s="1" t="s">
        <v>20</v>
      </c>
      <c r="R23" s="5"/>
      <c r="T23" s="8"/>
      <c r="U23" s="8"/>
      <c r="V23" s="8"/>
    </row>
    <row r="24" spans="1:22" x14ac:dyDescent="0.35">
      <c r="A24" s="6">
        <v>3</v>
      </c>
      <c r="B24" s="1">
        <v>41090</v>
      </c>
      <c r="C24" s="1" t="s">
        <v>21</v>
      </c>
      <c r="T24" s="8"/>
      <c r="U24" s="8"/>
      <c r="V24" s="8"/>
    </row>
    <row r="25" spans="1:22" x14ac:dyDescent="0.35">
      <c r="A25" s="6">
        <v>3</v>
      </c>
      <c r="B25" s="1">
        <v>41091</v>
      </c>
      <c r="C25" s="1" t="s">
        <v>22</v>
      </c>
      <c r="T25" s="8"/>
      <c r="U25" s="8"/>
      <c r="V25" s="8"/>
    </row>
    <row r="26" spans="1:22" x14ac:dyDescent="0.35">
      <c r="A26" s="6">
        <v>4</v>
      </c>
      <c r="B26" s="1">
        <v>41095</v>
      </c>
      <c r="C26" s="1" t="s">
        <v>23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T26" s="8"/>
      <c r="U26" s="8"/>
      <c r="V26" s="8"/>
    </row>
    <row r="27" spans="1:22" x14ac:dyDescent="0.35">
      <c r="A27" s="6">
        <v>4</v>
      </c>
      <c r="B27" s="1">
        <v>41096</v>
      </c>
      <c r="C27" s="1" t="s">
        <v>24</v>
      </c>
      <c r="T27" s="8"/>
      <c r="U27" s="8"/>
      <c r="V27" s="8"/>
    </row>
    <row r="28" spans="1:22" x14ac:dyDescent="0.35">
      <c r="A28" s="6">
        <v>4</v>
      </c>
      <c r="B28" s="1">
        <v>41097</v>
      </c>
      <c r="C28" s="1" t="s">
        <v>25</v>
      </c>
      <c r="T28" s="8"/>
      <c r="U28" s="8"/>
      <c r="V28" s="8"/>
    </row>
    <row r="29" spans="1:22" x14ac:dyDescent="0.35">
      <c r="B29" s="12" t="s">
        <v>26</v>
      </c>
      <c r="C29" s="12"/>
      <c r="D29" s="12"/>
      <c r="E29" s="12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T29" s="10"/>
      <c r="U29" s="10"/>
      <c r="V29" s="10"/>
    </row>
    <row r="30" spans="1:22" x14ac:dyDescent="0.35">
      <c r="T30" s="8"/>
      <c r="U30" s="8"/>
      <c r="V30" s="8"/>
    </row>
    <row r="31" spans="1:22" x14ac:dyDescent="0.35">
      <c r="B31" s="14" t="s">
        <v>27</v>
      </c>
      <c r="C31" s="14"/>
      <c r="D31" s="14"/>
      <c r="E31" s="14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T31" s="11"/>
      <c r="U31" s="11"/>
      <c r="V31" s="11"/>
    </row>
    <row r="32" spans="1:22" x14ac:dyDescent="0.35">
      <c r="T32" s="8"/>
      <c r="U32" s="8"/>
      <c r="V32" s="8"/>
    </row>
    <row r="33" spans="1:22" x14ac:dyDescent="0.35">
      <c r="B33" s="1" t="s">
        <v>28</v>
      </c>
      <c r="T33" s="8"/>
      <c r="U33" s="8"/>
      <c r="V33" s="8"/>
    </row>
    <row r="34" spans="1:22" x14ac:dyDescent="0.35">
      <c r="A34" s="6">
        <v>7</v>
      </c>
      <c r="B34" s="1">
        <v>42000</v>
      </c>
      <c r="C34" s="1" t="s">
        <v>29</v>
      </c>
      <c r="T34" s="8"/>
      <c r="U34" s="8"/>
      <c r="V34" s="8"/>
    </row>
    <row r="35" spans="1:22" x14ac:dyDescent="0.35">
      <c r="A35" s="6">
        <v>7</v>
      </c>
      <c r="B35" s="1">
        <v>42010</v>
      </c>
      <c r="C35" s="1" t="s">
        <v>30</v>
      </c>
      <c r="T35" s="8"/>
      <c r="U35" s="8"/>
      <c r="V35" s="8"/>
    </row>
    <row r="36" spans="1:22" x14ac:dyDescent="0.35">
      <c r="A36" s="6">
        <v>7</v>
      </c>
      <c r="B36" s="1">
        <v>42100</v>
      </c>
      <c r="C36" s="1" t="s">
        <v>31</v>
      </c>
      <c r="T36" s="8"/>
      <c r="U36" s="8"/>
      <c r="V36" s="8"/>
    </row>
    <row r="37" spans="1:22" x14ac:dyDescent="0.35">
      <c r="A37" s="6">
        <v>7</v>
      </c>
      <c r="B37" s="1">
        <v>42150</v>
      </c>
      <c r="C37" s="1" t="s">
        <v>32</v>
      </c>
      <c r="T37" s="8"/>
      <c r="U37" s="8"/>
      <c r="V37" s="8"/>
    </row>
    <row r="38" spans="1:22" x14ac:dyDescent="0.35">
      <c r="A38" s="6">
        <v>7</v>
      </c>
      <c r="B38" s="1">
        <v>42200</v>
      </c>
      <c r="C38" s="1" t="s">
        <v>33</v>
      </c>
      <c r="T38" s="8"/>
      <c r="U38" s="8"/>
      <c r="V38" s="8"/>
    </row>
    <row r="39" spans="1:22" x14ac:dyDescent="0.35">
      <c r="A39" s="6">
        <v>7</v>
      </c>
      <c r="B39" s="1">
        <v>42500</v>
      </c>
      <c r="C39" s="1" t="s">
        <v>34</v>
      </c>
      <c r="R39" s="5"/>
      <c r="T39" s="8"/>
      <c r="U39" s="8"/>
      <c r="V39" s="8"/>
    </row>
    <row r="40" spans="1:22" x14ac:dyDescent="0.35">
      <c r="A40" s="6">
        <v>7</v>
      </c>
      <c r="B40" s="1">
        <v>42505</v>
      </c>
      <c r="C40" s="1" t="s">
        <v>35</v>
      </c>
      <c r="R40" s="5"/>
      <c r="T40" s="8"/>
      <c r="U40" s="8"/>
      <c r="V40" s="8"/>
    </row>
    <row r="41" spans="1:22" x14ac:dyDescent="0.35">
      <c r="A41" s="6">
        <v>6</v>
      </c>
      <c r="B41" s="1">
        <v>42800</v>
      </c>
      <c r="C41" s="1" t="s">
        <v>36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T41" s="8"/>
      <c r="U41" s="8"/>
      <c r="V41" s="8"/>
    </row>
    <row r="42" spans="1:22" x14ac:dyDescent="0.35">
      <c r="A42" s="6">
        <v>7</v>
      </c>
      <c r="B42" s="1">
        <v>42810</v>
      </c>
      <c r="C42" s="1" t="s">
        <v>37</v>
      </c>
      <c r="T42" s="8"/>
      <c r="U42" s="8"/>
      <c r="V42" s="8"/>
    </row>
    <row r="43" spans="1:22" x14ac:dyDescent="0.35">
      <c r="A43" s="6">
        <v>7</v>
      </c>
      <c r="B43" s="1">
        <v>42900</v>
      </c>
      <c r="C43" s="1" t="s">
        <v>38</v>
      </c>
      <c r="T43" s="8"/>
      <c r="U43" s="8"/>
      <c r="V43" s="8"/>
    </row>
    <row r="44" spans="1:22" x14ac:dyDescent="0.35">
      <c r="A44" s="6">
        <v>7</v>
      </c>
      <c r="B44" s="1">
        <v>42905</v>
      </c>
      <c r="C44" s="1" t="s">
        <v>39</v>
      </c>
      <c r="T44" s="8"/>
      <c r="U44" s="8"/>
      <c r="V44" s="8"/>
    </row>
    <row r="45" spans="1:22" x14ac:dyDescent="0.35">
      <c r="A45" s="6">
        <v>7</v>
      </c>
      <c r="B45" s="1">
        <v>43300</v>
      </c>
      <c r="C45" s="1" t="s">
        <v>40</v>
      </c>
      <c r="R45" s="5"/>
      <c r="T45" s="8"/>
      <c r="U45" s="8"/>
      <c r="V45" s="8"/>
    </row>
    <row r="46" spans="1:22" x14ac:dyDescent="0.35">
      <c r="A46" s="6">
        <v>7</v>
      </c>
      <c r="B46" s="1">
        <v>43305</v>
      </c>
      <c r="C46" s="1" t="s">
        <v>41</v>
      </c>
      <c r="T46" s="8"/>
      <c r="U46" s="8"/>
      <c r="V46" s="8"/>
    </row>
    <row r="47" spans="1:22" x14ac:dyDescent="0.35">
      <c r="A47" s="6">
        <v>7</v>
      </c>
      <c r="B47" s="1">
        <v>43325</v>
      </c>
      <c r="C47" s="1" t="s">
        <v>42</v>
      </c>
      <c r="H47" s="5"/>
      <c r="R47" s="5"/>
      <c r="T47" s="8"/>
      <c r="U47" s="8"/>
      <c r="V47" s="8"/>
    </row>
    <row r="48" spans="1:22" x14ac:dyDescent="0.35">
      <c r="A48" s="6">
        <v>7</v>
      </c>
      <c r="B48" s="1">
        <v>43350</v>
      </c>
      <c r="C48" s="1" t="s">
        <v>43</v>
      </c>
      <c r="R48" s="5"/>
      <c r="T48" s="8"/>
      <c r="U48" s="8"/>
      <c r="V48" s="8"/>
    </row>
    <row r="49" spans="1:22" x14ac:dyDescent="0.35">
      <c r="A49" s="6">
        <v>7</v>
      </c>
      <c r="B49" s="1">
        <v>43355</v>
      </c>
      <c r="C49" s="1" t="s">
        <v>44</v>
      </c>
      <c r="T49" s="8"/>
      <c r="U49" s="8"/>
      <c r="V49" s="8"/>
    </row>
    <row r="50" spans="1:22" x14ac:dyDescent="0.35">
      <c r="A50" s="6">
        <v>7</v>
      </c>
      <c r="B50" s="1">
        <v>43375</v>
      </c>
      <c r="C50" s="1" t="s">
        <v>45</v>
      </c>
      <c r="T50" s="8"/>
      <c r="U50" s="8"/>
      <c r="V50" s="8"/>
    </row>
    <row r="51" spans="1:22" x14ac:dyDescent="0.35">
      <c r="A51" s="6">
        <v>7</v>
      </c>
      <c r="B51" s="1">
        <v>43400</v>
      </c>
      <c r="C51" s="1" t="s">
        <v>46</v>
      </c>
      <c r="G51" s="5"/>
      <c r="H51" s="5"/>
      <c r="L51" s="5"/>
      <c r="R51" s="5"/>
      <c r="T51" s="8"/>
      <c r="U51" s="8"/>
      <c r="V51" s="8"/>
    </row>
    <row r="52" spans="1:22" x14ac:dyDescent="0.35">
      <c r="A52" s="6">
        <v>7</v>
      </c>
      <c r="B52" s="1">
        <v>43405</v>
      </c>
      <c r="C52" s="1" t="s">
        <v>47</v>
      </c>
      <c r="R52" s="5"/>
      <c r="T52" s="8"/>
      <c r="U52" s="8"/>
      <c r="V52" s="8"/>
    </row>
    <row r="53" spans="1:22" x14ac:dyDescent="0.35">
      <c r="A53" s="6">
        <v>7</v>
      </c>
      <c r="B53" s="1">
        <v>43410</v>
      </c>
      <c r="C53" s="1" t="s">
        <v>48</v>
      </c>
      <c r="T53" s="8"/>
      <c r="U53" s="8"/>
      <c r="V53" s="8"/>
    </row>
    <row r="54" spans="1:22" x14ac:dyDescent="0.35">
      <c r="A54" s="6">
        <v>7</v>
      </c>
      <c r="B54" s="1">
        <v>43500</v>
      </c>
      <c r="C54" s="1" t="s">
        <v>49</v>
      </c>
      <c r="T54" s="8"/>
      <c r="U54" s="8"/>
      <c r="V54" s="8"/>
    </row>
    <row r="55" spans="1:22" x14ac:dyDescent="0.35">
      <c r="A55" s="6">
        <v>7</v>
      </c>
      <c r="B55" s="1">
        <v>43510</v>
      </c>
      <c r="C55" s="1" t="s">
        <v>50</v>
      </c>
      <c r="R55" s="5"/>
      <c r="T55" s="8"/>
      <c r="U55" s="8"/>
      <c r="V55" s="8"/>
    </row>
    <row r="56" spans="1:22" x14ac:dyDescent="0.35">
      <c r="A56" s="6">
        <v>7</v>
      </c>
      <c r="B56" s="1">
        <v>43520</v>
      </c>
      <c r="C56" s="1" t="s">
        <v>51</v>
      </c>
      <c r="G56" s="5"/>
      <c r="H56" s="5"/>
      <c r="I56" s="5"/>
      <c r="J56" s="5"/>
      <c r="K56" s="5"/>
      <c r="L56" s="5"/>
      <c r="N56" s="5"/>
      <c r="R56" s="5"/>
      <c r="T56" s="8"/>
      <c r="U56" s="8"/>
      <c r="V56" s="8"/>
    </row>
    <row r="57" spans="1:22" x14ac:dyDescent="0.35">
      <c r="A57" s="6">
        <v>7</v>
      </c>
      <c r="B57" s="1">
        <v>43530</v>
      </c>
      <c r="C57" s="1" t="s">
        <v>52</v>
      </c>
      <c r="R57" s="5"/>
      <c r="T57" s="8"/>
      <c r="U57" s="8"/>
      <c r="V57" s="8"/>
    </row>
    <row r="58" spans="1:22" x14ac:dyDescent="0.35">
      <c r="A58" s="6">
        <v>7</v>
      </c>
      <c r="B58" s="1">
        <v>43540</v>
      </c>
      <c r="C58" s="1" t="s">
        <v>53</v>
      </c>
      <c r="F58" s="5"/>
      <c r="G58" s="5"/>
      <c r="H58" s="5"/>
      <c r="I58" s="5"/>
      <c r="N58" s="5"/>
      <c r="P58" s="5"/>
      <c r="R58" s="5"/>
      <c r="T58" s="8"/>
      <c r="U58" s="8"/>
      <c r="V58" s="8"/>
    </row>
    <row r="59" spans="1:22" x14ac:dyDescent="0.35">
      <c r="A59" s="6">
        <v>7</v>
      </c>
      <c r="B59" s="1">
        <v>43550</v>
      </c>
      <c r="C59" s="1" t="s">
        <v>54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T59" s="8"/>
      <c r="U59" s="8"/>
      <c r="V59" s="8"/>
    </row>
    <row r="60" spans="1:22" x14ac:dyDescent="0.35">
      <c r="A60" s="6">
        <v>7</v>
      </c>
      <c r="B60" s="1">
        <v>43355</v>
      </c>
      <c r="C60" s="1" t="s">
        <v>55</v>
      </c>
      <c r="T60" s="8"/>
      <c r="U60" s="8"/>
      <c r="V60" s="8"/>
    </row>
    <row r="61" spans="1:22" x14ac:dyDescent="0.35">
      <c r="A61" s="6">
        <v>7</v>
      </c>
      <c r="B61" s="1">
        <v>43560</v>
      </c>
      <c r="C61" s="1" t="s">
        <v>56</v>
      </c>
      <c r="T61" s="8"/>
      <c r="U61" s="8"/>
      <c r="V61" s="8"/>
    </row>
    <row r="62" spans="1:22" x14ac:dyDescent="0.35">
      <c r="A62" s="6">
        <v>7</v>
      </c>
      <c r="B62" s="1">
        <v>43570</v>
      </c>
      <c r="C62" s="1" t="s">
        <v>57</v>
      </c>
      <c r="T62" s="8"/>
      <c r="U62" s="8"/>
      <c r="V62" s="8"/>
    </row>
    <row r="63" spans="1:22" x14ac:dyDescent="0.35">
      <c r="A63" s="6">
        <v>7</v>
      </c>
      <c r="B63" s="1">
        <v>43575</v>
      </c>
      <c r="C63" s="1" t="s">
        <v>58</v>
      </c>
      <c r="T63" s="8"/>
      <c r="U63" s="8"/>
      <c r="V63" s="8"/>
    </row>
    <row r="64" spans="1:22" x14ac:dyDescent="0.35">
      <c r="A64" s="6">
        <v>7</v>
      </c>
      <c r="B64" s="1">
        <v>43600</v>
      </c>
      <c r="C64" s="1" t="s">
        <v>59</v>
      </c>
      <c r="T64" s="8"/>
      <c r="U64" s="8"/>
      <c r="V64" s="8"/>
    </row>
    <row r="65" spans="1:22" x14ac:dyDescent="0.35">
      <c r="A65" s="6">
        <v>7</v>
      </c>
      <c r="B65" s="1">
        <v>43610</v>
      </c>
      <c r="C65" s="1" t="s">
        <v>60</v>
      </c>
      <c r="T65" s="8"/>
      <c r="U65" s="8"/>
      <c r="V65" s="8"/>
    </row>
    <row r="66" spans="1:22" x14ac:dyDescent="0.35">
      <c r="A66" s="6">
        <v>7</v>
      </c>
      <c r="B66" s="1">
        <v>44200</v>
      </c>
      <c r="C66" s="1" t="s">
        <v>61</v>
      </c>
      <c r="T66" s="8"/>
      <c r="U66" s="8"/>
      <c r="V66" s="8"/>
    </row>
    <row r="67" spans="1:22" x14ac:dyDescent="0.35">
      <c r="A67" s="6">
        <v>7</v>
      </c>
      <c r="B67" s="1">
        <v>44210</v>
      </c>
      <c r="C67" s="1" t="s">
        <v>62</v>
      </c>
      <c r="T67" s="8"/>
      <c r="U67" s="8"/>
      <c r="V67" s="8"/>
    </row>
    <row r="68" spans="1:22" x14ac:dyDescent="0.35">
      <c r="A68" s="6">
        <v>7</v>
      </c>
      <c r="B68" s="1">
        <v>44500</v>
      </c>
      <c r="C68" s="1" t="s">
        <v>63</v>
      </c>
      <c r="T68" s="8"/>
      <c r="U68" s="8"/>
      <c r="V68" s="8"/>
    </row>
    <row r="69" spans="1:22" x14ac:dyDescent="0.35">
      <c r="A69" s="6">
        <v>7</v>
      </c>
      <c r="B69" s="1">
        <v>44505</v>
      </c>
      <c r="C69" s="1" t="s">
        <v>64</v>
      </c>
      <c r="T69" s="8"/>
      <c r="U69" s="8"/>
      <c r="V69" s="8"/>
    </row>
    <row r="70" spans="1:22" x14ac:dyDescent="0.35">
      <c r="A70" s="6">
        <v>7</v>
      </c>
      <c r="B70" s="1">
        <v>44600</v>
      </c>
      <c r="C70" s="1" t="s">
        <v>65</v>
      </c>
      <c r="T70" s="8"/>
      <c r="U70" s="8"/>
      <c r="V70" s="8"/>
    </row>
    <row r="71" spans="1:22" x14ac:dyDescent="0.35">
      <c r="A71" s="6">
        <v>7</v>
      </c>
      <c r="B71" s="1">
        <v>44605</v>
      </c>
      <c r="C71" s="1" t="s">
        <v>66</v>
      </c>
      <c r="T71" s="8"/>
      <c r="U71" s="8"/>
      <c r="V71" s="8"/>
    </row>
    <row r="72" spans="1:22" x14ac:dyDescent="0.35">
      <c r="A72" s="6">
        <v>7</v>
      </c>
      <c r="B72" s="1">
        <v>44610</v>
      </c>
      <c r="C72" s="1" t="s">
        <v>67</v>
      </c>
      <c r="T72" s="8"/>
      <c r="U72" s="8"/>
      <c r="V72" s="8"/>
    </row>
    <row r="73" spans="1:22" x14ac:dyDescent="0.35">
      <c r="A73" s="6">
        <v>7</v>
      </c>
      <c r="B73" s="1">
        <v>44700</v>
      </c>
      <c r="C73" s="1" t="s">
        <v>68</v>
      </c>
      <c r="T73" s="8"/>
      <c r="U73" s="8"/>
      <c r="V73" s="8"/>
    </row>
    <row r="74" spans="1:22" x14ac:dyDescent="0.35">
      <c r="A74" s="6">
        <v>7</v>
      </c>
      <c r="B74" s="1">
        <v>44750</v>
      </c>
      <c r="C74" s="1" t="s">
        <v>69</v>
      </c>
      <c r="T74" s="8"/>
      <c r="U74" s="8"/>
      <c r="V74" s="8"/>
    </row>
    <row r="75" spans="1:22" x14ac:dyDescent="0.35">
      <c r="A75" s="6">
        <v>7</v>
      </c>
      <c r="B75" s="1">
        <v>44780</v>
      </c>
      <c r="C75" s="1" t="s">
        <v>70</v>
      </c>
      <c r="R75" s="5"/>
      <c r="T75" s="8"/>
      <c r="U75" s="8"/>
      <c r="V75" s="8"/>
    </row>
    <row r="76" spans="1:22" x14ac:dyDescent="0.35">
      <c r="A76" s="6">
        <v>7</v>
      </c>
      <c r="B76" s="1">
        <v>44785</v>
      </c>
      <c r="C76" s="1" t="s">
        <v>71</v>
      </c>
      <c r="T76" s="8"/>
      <c r="U76" s="8"/>
      <c r="V76" s="8"/>
    </row>
    <row r="77" spans="1:22" x14ac:dyDescent="0.35">
      <c r="A77" s="6">
        <v>7</v>
      </c>
      <c r="B77" s="1">
        <v>44790</v>
      </c>
      <c r="C77" s="1" t="s">
        <v>72</v>
      </c>
      <c r="T77" s="8"/>
      <c r="U77" s="8"/>
      <c r="V77" s="8"/>
    </row>
    <row r="78" spans="1:22" x14ac:dyDescent="0.35">
      <c r="A78" s="6">
        <v>7</v>
      </c>
      <c r="B78" s="1">
        <v>44900</v>
      </c>
      <c r="C78" s="1" t="s">
        <v>73</v>
      </c>
      <c r="R78" s="5"/>
      <c r="T78" s="8"/>
      <c r="U78" s="8"/>
      <c r="V78" s="8"/>
    </row>
    <row r="79" spans="1:22" x14ac:dyDescent="0.35">
      <c r="A79" s="6">
        <v>7</v>
      </c>
      <c r="B79" s="1">
        <v>44925</v>
      </c>
      <c r="C79" s="1" t="s">
        <v>74</v>
      </c>
      <c r="T79" s="8"/>
      <c r="U79" s="8"/>
      <c r="V79" s="8"/>
    </row>
    <row r="80" spans="1:22" x14ac:dyDescent="0.35">
      <c r="A80" s="6">
        <v>7</v>
      </c>
      <c r="B80" s="1">
        <v>44950</v>
      </c>
      <c r="C80" s="1" t="s">
        <v>75</v>
      </c>
      <c r="R80" s="5"/>
      <c r="T80" s="8"/>
      <c r="U80" s="8"/>
      <c r="V80" s="8"/>
    </row>
    <row r="81" spans="1:22" x14ac:dyDescent="0.35">
      <c r="A81" s="6">
        <v>7</v>
      </c>
      <c r="B81" s="1">
        <v>44952</v>
      </c>
      <c r="C81" s="1" t="s">
        <v>76</v>
      </c>
      <c r="T81" s="8"/>
      <c r="U81" s="8"/>
      <c r="V81" s="8"/>
    </row>
    <row r="82" spans="1:22" x14ac:dyDescent="0.35">
      <c r="A82" s="6">
        <v>7</v>
      </c>
      <c r="B82" s="1">
        <v>44960</v>
      </c>
      <c r="C82" s="1" t="s">
        <v>77</v>
      </c>
      <c r="T82" s="8"/>
      <c r="U82" s="8"/>
      <c r="V82" s="8"/>
    </row>
    <row r="83" spans="1:22" x14ac:dyDescent="0.35">
      <c r="A83" s="6">
        <v>7</v>
      </c>
      <c r="B83" s="1">
        <v>44965</v>
      </c>
      <c r="C83" s="1" t="s">
        <v>78</v>
      </c>
      <c r="T83" s="8"/>
      <c r="U83" s="8"/>
      <c r="V83" s="8"/>
    </row>
    <row r="84" spans="1:22" x14ac:dyDescent="0.35">
      <c r="A84" s="6">
        <v>7</v>
      </c>
      <c r="B84" s="1">
        <v>44970</v>
      </c>
      <c r="C84" s="1" t="s">
        <v>79</v>
      </c>
      <c r="T84" s="8"/>
      <c r="U84" s="8"/>
      <c r="V84" s="8"/>
    </row>
    <row r="85" spans="1:22" x14ac:dyDescent="0.35">
      <c r="A85" s="6">
        <v>7</v>
      </c>
      <c r="B85" s="1">
        <v>44973</v>
      </c>
      <c r="C85" s="1" t="s">
        <v>39</v>
      </c>
      <c r="R85" s="5"/>
      <c r="T85" s="8"/>
      <c r="U85" s="8"/>
      <c r="V85" s="8"/>
    </row>
    <row r="86" spans="1:22" x14ac:dyDescent="0.35">
      <c r="A86" s="6">
        <v>7</v>
      </c>
      <c r="B86" s="1">
        <v>44975</v>
      </c>
      <c r="C86" s="1" t="s">
        <v>80</v>
      </c>
      <c r="F86" s="5"/>
      <c r="H86" s="5"/>
      <c r="I86" s="5"/>
      <c r="L86" s="5"/>
      <c r="N86" s="5"/>
      <c r="P86" s="5"/>
      <c r="R86" s="5"/>
      <c r="T86" s="8"/>
      <c r="U86" s="8"/>
      <c r="V86" s="8"/>
    </row>
    <row r="87" spans="1:22" x14ac:dyDescent="0.35">
      <c r="A87" s="6">
        <v>7</v>
      </c>
      <c r="B87" s="1">
        <v>44976</v>
      </c>
      <c r="C87" s="1" t="s">
        <v>81</v>
      </c>
      <c r="T87" s="8"/>
      <c r="U87" s="8"/>
      <c r="V87" s="8"/>
    </row>
    <row r="88" spans="1:22" x14ac:dyDescent="0.35">
      <c r="A88" s="6">
        <v>7</v>
      </c>
      <c r="B88" s="1">
        <v>44980</v>
      </c>
      <c r="C88" s="1" t="s">
        <v>82</v>
      </c>
      <c r="T88" s="8"/>
      <c r="U88" s="8"/>
      <c r="V88" s="8"/>
    </row>
    <row r="89" spans="1:22" x14ac:dyDescent="0.35">
      <c r="A89" s="6">
        <v>7</v>
      </c>
      <c r="B89" s="1">
        <v>45000</v>
      </c>
      <c r="C89" s="1" t="s">
        <v>28</v>
      </c>
      <c r="I89" s="5"/>
      <c r="K89" s="5"/>
      <c r="R89" s="5"/>
      <c r="T89" s="8"/>
      <c r="U89" s="8"/>
      <c r="V89" s="8"/>
    </row>
    <row r="90" spans="1:22" x14ac:dyDescent="0.35">
      <c r="A90" s="6">
        <v>7</v>
      </c>
      <c r="B90" s="1">
        <v>46000</v>
      </c>
      <c r="C90" s="1" t="s">
        <v>83</v>
      </c>
      <c r="T90" s="8"/>
      <c r="U90" s="8"/>
      <c r="V90" s="8"/>
    </row>
    <row r="91" spans="1:22" x14ac:dyDescent="0.35">
      <c r="A91" s="6">
        <v>7</v>
      </c>
      <c r="B91" s="1">
        <v>49998</v>
      </c>
      <c r="C91" s="1" t="s">
        <v>84</v>
      </c>
      <c r="T91" s="8"/>
      <c r="U91" s="8"/>
      <c r="V91" s="8"/>
    </row>
    <row r="92" spans="1:22" x14ac:dyDescent="0.35">
      <c r="A92" s="6">
        <v>7</v>
      </c>
      <c r="B92" s="1">
        <v>49999</v>
      </c>
      <c r="C92" s="1" t="s">
        <v>85</v>
      </c>
      <c r="F92" s="5"/>
      <c r="G92" s="5"/>
      <c r="H92" s="5"/>
      <c r="J92" s="5"/>
      <c r="O92" s="5"/>
      <c r="Q92" s="5"/>
      <c r="R92" s="5"/>
      <c r="T92" s="8"/>
      <c r="U92" s="8"/>
      <c r="V92" s="8"/>
    </row>
    <row r="93" spans="1:22" x14ac:dyDescent="0.35">
      <c r="B93" s="12" t="s">
        <v>86</v>
      </c>
      <c r="C93" s="12"/>
      <c r="D93" s="12"/>
      <c r="E93" s="12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T93" s="10"/>
      <c r="U93" s="10"/>
      <c r="V93" s="10"/>
    </row>
    <row r="94" spans="1:22" x14ac:dyDescent="0.35">
      <c r="T94" s="8"/>
      <c r="U94" s="8"/>
      <c r="V94" s="8"/>
    </row>
    <row r="95" spans="1:22" x14ac:dyDescent="0.35">
      <c r="B95" s="14" t="s">
        <v>87</v>
      </c>
      <c r="C95" s="14"/>
      <c r="D95" s="14"/>
      <c r="E95" s="14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T95" s="11"/>
      <c r="U95" s="11"/>
      <c r="V95" s="11"/>
    </row>
    <row r="96" spans="1:22" x14ac:dyDescent="0.35">
      <c r="T96" s="8"/>
      <c r="U96" s="8"/>
      <c r="V96" s="8"/>
    </row>
    <row r="97" spans="2:22" x14ac:dyDescent="0.35">
      <c r="B97" s="1" t="s">
        <v>88</v>
      </c>
      <c r="T97" s="8"/>
      <c r="U97" s="8"/>
      <c r="V97" s="8"/>
    </row>
    <row r="98" spans="2:22" x14ac:dyDescent="0.35">
      <c r="B98" s="1" t="s">
        <v>89</v>
      </c>
      <c r="T98" s="8"/>
      <c r="U98" s="8"/>
      <c r="V98" s="8"/>
    </row>
    <row r="99" spans="2:22" x14ac:dyDescent="0.35">
      <c r="B99" s="1">
        <v>60000</v>
      </c>
      <c r="C99" s="1" t="s">
        <v>90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T99" s="8"/>
      <c r="U99" s="8"/>
      <c r="V99" s="8"/>
    </row>
    <row r="100" spans="2:22" x14ac:dyDescent="0.35">
      <c r="B100" s="1">
        <v>60040</v>
      </c>
      <c r="C100" s="1" t="s">
        <v>91</v>
      </c>
      <c r="J100" s="5"/>
      <c r="K100" s="5"/>
      <c r="R100" s="5"/>
      <c r="T100" s="8"/>
      <c r="U100" s="8"/>
      <c r="V100" s="8"/>
    </row>
    <row r="101" spans="2:22" x14ac:dyDescent="0.35">
      <c r="B101" s="1">
        <v>60050</v>
      </c>
      <c r="C101" s="1" t="s">
        <v>92</v>
      </c>
      <c r="T101" s="8"/>
      <c r="U101" s="8"/>
      <c r="V101" s="8"/>
    </row>
    <row r="102" spans="2:22" x14ac:dyDescent="0.35">
      <c r="B102" s="1">
        <v>60055</v>
      </c>
      <c r="C102" s="1" t="s">
        <v>93</v>
      </c>
      <c r="T102" s="8"/>
      <c r="U102" s="8"/>
      <c r="V102" s="8"/>
    </row>
    <row r="103" spans="2:22" x14ac:dyDescent="0.35">
      <c r="B103" s="1">
        <v>60100</v>
      </c>
      <c r="C103" s="1" t="s">
        <v>94</v>
      </c>
      <c r="T103" s="8"/>
      <c r="U103" s="8"/>
      <c r="V103" s="8"/>
    </row>
    <row r="104" spans="2:22" x14ac:dyDescent="0.35">
      <c r="B104" s="1">
        <v>60200</v>
      </c>
      <c r="C104" s="1" t="s">
        <v>95</v>
      </c>
      <c r="Q104" s="5"/>
      <c r="R104" s="5"/>
      <c r="T104" s="8"/>
      <c r="U104" s="8"/>
      <c r="V104" s="8"/>
    </row>
    <row r="105" spans="2:22" x14ac:dyDescent="0.35">
      <c r="B105" s="1">
        <v>60210</v>
      </c>
      <c r="C105" s="1" t="s">
        <v>96</v>
      </c>
      <c r="M105" s="5"/>
      <c r="R105" s="5"/>
      <c r="T105" s="8"/>
      <c r="U105" s="8"/>
      <c r="V105" s="8"/>
    </row>
    <row r="106" spans="2:22" x14ac:dyDescent="0.35">
      <c r="B106" s="1">
        <v>60250</v>
      </c>
      <c r="C106" s="1" t="s">
        <v>97</v>
      </c>
      <c r="G106" s="5"/>
      <c r="R106" s="5"/>
      <c r="T106" s="8"/>
      <c r="U106" s="8"/>
      <c r="V106" s="8"/>
    </row>
    <row r="107" spans="2:22" x14ac:dyDescent="0.35">
      <c r="B107" s="1">
        <v>60300</v>
      </c>
      <c r="C107" s="1" t="s">
        <v>98</v>
      </c>
      <c r="T107" s="8"/>
      <c r="U107" s="8"/>
      <c r="V107" s="8"/>
    </row>
    <row r="108" spans="2:22" x14ac:dyDescent="0.35">
      <c r="B108" s="1">
        <v>60310</v>
      </c>
      <c r="C108" s="1" t="s">
        <v>99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T108" s="8"/>
      <c r="U108" s="8"/>
      <c r="V108" s="8"/>
    </row>
    <row r="109" spans="2:22" x14ac:dyDescent="0.35">
      <c r="B109" s="1">
        <v>60350</v>
      </c>
      <c r="C109" s="1" t="s">
        <v>100</v>
      </c>
      <c r="T109" s="8"/>
      <c r="U109" s="8"/>
      <c r="V109" s="8"/>
    </row>
    <row r="110" spans="2:22" x14ac:dyDescent="0.35">
      <c r="B110" s="1">
        <v>60355</v>
      </c>
      <c r="C110" s="1" t="s">
        <v>101</v>
      </c>
      <c r="R110" s="5"/>
      <c r="T110" s="8"/>
      <c r="U110" s="8"/>
      <c r="V110" s="8"/>
    </row>
    <row r="111" spans="2:22" x14ac:dyDescent="0.35">
      <c r="B111" s="1">
        <v>60400</v>
      </c>
      <c r="C111" s="1" t="s">
        <v>102</v>
      </c>
      <c r="R111" s="5"/>
      <c r="T111" s="8"/>
      <c r="U111" s="8"/>
      <c r="V111" s="8"/>
    </row>
    <row r="112" spans="2:22" x14ac:dyDescent="0.35">
      <c r="B112" s="1">
        <v>60533</v>
      </c>
      <c r="C112" s="1" t="s">
        <v>103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T112" s="8"/>
      <c r="U112" s="8"/>
      <c r="V112" s="8"/>
    </row>
    <row r="113" spans="1:22" x14ac:dyDescent="0.35">
      <c r="B113" s="1">
        <v>60537</v>
      </c>
      <c r="C113" s="1" t="s">
        <v>104</v>
      </c>
      <c r="T113" s="8"/>
      <c r="U113" s="8"/>
      <c r="V113" s="8"/>
    </row>
    <row r="114" spans="1:22" x14ac:dyDescent="0.35">
      <c r="B114" s="1">
        <v>60600</v>
      </c>
      <c r="C114" s="1" t="s">
        <v>105</v>
      </c>
      <c r="T114" s="8"/>
      <c r="U114" s="8"/>
      <c r="V114" s="8"/>
    </row>
    <row r="115" spans="1:22" x14ac:dyDescent="0.35">
      <c r="A115" s="21">
        <v>8</v>
      </c>
      <c r="B115" s="12" t="s">
        <v>106</v>
      </c>
      <c r="C115" s="12"/>
      <c r="D115" s="12"/>
      <c r="E115" s="12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T115" s="10"/>
      <c r="U115" s="10"/>
      <c r="V115" s="10"/>
    </row>
    <row r="116" spans="1:22" x14ac:dyDescent="0.35">
      <c r="A116" s="21"/>
      <c r="T116" s="8"/>
      <c r="U116" s="8"/>
      <c r="V116" s="8"/>
    </row>
    <row r="117" spans="1:22" x14ac:dyDescent="0.35">
      <c r="A117" s="21"/>
      <c r="B117" s="1" t="s">
        <v>107</v>
      </c>
      <c r="T117" s="8"/>
      <c r="U117" s="8"/>
      <c r="V117" s="8"/>
    </row>
    <row r="118" spans="1:22" x14ac:dyDescent="0.35">
      <c r="A118" s="21"/>
      <c r="B118" s="1">
        <v>61000</v>
      </c>
      <c r="C118" s="1" t="s">
        <v>108</v>
      </c>
      <c r="F118" s="5"/>
      <c r="H118" s="5"/>
      <c r="I118" s="5"/>
      <c r="L118" s="5"/>
      <c r="N118" s="5"/>
      <c r="O118" s="5"/>
      <c r="P118" s="5"/>
      <c r="R118" s="5"/>
      <c r="T118" s="8"/>
      <c r="U118" s="8"/>
      <c r="V118" s="8"/>
    </row>
    <row r="119" spans="1:22" x14ac:dyDescent="0.35">
      <c r="A119" s="21"/>
      <c r="B119" s="1">
        <v>61005</v>
      </c>
      <c r="C119" s="1" t="s">
        <v>109</v>
      </c>
      <c r="F119" s="5"/>
      <c r="I119" s="5"/>
      <c r="L119" s="5"/>
      <c r="N119" s="5"/>
      <c r="O119" s="5"/>
      <c r="Q119" s="5"/>
      <c r="R119" s="5"/>
      <c r="T119" s="8"/>
      <c r="U119" s="8"/>
      <c r="V119" s="8"/>
    </row>
    <row r="120" spans="1:22" x14ac:dyDescent="0.35">
      <c r="A120" s="21"/>
      <c r="B120" s="1">
        <v>61010</v>
      </c>
      <c r="C120" s="1" t="s">
        <v>110</v>
      </c>
      <c r="R120" s="5"/>
      <c r="T120" s="8"/>
      <c r="U120" s="8"/>
      <c r="V120" s="8"/>
    </row>
    <row r="121" spans="1:22" x14ac:dyDescent="0.35">
      <c r="A121" s="21"/>
      <c r="B121" s="1">
        <v>61015</v>
      </c>
      <c r="C121" s="1" t="s">
        <v>111</v>
      </c>
      <c r="Q121" s="5"/>
      <c r="R121" s="5"/>
      <c r="T121" s="8"/>
      <c r="U121" s="8"/>
      <c r="V121" s="8"/>
    </row>
    <row r="122" spans="1:22" x14ac:dyDescent="0.35">
      <c r="A122" s="21"/>
      <c r="B122" s="1">
        <v>61020</v>
      </c>
      <c r="C122" s="1" t="s">
        <v>112</v>
      </c>
      <c r="T122" s="8"/>
      <c r="U122" s="8"/>
      <c r="V122" s="8"/>
    </row>
    <row r="123" spans="1:22" x14ac:dyDescent="0.35">
      <c r="A123" s="21"/>
      <c r="B123" s="1">
        <v>61025</v>
      </c>
      <c r="C123" s="1" t="s">
        <v>113</v>
      </c>
      <c r="R123" s="5"/>
      <c r="T123" s="8"/>
      <c r="U123" s="8"/>
      <c r="V123" s="8"/>
    </row>
    <row r="124" spans="1:22" x14ac:dyDescent="0.35">
      <c r="B124" s="1">
        <v>61026</v>
      </c>
      <c r="C124" s="1" t="s">
        <v>114</v>
      </c>
      <c r="F124" s="5"/>
      <c r="J124" s="5"/>
      <c r="N124" s="5"/>
      <c r="O124" s="5"/>
      <c r="R124" s="5"/>
      <c r="T124" s="8"/>
      <c r="U124" s="8"/>
      <c r="V124" s="8"/>
    </row>
    <row r="125" spans="1:22" x14ac:dyDescent="0.35">
      <c r="A125" s="21"/>
      <c r="B125" s="1">
        <v>61030</v>
      </c>
      <c r="C125" s="1" t="s">
        <v>115</v>
      </c>
      <c r="T125" s="8"/>
      <c r="U125" s="8"/>
      <c r="V125" s="8"/>
    </row>
    <row r="126" spans="1:22" x14ac:dyDescent="0.35">
      <c r="A126" s="21">
        <v>13</v>
      </c>
      <c r="B126" s="12" t="s">
        <v>116</v>
      </c>
      <c r="C126" s="12"/>
      <c r="D126" s="12"/>
      <c r="E126" s="12"/>
      <c r="F126" s="13"/>
      <c r="G126" s="16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T126" s="10"/>
      <c r="U126" s="10"/>
      <c r="V126" s="10"/>
    </row>
    <row r="127" spans="1:22" x14ac:dyDescent="0.35">
      <c r="A127" s="21"/>
      <c r="T127" s="8"/>
      <c r="U127" s="8"/>
      <c r="V127" s="8"/>
    </row>
    <row r="128" spans="1:22" x14ac:dyDescent="0.35">
      <c r="A128" s="21"/>
      <c r="B128" s="1" t="s">
        <v>117</v>
      </c>
      <c r="T128" s="8"/>
      <c r="U128" s="8"/>
      <c r="V128" s="8"/>
    </row>
    <row r="129" spans="1:22" x14ac:dyDescent="0.35">
      <c r="A129" s="21"/>
      <c r="B129" s="1">
        <v>62000</v>
      </c>
      <c r="C129" s="1" t="s">
        <v>118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T129" s="8"/>
      <c r="U129" s="8"/>
      <c r="V129" s="8"/>
    </row>
    <row r="130" spans="1:22" x14ac:dyDescent="0.35">
      <c r="A130" s="21"/>
      <c r="B130" s="1">
        <v>62010</v>
      </c>
      <c r="C130" s="1" t="s">
        <v>119</v>
      </c>
      <c r="T130" s="8"/>
      <c r="U130" s="8"/>
      <c r="V130" s="8"/>
    </row>
    <row r="131" spans="1:22" x14ac:dyDescent="0.35">
      <c r="A131" s="21"/>
      <c r="B131" s="1">
        <v>62020</v>
      </c>
      <c r="C131" s="1" t="s">
        <v>120</v>
      </c>
      <c r="R131" s="5"/>
      <c r="T131" s="8"/>
      <c r="U131" s="8"/>
      <c r="V131" s="8"/>
    </row>
    <row r="132" spans="1:22" x14ac:dyDescent="0.35">
      <c r="A132" s="21"/>
      <c r="B132" s="1">
        <v>62100</v>
      </c>
      <c r="C132" s="1" t="s">
        <v>121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T132" s="8"/>
      <c r="U132" s="8"/>
      <c r="V132" s="8"/>
    </row>
    <row r="133" spans="1:22" x14ac:dyDescent="0.35">
      <c r="A133" s="21"/>
      <c r="B133" s="1">
        <v>62200</v>
      </c>
      <c r="C133" s="1" t="s">
        <v>122</v>
      </c>
      <c r="T133" s="8"/>
      <c r="U133" s="8"/>
      <c r="V133" s="8"/>
    </row>
    <row r="134" spans="1:22" x14ac:dyDescent="0.35">
      <c r="B134" s="1">
        <v>62250</v>
      </c>
      <c r="C134" s="1" t="s">
        <v>123</v>
      </c>
      <c r="T134" s="8"/>
      <c r="U134" s="8"/>
      <c r="V134" s="8"/>
    </row>
    <row r="135" spans="1:22" x14ac:dyDescent="0.35">
      <c r="B135" s="1">
        <v>62300</v>
      </c>
      <c r="C135" s="1" t="s">
        <v>124</v>
      </c>
      <c r="T135" s="8"/>
      <c r="U135" s="8"/>
      <c r="V135" s="8"/>
    </row>
    <row r="136" spans="1:22" x14ac:dyDescent="0.35">
      <c r="B136" s="1">
        <v>62400</v>
      </c>
      <c r="C136" s="1" t="s">
        <v>125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T136" s="8"/>
      <c r="U136" s="8"/>
      <c r="V136" s="8"/>
    </row>
    <row r="137" spans="1:22" x14ac:dyDescent="0.35">
      <c r="B137" s="1">
        <v>62405</v>
      </c>
      <c r="C137" s="1" t="s">
        <v>126</v>
      </c>
      <c r="T137" s="8"/>
      <c r="U137" s="8"/>
      <c r="V137" s="8"/>
    </row>
    <row r="138" spans="1:22" x14ac:dyDescent="0.35">
      <c r="B138" s="1">
        <v>62500</v>
      </c>
      <c r="C138" s="1" t="s">
        <v>127</v>
      </c>
      <c r="R138" s="5"/>
      <c r="T138" s="8"/>
      <c r="U138" s="8"/>
      <c r="V138" s="8"/>
    </row>
    <row r="139" spans="1:22" x14ac:dyDescent="0.35">
      <c r="B139" s="1">
        <v>62505</v>
      </c>
      <c r="C139" s="1" t="s">
        <v>128</v>
      </c>
      <c r="T139" s="8"/>
      <c r="U139" s="8"/>
      <c r="V139" s="8"/>
    </row>
    <row r="140" spans="1:22" x14ac:dyDescent="0.35">
      <c r="B140" s="1">
        <v>62510</v>
      </c>
      <c r="C140" s="1" t="s">
        <v>129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T140" s="8"/>
      <c r="U140" s="8"/>
      <c r="V140" s="8"/>
    </row>
    <row r="141" spans="1:22" x14ac:dyDescent="0.35">
      <c r="B141" s="1">
        <v>62520</v>
      </c>
      <c r="C141" s="1" t="s">
        <v>130</v>
      </c>
      <c r="T141" s="8"/>
      <c r="U141" s="8"/>
      <c r="V141" s="8"/>
    </row>
    <row r="142" spans="1:22" x14ac:dyDescent="0.35">
      <c r="B142" s="1">
        <v>62550</v>
      </c>
      <c r="C142" s="1" t="s">
        <v>131</v>
      </c>
      <c r="T142" s="8"/>
      <c r="U142" s="8"/>
      <c r="V142" s="8"/>
    </row>
    <row r="143" spans="1:22" x14ac:dyDescent="0.35">
      <c r="A143" s="21">
        <v>14</v>
      </c>
      <c r="B143" s="12" t="s">
        <v>132</v>
      </c>
      <c r="C143" s="12"/>
      <c r="D143" s="12"/>
      <c r="E143" s="12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T143" s="10"/>
      <c r="U143" s="10"/>
      <c r="V143" s="10"/>
    </row>
    <row r="144" spans="1:22" x14ac:dyDescent="0.35">
      <c r="A144" s="21"/>
      <c r="T144" s="8"/>
      <c r="U144" s="8"/>
      <c r="V144" s="8"/>
    </row>
    <row r="145" spans="1:22" x14ac:dyDescent="0.35">
      <c r="A145" s="21"/>
      <c r="B145" s="1" t="s">
        <v>133</v>
      </c>
      <c r="T145" s="8"/>
      <c r="U145" s="8"/>
      <c r="V145" s="8"/>
    </row>
    <row r="146" spans="1:22" x14ac:dyDescent="0.35">
      <c r="A146" s="21"/>
      <c r="B146" s="1">
        <v>63000</v>
      </c>
      <c r="C146" s="1" t="s">
        <v>134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T146" s="8"/>
      <c r="U146" s="8"/>
      <c r="V146" s="8"/>
    </row>
    <row r="147" spans="1:22" x14ac:dyDescent="0.35">
      <c r="A147" s="21"/>
      <c r="B147" s="1">
        <v>63050</v>
      </c>
      <c r="C147" s="1" t="s">
        <v>135</v>
      </c>
      <c r="T147" s="8"/>
      <c r="U147" s="8"/>
      <c r="V147" s="8"/>
    </row>
    <row r="148" spans="1:22" x14ac:dyDescent="0.35">
      <c r="B148" s="1">
        <v>63100</v>
      </c>
      <c r="C148" s="1" t="s">
        <v>136</v>
      </c>
      <c r="J148" s="5"/>
      <c r="K148" s="5"/>
      <c r="L148" s="5"/>
      <c r="M148" s="5"/>
      <c r="R148" s="5"/>
      <c r="T148" s="8"/>
      <c r="U148" s="8"/>
      <c r="V148" s="8"/>
    </row>
    <row r="149" spans="1:22" x14ac:dyDescent="0.35">
      <c r="A149" s="21"/>
      <c r="B149" s="1">
        <v>63200</v>
      </c>
      <c r="C149" s="1" t="s">
        <v>137</v>
      </c>
      <c r="T149" s="8"/>
      <c r="U149" s="8"/>
      <c r="V149" s="8"/>
    </row>
    <row r="150" spans="1:22" x14ac:dyDescent="0.35">
      <c r="A150" s="21"/>
      <c r="B150" s="1">
        <v>63300</v>
      </c>
      <c r="C150" s="1" t="s">
        <v>138</v>
      </c>
      <c r="T150" s="8"/>
      <c r="U150" s="8"/>
      <c r="V150" s="8"/>
    </row>
    <row r="151" spans="1:22" x14ac:dyDescent="0.35">
      <c r="A151" s="21"/>
      <c r="B151" s="1">
        <v>63400</v>
      </c>
      <c r="C151" s="1" t="s">
        <v>139</v>
      </c>
      <c r="T151" s="8"/>
      <c r="U151" s="8"/>
      <c r="V151" s="8"/>
    </row>
    <row r="152" spans="1:22" x14ac:dyDescent="0.35">
      <c r="A152" s="21">
        <v>17</v>
      </c>
      <c r="B152" s="12" t="s">
        <v>140</v>
      </c>
      <c r="C152" s="12"/>
      <c r="D152" s="12"/>
      <c r="E152" s="12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T152" s="10"/>
      <c r="U152" s="10"/>
      <c r="V152" s="10"/>
    </row>
    <row r="153" spans="1:22" x14ac:dyDescent="0.35">
      <c r="A153" s="21"/>
      <c r="T153" s="8"/>
      <c r="U153" s="8"/>
      <c r="V153" s="8"/>
    </row>
    <row r="154" spans="1:22" x14ac:dyDescent="0.35">
      <c r="A154" s="21"/>
      <c r="B154" s="1" t="s">
        <v>141</v>
      </c>
      <c r="T154" s="8"/>
      <c r="U154" s="8"/>
      <c r="V154" s="8"/>
    </row>
    <row r="155" spans="1:22" x14ac:dyDescent="0.35">
      <c r="A155" s="21"/>
      <c r="B155" s="1">
        <v>63500</v>
      </c>
      <c r="C155" s="1" t="s">
        <v>142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T155" s="8"/>
      <c r="U155" s="8"/>
      <c r="V155" s="8"/>
    </row>
    <row r="156" spans="1:22" x14ac:dyDescent="0.35">
      <c r="A156" s="21"/>
      <c r="B156" s="1">
        <v>63501</v>
      </c>
      <c r="C156" s="1" t="s">
        <v>143</v>
      </c>
      <c r="T156" s="8"/>
      <c r="U156" s="8"/>
      <c r="V156" s="8"/>
    </row>
    <row r="157" spans="1:22" x14ac:dyDescent="0.35">
      <c r="B157" s="1">
        <v>63510</v>
      </c>
      <c r="C157" s="1" t="s">
        <v>144</v>
      </c>
      <c r="R157" s="5"/>
      <c r="T157" s="8"/>
      <c r="U157" s="8"/>
      <c r="V157" s="8"/>
    </row>
    <row r="158" spans="1:22" x14ac:dyDescent="0.35">
      <c r="A158" s="21"/>
      <c r="B158" s="1">
        <v>63520</v>
      </c>
      <c r="C158" s="1" t="s">
        <v>145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T158" s="8"/>
      <c r="U158" s="8"/>
      <c r="V158" s="8"/>
    </row>
    <row r="159" spans="1:22" x14ac:dyDescent="0.35">
      <c r="A159" s="21"/>
      <c r="B159" s="1">
        <v>63525</v>
      </c>
      <c r="C159" s="1" t="s">
        <v>146</v>
      </c>
      <c r="T159" s="8"/>
      <c r="U159" s="8"/>
      <c r="V159" s="8"/>
    </row>
    <row r="160" spans="1:22" x14ac:dyDescent="0.35">
      <c r="A160" s="21"/>
      <c r="B160" s="1">
        <v>63530</v>
      </c>
      <c r="C160" s="1" t="s">
        <v>147</v>
      </c>
      <c r="R160" s="5"/>
      <c r="T160" s="8"/>
      <c r="U160" s="8"/>
      <c r="V160" s="8"/>
    </row>
    <row r="161" spans="1:22" x14ac:dyDescent="0.35">
      <c r="A161" s="21"/>
      <c r="B161" s="1">
        <v>63540</v>
      </c>
      <c r="C161" s="1" t="s">
        <v>148</v>
      </c>
      <c r="T161" s="8"/>
      <c r="U161" s="8"/>
      <c r="V161" s="8"/>
    </row>
    <row r="162" spans="1:22" x14ac:dyDescent="0.35">
      <c r="A162" s="21"/>
      <c r="B162" s="1">
        <v>63541</v>
      </c>
      <c r="C162" s="1" t="s">
        <v>149</v>
      </c>
      <c r="T162" s="8"/>
      <c r="U162" s="8"/>
      <c r="V162" s="8"/>
    </row>
    <row r="163" spans="1:22" x14ac:dyDescent="0.35">
      <c r="A163" s="21"/>
      <c r="B163" s="1">
        <v>63550</v>
      </c>
      <c r="C163" s="1" t="s">
        <v>150</v>
      </c>
      <c r="T163" s="8"/>
      <c r="U163" s="8"/>
      <c r="V163" s="8"/>
    </row>
    <row r="164" spans="1:22" x14ac:dyDescent="0.35">
      <c r="A164" s="21"/>
      <c r="B164" s="1">
        <v>63560</v>
      </c>
      <c r="C164" s="1" t="s">
        <v>151</v>
      </c>
      <c r="T164" s="8"/>
      <c r="U164" s="8"/>
      <c r="V164" s="8"/>
    </row>
    <row r="165" spans="1:22" x14ac:dyDescent="0.35">
      <c r="A165" s="21"/>
      <c r="B165" s="1">
        <v>63565</v>
      </c>
      <c r="C165" s="1" t="s">
        <v>152</v>
      </c>
      <c r="T165" s="8"/>
      <c r="U165" s="8"/>
      <c r="V165" s="8"/>
    </row>
    <row r="166" spans="1:22" x14ac:dyDescent="0.35">
      <c r="A166" s="21"/>
      <c r="B166" s="1">
        <v>63570</v>
      </c>
      <c r="C166" s="1" t="s">
        <v>153</v>
      </c>
      <c r="T166" s="8"/>
      <c r="U166" s="8"/>
      <c r="V166" s="8"/>
    </row>
    <row r="167" spans="1:22" x14ac:dyDescent="0.35">
      <c r="A167" s="21"/>
      <c r="B167" s="1">
        <v>63571</v>
      </c>
      <c r="C167" s="1" t="s">
        <v>154</v>
      </c>
      <c r="T167" s="8"/>
      <c r="U167" s="8"/>
      <c r="V167" s="8"/>
    </row>
    <row r="168" spans="1:22" x14ac:dyDescent="0.35">
      <c r="A168" s="21"/>
      <c r="B168" s="1">
        <v>63572</v>
      </c>
      <c r="C168" s="1" t="s">
        <v>155</v>
      </c>
      <c r="T168" s="8"/>
      <c r="U168" s="8"/>
      <c r="V168" s="8"/>
    </row>
    <row r="169" spans="1:22" x14ac:dyDescent="0.35">
      <c r="A169" s="21"/>
      <c r="B169" s="1">
        <v>63573</v>
      </c>
      <c r="C169" s="1" t="s">
        <v>156</v>
      </c>
      <c r="T169" s="8"/>
      <c r="U169" s="8"/>
      <c r="V169" s="8"/>
    </row>
    <row r="170" spans="1:22" x14ac:dyDescent="0.35">
      <c r="A170" s="21"/>
      <c r="B170" s="1">
        <v>63575</v>
      </c>
      <c r="C170" s="1" t="s">
        <v>157</v>
      </c>
      <c r="T170" s="8"/>
      <c r="U170" s="8"/>
      <c r="V170" s="8"/>
    </row>
    <row r="171" spans="1:22" x14ac:dyDescent="0.35">
      <c r="A171" s="21"/>
      <c r="B171" s="1">
        <v>63576</v>
      </c>
      <c r="C171" s="1" t="s">
        <v>158</v>
      </c>
      <c r="T171" s="8"/>
      <c r="U171" s="8"/>
      <c r="V171" s="8"/>
    </row>
    <row r="172" spans="1:22" x14ac:dyDescent="0.35">
      <c r="A172" s="21"/>
      <c r="B172" s="1">
        <v>63577</v>
      </c>
      <c r="C172" s="1" t="s">
        <v>159</v>
      </c>
      <c r="T172" s="8"/>
      <c r="U172" s="8"/>
      <c r="V172" s="8"/>
    </row>
    <row r="173" spans="1:22" x14ac:dyDescent="0.35">
      <c r="A173" s="21"/>
      <c r="B173" s="1">
        <v>63580</v>
      </c>
      <c r="C173" s="1" t="s">
        <v>160</v>
      </c>
      <c r="T173" s="8"/>
      <c r="U173" s="8"/>
      <c r="V173" s="8"/>
    </row>
    <row r="174" spans="1:22" x14ac:dyDescent="0.35">
      <c r="A174" s="21"/>
      <c r="B174" s="1">
        <v>63584</v>
      </c>
      <c r="C174" s="1" t="s">
        <v>161</v>
      </c>
      <c r="T174" s="8"/>
      <c r="U174" s="8"/>
      <c r="V174" s="8"/>
    </row>
    <row r="175" spans="1:22" x14ac:dyDescent="0.35">
      <c r="A175" s="21"/>
      <c r="B175" s="1">
        <v>63585</v>
      </c>
      <c r="C175" s="1" t="s">
        <v>162</v>
      </c>
      <c r="N175" s="5"/>
      <c r="Q175" s="5"/>
      <c r="R175" s="5"/>
      <c r="T175" s="8"/>
      <c r="U175" s="8"/>
      <c r="V175" s="8"/>
    </row>
    <row r="176" spans="1:22" x14ac:dyDescent="0.35">
      <c r="A176" s="21"/>
      <c r="B176" s="1">
        <v>63586</v>
      </c>
      <c r="C176" s="1" t="s">
        <v>163</v>
      </c>
      <c r="T176" s="8"/>
      <c r="U176" s="8"/>
      <c r="V176" s="8"/>
    </row>
    <row r="177" spans="1:22" x14ac:dyDescent="0.35">
      <c r="B177" s="1">
        <v>63590</v>
      </c>
      <c r="C177" s="1" t="s">
        <v>164</v>
      </c>
      <c r="T177" s="8"/>
      <c r="U177" s="8"/>
      <c r="V177" s="8"/>
    </row>
    <row r="178" spans="1:22" x14ac:dyDescent="0.35">
      <c r="A178" s="21">
        <v>12</v>
      </c>
      <c r="B178" s="12" t="s">
        <v>165</v>
      </c>
      <c r="C178" s="12"/>
      <c r="D178" s="12"/>
      <c r="E178" s="12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T178" s="10"/>
      <c r="U178" s="10"/>
      <c r="V178" s="10"/>
    </row>
    <row r="179" spans="1:22" x14ac:dyDescent="0.35">
      <c r="A179" s="21"/>
      <c r="T179" s="8"/>
      <c r="U179" s="8"/>
      <c r="V179" s="8"/>
    </row>
    <row r="180" spans="1:22" x14ac:dyDescent="0.35">
      <c r="A180" s="21"/>
      <c r="B180" s="1" t="s">
        <v>166</v>
      </c>
      <c r="T180" s="8"/>
      <c r="U180" s="8"/>
      <c r="V180" s="8"/>
    </row>
    <row r="181" spans="1:22" x14ac:dyDescent="0.35">
      <c r="A181" s="21"/>
      <c r="B181" s="1">
        <v>64000</v>
      </c>
      <c r="C181" s="1" t="s">
        <v>166</v>
      </c>
      <c r="T181" s="8"/>
      <c r="U181" s="8"/>
      <c r="V181" s="8"/>
    </row>
    <row r="182" spans="1:22" x14ac:dyDescent="0.35">
      <c r="A182" s="21"/>
      <c r="B182" s="1">
        <v>64200</v>
      </c>
      <c r="C182" s="1" t="s">
        <v>167</v>
      </c>
      <c r="R182" s="5"/>
      <c r="T182" s="8"/>
      <c r="U182" s="8"/>
      <c r="V182" s="8"/>
    </row>
    <row r="183" spans="1:22" x14ac:dyDescent="0.35">
      <c r="A183" s="21"/>
      <c r="B183" s="1">
        <v>64300</v>
      </c>
      <c r="C183" s="1" t="s">
        <v>169</v>
      </c>
      <c r="T183" s="8"/>
      <c r="U183" s="8"/>
      <c r="V183" s="8"/>
    </row>
    <row r="184" spans="1:22" x14ac:dyDescent="0.35">
      <c r="A184" s="21"/>
      <c r="B184" s="1">
        <v>64310</v>
      </c>
      <c r="C184" s="1" t="s">
        <v>170</v>
      </c>
      <c r="T184" s="8"/>
      <c r="U184" s="8"/>
      <c r="V184" s="8"/>
    </row>
    <row r="185" spans="1:22" x14ac:dyDescent="0.35">
      <c r="A185" s="21"/>
      <c r="B185" s="1">
        <v>64320</v>
      </c>
      <c r="C185" s="1" t="s">
        <v>171</v>
      </c>
      <c r="T185" s="8"/>
      <c r="U185" s="8"/>
      <c r="V185" s="8"/>
    </row>
    <row r="186" spans="1:22" x14ac:dyDescent="0.35">
      <c r="A186" s="21"/>
      <c r="B186" s="1">
        <v>64330</v>
      </c>
      <c r="C186" s="1" t="s">
        <v>172</v>
      </c>
      <c r="T186" s="8"/>
      <c r="U186" s="8"/>
      <c r="V186" s="8"/>
    </row>
    <row r="187" spans="1:22" x14ac:dyDescent="0.35">
      <c r="A187" s="21"/>
      <c r="B187" s="1">
        <v>64350</v>
      </c>
      <c r="C187" s="1" t="s">
        <v>173</v>
      </c>
      <c r="R187" s="5"/>
      <c r="T187" s="8"/>
      <c r="U187" s="8"/>
      <c r="V187" s="8"/>
    </row>
    <row r="188" spans="1:22" x14ac:dyDescent="0.35">
      <c r="A188" s="21"/>
      <c r="B188" s="1">
        <v>64351</v>
      </c>
      <c r="C188" s="1" t="s">
        <v>174</v>
      </c>
      <c r="T188" s="8"/>
      <c r="U188" s="8"/>
      <c r="V188" s="8"/>
    </row>
    <row r="189" spans="1:22" x14ac:dyDescent="0.35">
      <c r="B189" s="1">
        <v>64352</v>
      </c>
      <c r="C189" s="1" t="s">
        <v>175</v>
      </c>
      <c r="T189" s="8"/>
      <c r="U189" s="8"/>
      <c r="V189" s="8"/>
    </row>
    <row r="190" spans="1:22" x14ac:dyDescent="0.35">
      <c r="A190" s="21"/>
      <c r="B190" s="1">
        <v>64355</v>
      </c>
      <c r="C190" s="1" t="s">
        <v>176</v>
      </c>
      <c r="R190" s="5"/>
      <c r="T190" s="8"/>
      <c r="U190" s="8"/>
      <c r="V190" s="8"/>
    </row>
    <row r="191" spans="1:22" x14ac:dyDescent="0.35">
      <c r="A191" s="21"/>
      <c r="B191" s="1">
        <v>64360</v>
      </c>
      <c r="C191" s="1" t="s">
        <v>177</v>
      </c>
      <c r="T191" s="8"/>
      <c r="U191" s="8"/>
      <c r="V191" s="8"/>
    </row>
    <row r="192" spans="1:22" x14ac:dyDescent="0.35">
      <c r="A192" s="21"/>
      <c r="B192" s="1">
        <v>64362</v>
      </c>
      <c r="C192" s="1" t="s">
        <v>178</v>
      </c>
      <c r="T192" s="8"/>
      <c r="U192" s="8"/>
      <c r="V192" s="8"/>
    </row>
    <row r="193" spans="1:22" x14ac:dyDescent="0.35">
      <c r="A193" s="21"/>
      <c r="B193" s="1">
        <v>64370</v>
      </c>
      <c r="C193" s="1" t="s">
        <v>179</v>
      </c>
      <c r="T193" s="8"/>
      <c r="U193" s="8"/>
      <c r="V193" s="8"/>
    </row>
    <row r="194" spans="1:22" x14ac:dyDescent="0.35">
      <c r="A194" s="21"/>
      <c r="B194" s="1">
        <v>64372</v>
      </c>
      <c r="C194" s="1" t="s">
        <v>180</v>
      </c>
      <c r="L194" s="5"/>
      <c r="O194" s="5"/>
      <c r="R194" s="5"/>
      <c r="T194" s="8"/>
      <c r="U194" s="8"/>
      <c r="V194" s="8"/>
    </row>
    <row r="195" spans="1:22" x14ac:dyDescent="0.35">
      <c r="A195" s="21"/>
      <c r="B195" s="1">
        <v>64373</v>
      </c>
      <c r="C195" s="1" t="s">
        <v>181</v>
      </c>
      <c r="T195" s="8"/>
      <c r="U195" s="8"/>
      <c r="V195" s="8"/>
    </row>
    <row r="196" spans="1:22" x14ac:dyDescent="0.35">
      <c r="A196" s="21"/>
      <c r="B196" s="1">
        <v>64374</v>
      </c>
      <c r="C196" s="1" t="s">
        <v>182</v>
      </c>
      <c r="T196" s="8"/>
      <c r="U196" s="8"/>
      <c r="V196" s="8"/>
    </row>
    <row r="197" spans="1:22" x14ac:dyDescent="0.35">
      <c r="A197" s="21"/>
      <c r="B197" s="1">
        <v>64375</v>
      </c>
      <c r="C197" s="1" t="s">
        <v>183</v>
      </c>
      <c r="R197" s="5"/>
      <c r="T197" s="8"/>
      <c r="U197" s="8"/>
      <c r="V197" s="8"/>
    </row>
    <row r="198" spans="1:22" x14ac:dyDescent="0.35">
      <c r="A198" s="21"/>
      <c r="B198" s="1">
        <v>64385</v>
      </c>
      <c r="C198" s="1" t="s">
        <v>184</v>
      </c>
      <c r="T198" s="8"/>
      <c r="U198" s="8"/>
      <c r="V198" s="8"/>
    </row>
    <row r="199" spans="1:22" x14ac:dyDescent="0.35">
      <c r="A199" s="21"/>
      <c r="B199" s="1">
        <v>64387</v>
      </c>
      <c r="C199" s="1" t="s">
        <v>185</v>
      </c>
      <c r="T199" s="8"/>
      <c r="U199" s="8"/>
      <c r="V199" s="8"/>
    </row>
    <row r="200" spans="1:22" x14ac:dyDescent="0.35">
      <c r="A200" s="21"/>
      <c r="B200" s="1">
        <v>64389</v>
      </c>
      <c r="C200" s="1" t="s">
        <v>186</v>
      </c>
      <c r="T200" s="8"/>
      <c r="U200" s="8"/>
      <c r="V200" s="8"/>
    </row>
    <row r="201" spans="1:22" x14ac:dyDescent="0.35">
      <c r="A201" s="21"/>
      <c r="B201" s="1">
        <v>64390</v>
      </c>
      <c r="C201" s="1" t="s">
        <v>187</v>
      </c>
      <c r="T201" s="8"/>
      <c r="U201" s="8"/>
      <c r="V201" s="8"/>
    </row>
    <row r="202" spans="1:22" x14ac:dyDescent="0.35">
      <c r="A202" s="21"/>
      <c r="B202" s="1">
        <v>64392</v>
      </c>
      <c r="C202" s="1" t="s">
        <v>188</v>
      </c>
      <c r="T202" s="8"/>
      <c r="U202" s="8"/>
      <c r="V202" s="8"/>
    </row>
    <row r="203" spans="1:22" x14ac:dyDescent="0.35">
      <c r="A203" s="21"/>
      <c r="B203" s="1">
        <v>64394</v>
      </c>
      <c r="C203" s="1" t="s">
        <v>189</v>
      </c>
      <c r="R203" s="5"/>
      <c r="T203" s="8"/>
      <c r="U203" s="8"/>
      <c r="V203" s="8"/>
    </row>
    <row r="204" spans="1:22" x14ac:dyDescent="0.35">
      <c r="A204" s="21"/>
      <c r="B204" s="1">
        <v>64395</v>
      </c>
      <c r="C204" s="1" t="s">
        <v>190</v>
      </c>
      <c r="T204" s="8"/>
      <c r="U204" s="8"/>
      <c r="V204" s="8"/>
    </row>
    <row r="205" spans="1:22" x14ac:dyDescent="0.35">
      <c r="A205" s="21"/>
      <c r="B205" s="1">
        <v>64400</v>
      </c>
      <c r="C205" s="1" t="s">
        <v>191</v>
      </c>
      <c r="T205" s="8"/>
      <c r="U205" s="8"/>
      <c r="V205" s="8"/>
    </row>
    <row r="206" spans="1:22" x14ac:dyDescent="0.35">
      <c r="A206" s="21"/>
      <c r="B206" s="1">
        <v>64405</v>
      </c>
      <c r="C206" s="1" t="s">
        <v>192</v>
      </c>
      <c r="T206" s="8"/>
      <c r="U206" s="8"/>
      <c r="V206" s="8"/>
    </row>
    <row r="207" spans="1:22" x14ac:dyDescent="0.35">
      <c r="A207" s="21"/>
      <c r="B207" s="1">
        <v>64420</v>
      </c>
      <c r="C207" s="1" t="s">
        <v>193</v>
      </c>
      <c r="P207" s="5"/>
      <c r="R207" s="5"/>
      <c r="T207" s="8"/>
      <c r="U207" s="8"/>
      <c r="V207" s="8"/>
    </row>
    <row r="208" spans="1:22" x14ac:dyDescent="0.35">
      <c r="A208" s="21">
        <v>9</v>
      </c>
      <c r="B208" s="12" t="s">
        <v>194</v>
      </c>
      <c r="C208" s="12"/>
      <c r="D208" s="12"/>
      <c r="E208" s="12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T208" s="10"/>
      <c r="U208" s="10"/>
      <c r="V208" s="10"/>
    </row>
    <row r="209" spans="1:22" x14ac:dyDescent="0.35">
      <c r="T209" s="8"/>
      <c r="U209" s="8"/>
      <c r="V209" s="8"/>
    </row>
    <row r="210" spans="1:22" x14ac:dyDescent="0.35">
      <c r="A210" s="21"/>
      <c r="B210" s="1" t="s">
        <v>195</v>
      </c>
      <c r="T210" s="8"/>
      <c r="U210" s="8"/>
      <c r="V210" s="8"/>
    </row>
    <row r="211" spans="1:22" x14ac:dyDescent="0.35">
      <c r="A211" s="21"/>
      <c r="B211" s="1">
        <v>64500</v>
      </c>
      <c r="C211" s="1" t="s">
        <v>196</v>
      </c>
      <c r="T211" s="8"/>
      <c r="U211" s="8"/>
      <c r="V211" s="8"/>
    </row>
    <row r="212" spans="1:22" x14ac:dyDescent="0.35">
      <c r="A212" s="21"/>
      <c r="B212" s="1">
        <v>64501</v>
      </c>
      <c r="C212" s="1" t="s">
        <v>197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T212" s="8"/>
      <c r="U212" s="8"/>
      <c r="V212" s="8"/>
    </row>
    <row r="213" spans="1:22" x14ac:dyDescent="0.35">
      <c r="A213" s="21"/>
      <c r="B213" s="1">
        <v>64502</v>
      </c>
      <c r="C213" s="1" t="s">
        <v>198</v>
      </c>
      <c r="T213" s="8"/>
      <c r="U213" s="8"/>
      <c r="V213" s="8"/>
    </row>
    <row r="214" spans="1:22" x14ac:dyDescent="0.35">
      <c r="B214" s="1">
        <v>64503</v>
      </c>
      <c r="C214" s="1" t="s">
        <v>199</v>
      </c>
      <c r="T214" s="8"/>
      <c r="U214" s="8"/>
      <c r="V214" s="8"/>
    </row>
    <row r="215" spans="1:22" x14ac:dyDescent="0.35">
      <c r="B215" s="1">
        <v>64505</v>
      </c>
      <c r="C215" s="1" t="s">
        <v>200</v>
      </c>
      <c r="T215" s="8"/>
      <c r="U215" s="8"/>
      <c r="V215" s="8"/>
    </row>
    <row r="216" spans="1:22" x14ac:dyDescent="0.35">
      <c r="B216" s="1">
        <v>64530</v>
      </c>
      <c r="C216" s="1" t="s">
        <v>201</v>
      </c>
      <c r="T216" s="8"/>
      <c r="U216" s="8"/>
      <c r="V216" s="8"/>
    </row>
    <row r="217" spans="1:22" x14ac:dyDescent="0.35">
      <c r="B217" s="1">
        <v>64531</v>
      </c>
      <c r="C217" s="1" t="s">
        <v>202</v>
      </c>
      <c r="T217" s="8"/>
      <c r="U217" s="8"/>
      <c r="V217" s="8"/>
    </row>
    <row r="218" spans="1:22" x14ac:dyDescent="0.35">
      <c r="B218" s="1">
        <v>64535</v>
      </c>
      <c r="C218" s="1" t="s">
        <v>203</v>
      </c>
      <c r="T218" s="8"/>
      <c r="U218" s="8"/>
      <c r="V218" s="8"/>
    </row>
    <row r="219" spans="1:22" x14ac:dyDescent="0.35">
      <c r="B219" s="1">
        <v>64540</v>
      </c>
      <c r="C219" s="1" t="s">
        <v>204</v>
      </c>
      <c r="T219" s="8"/>
      <c r="U219" s="8"/>
      <c r="V219" s="8"/>
    </row>
    <row r="220" spans="1:22" x14ac:dyDescent="0.35">
      <c r="B220" s="1">
        <v>64541</v>
      </c>
      <c r="C220" s="1" t="s">
        <v>205</v>
      </c>
      <c r="T220" s="8"/>
      <c r="U220" s="8"/>
      <c r="V220" s="8"/>
    </row>
    <row r="221" spans="1:22" x14ac:dyDescent="0.35">
      <c r="B221" s="1">
        <v>64545</v>
      </c>
      <c r="C221" s="1" t="s">
        <v>206</v>
      </c>
      <c r="T221" s="8"/>
      <c r="U221" s="8"/>
      <c r="V221" s="8"/>
    </row>
    <row r="222" spans="1:22" x14ac:dyDescent="0.35">
      <c r="B222" s="1">
        <v>64560</v>
      </c>
      <c r="C222" s="1" t="s">
        <v>207</v>
      </c>
      <c r="T222" s="8"/>
      <c r="U222" s="8"/>
      <c r="V222" s="8"/>
    </row>
    <row r="223" spans="1:22" x14ac:dyDescent="0.35">
      <c r="B223" s="1">
        <v>64570</v>
      </c>
      <c r="C223" s="1" t="s">
        <v>208</v>
      </c>
      <c r="T223" s="8"/>
      <c r="U223" s="8"/>
      <c r="V223" s="8"/>
    </row>
    <row r="224" spans="1:22" x14ac:dyDescent="0.35">
      <c r="B224" s="1">
        <v>64580</v>
      </c>
      <c r="C224" s="1" t="s">
        <v>209</v>
      </c>
      <c r="R224" s="5"/>
      <c r="T224" s="8"/>
      <c r="U224" s="8"/>
      <c r="V224" s="8"/>
    </row>
    <row r="225" spans="1:22" x14ac:dyDescent="0.35">
      <c r="B225" s="1">
        <v>64581</v>
      </c>
      <c r="C225" s="1" t="s">
        <v>210</v>
      </c>
      <c r="T225" s="8"/>
      <c r="U225" s="8"/>
      <c r="V225" s="8"/>
    </row>
    <row r="226" spans="1:22" x14ac:dyDescent="0.35">
      <c r="B226" s="1">
        <v>64585</v>
      </c>
      <c r="C226" s="1" t="s">
        <v>211</v>
      </c>
      <c r="T226" s="8"/>
      <c r="U226" s="8"/>
      <c r="V226" s="8"/>
    </row>
    <row r="227" spans="1:22" x14ac:dyDescent="0.35">
      <c r="B227" s="1">
        <v>64586</v>
      </c>
      <c r="C227" s="1" t="s">
        <v>212</v>
      </c>
      <c r="T227" s="8"/>
      <c r="U227" s="8"/>
      <c r="V227" s="8"/>
    </row>
    <row r="228" spans="1:22" x14ac:dyDescent="0.35">
      <c r="A228" s="21"/>
      <c r="B228" s="1">
        <v>64590</v>
      </c>
      <c r="C228" s="1" t="s">
        <v>213</v>
      </c>
      <c r="T228" s="8"/>
      <c r="U228" s="8"/>
      <c r="V228" s="8"/>
    </row>
    <row r="229" spans="1:22" x14ac:dyDescent="0.35">
      <c r="A229" s="21"/>
      <c r="B229" s="1">
        <v>64595</v>
      </c>
      <c r="C229" s="1" t="s">
        <v>214</v>
      </c>
      <c r="T229" s="8"/>
      <c r="U229" s="8"/>
      <c r="V229" s="8"/>
    </row>
    <row r="230" spans="1:22" x14ac:dyDescent="0.35">
      <c r="A230" s="21"/>
      <c r="B230" s="1">
        <v>64596</v>
      </c>
      <c r="C230" s="1" t="s">
        <v>215</v>
      </c>
      <c r="T230" s="8"/>
      <c r="U230" s="8"/>
      <c r="V230" s="8"/>
    </row>
    <row r="231" spans="1:22" x14ac:dyDescent="0.35">
      <c r="A231" s="21">
        <v>10</v>
      </c>
      <c r="B231" s="12" t="s">
        <v>216</v>
      </c>
      <c r="C231" s="12"/>
      <c r="D231" s="12"/>
      <c r="E231" s="12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T231" s="10"/>
      <c r="U231" s="10"/>
      <c r="V231" s="10"/>
    </row>
    <row r="232" spans="1:22" x14ac:dyDescent="0.35">
      <c r="T232" s="8"/>
      <c r="U232" s="8"/>
      <c r="V232" s="8"/>
    </row>
    <row r="233" spans="1:22" x14ac:dyDescent="0.35">
      <c r="A233" s="21"/>
      <c r="B233" s="1" t="s">
        <v>217</v>
      </c>
      <c r="T233" s="8"/>
      <c r="U233" s="8"/>
      <c r="V233" s="8"/>
    </row>
    <row r="234" spans="1:22" x14ac:dyDescent="0.35">
      <c r="A234" s="21"/>
      <c r="B234" s="1">
        <v>65000</v>
      </c>
      <c r="C234" s="1" t="s">
        <v>218</v>
      </c>
      <c r="T234" s="8"/>
      <c r="U234" s="8"/>
      <c r="V234" s="8"/>
    </row>
    <row r="235" spans="1:22" x14ac:dyDescent="0.35">
      <c r="B235" s="1">
        <v>65003</v>
      </c>
      <c r="C235" s="1" t="s">
        <v>219</v>
      </c>
      <c r="R235" s="5"/>
      <c r="T235" s="8"/>
      <c r="U235" s="8"/>
      <c r="V235" s="8"/>
    </row>
    <row r="236" spans="1:22" x14ac:dyDescent="0.35">
      <c r="B236" s="1">
        <v>65007</v>
      </c>
      <c r="C236" s="1" t="s">
        <v>220</v>
      </c>
      <c r="L236" s="5"/>
      <c r="M236" s="5"/>
      <c r="P236" s="5"/>
      <c r="Q236" s="5"/>
      <c r="R236" s="5"/>
      <c r="T236" s="8"/>
      <c r="U236" s="8"/>
      <c r="V236" s="8"/>
    </row>
    <row r="237" spans="1:22" x14ac:dyDescent="0.35">
      <c r="B237" s="1">
        <v>65008</v>
      </c>
      <c r="C237" s="1" t="s">
        <v>221</v>
      </c>
      <c r="O237" s="5"/>
      <c r="R237" s="5"/>
      <c r="T237" s="8"/>
      <c r="U237" s="8"/>
      <c r="V237" s="8"/>
    </row>
    <row r="238" spans="1:22" x14ac:dyDescent="0.35">
      <c r="B238" s="1">
        <v>65009</v>
      </c>
      <c r="C238" s="1" t="s">
        <v>222</v>
      </c>
      <c r="R238" s="5"/>
      <c r="T238" s="8"/>
      <c r="U238" s="8"/>
      <c r="V238" s="8"/>
    </row>
    <row r="239" spans="1:22" x14ac:dyDescent="0.35">
      <c r="B239" s="1">
        <v>65011</v>
      </c>
      <c r="C239" s="1" t="s">
        <v>223</v>
      </c>
      <c r="T239" s="8"/>
      <c r="U239" s="8"/>
      <c r="V239" s="8"/>
    </row>
    <row r="240" spans="1:22" x14ac:dyDescent="0.35">
      <c r="B240" s="1">
        <v>65013</v>
      </c>
      <c r="C240" s="1" t="s">
        <v>224</v>
      </c>
      <c r="T240" s="8"/>
      <c r="U240" s="8"/>
      <c r="V240" s="8"/>
    </row>
    <row r="241" spans="2:22" x14ac:dyDescent="0.35">
      <c r="B241" s="1">
        <v>65015</v>
      </c>
      <c r="C241" s="1" t="s">
        <v>225</v>
      </c>
      <c r="T241" s="8"/>
      <c r="U241" s="8"/>
      <c r="V241" s="8"/>
    </row>
    <row r="242" spans="2:22" x14ac:dyDescent="0.35">
      <c r="B242" s="1">
        <v>65017</v>
      </c>
      <c r="C242" s="1" t="s">
        <v>226</v>
      </c>
      <c r="T242" s="8"/>
      <c r="U242" s="8"/>
      <c r="V242" s="8"/>
    </row>
    <row r="243" spans="2:22" x14ac:dyDescent="0.35">
      <c r="B243" s="1">
        <v>65019</v>
      </c>
      <c r="C243" s="1" t="s">
        <v>227</v>
      </c>
      <c r="T243" s="8"/>
      <c r="U243" s="8"/>
      <c r="V243" s="8"/>
    </row>
    <row r="244" spans="2:22" x14ac:dyDescent="0.35">
      <c r="B244" s="1">
        <v>65021</v>
      </c>
      <c r="C244" s="1" t="s">
        <v>228</v>
      </c>
      <c r="R244" s="5"/>
      <c r="T244" s="8"/>
      <c r="U244" s="8"/>
      <c r="V244" s="8"/>
    </row>
    <row r="245" spans="2:22" x14ac:dyDescent="0.35">
      <c r="B245" s="1">
        <v>65023</v>
      </c>
      <c r="C245" s="1" t="s">
        <v>229</v>
      </c>
      <c r="T245" s="8"/>
      <c r="U245" s="8"/>
      <c r="V245" s="8"/>
    </row>
    <row r="246" spans="2:22" x14ac:dyDescent="0.35">
      <c r="B246" s="1">
        <v>65025</v>
      </c>
      <c r="C246" s="1" t="s">
        <v>230</v>
      </c>
      <c r="T246" s="8"/>
      <c r="U246" s="8"/>
      <c r="V246" s="8"/>
    </row>
    <row r="247" spans="2:22" x14ac:dyDescent="0.35">
      <c r="B247" s="1">
        <v>65030</v>
      </c>
      <c r="C247" s="1" t="s">
        <v>231</v>
      </c>
      <c r="R247" s="5"/>
      <c r="T247" s="8"/>
      <c r="U247" s="8"/>
      <c r="V247" s="8"/>
    </row>
    <row r="248" spans="2:22" x14ac:dyDescent="0.35">
      <c r="B248" s="1">
        <v>65033</v>
      </c>
      <c r="C248" s="1" t="s">
        <v>232</v>
      </c>
      <c r="T248" s="8"/>
      <c r="U248" s="8"/>
      <c r="V248" s="8"/>
    </row>
    <row r="249" spans="2:22" x14ac:dyDescent="0.35">
      <c r="B249" s="1">
        <v>65035</v>
      </c>
      <c r="C249" s="1" t="s">
        <v>233</v>
      </c>
      <c r="T249" s="8"/>
      <c r="U249" s="8"/>
      <c r="V249" s="8"/>
    </row>
    <row r="250" spans="2:22" x14ac:dyDescent="0.35">
      <c r="B250" s="1">
        <v>65040</v>
      </c>
      <c r="C250" s="1" t="s">
        <v>234</v>
      </c>
      <c r="R250" s="5"/>
      <c r="T250" s="8"/>
      <c r="U250" s="8"/>
      <c r="V250" s="8"/>
    </row>
    <row r="251" spans="2:22" x14ac:dyDescent="0.35">
      <c r="B251" s="1">
        <v>65043</v>
      </c>
      <c r="C251" s="1" t="s">
        <v>235</v>
      </c>
      <c r="R251" s="5"/>
      <c r="T251" s="8"/>
      <c r="U251" s="8"/>
      <c r="V251" s="8"/>
    </row>
    <row r="252" spans="2:22" x14ac:dyDescent="0.35">
      <c r="B252" s="1">
        <v>65044</v>
      </c>
      <c r="C252" s="1" t="s">
        <v>236</v>
      </c>
      <c r="J252" s="5"/>
      <c r="L252" s="5"/>
      <c r="R252" s="5"/>
      <c r="T252" s="8"/>
      <c r="U252" s="8"/>
      <c r="V252" s="8"/>
    </row>
    <row r="253" spans="2:22" x14ac:dyDescent="0.35">
      <c r="B253" s="1">
        <v>65045</v>
      </c>
      <c r="C253" s="1" t="s">
        <v>237</v>
      </c>
      <c r="T253" s="8"/>
      <c r="U253" s="8"/>
      <c r="V253" s="8"/>
    </row>
    <row r="254" spans="2:22" x14ac:dyDescent="0.35">
      <c r="B254" s="1">
        <v>65050</v>
      </c>
      <c r="C254" s="1" t="s">
        <v>238</v>
      </c>
      <c r="R254" s="5"/>
      <c r="T254" s="8"/>
      <c r="U254" s="8"/>
      <c r="V254" s="8"/>
    </row>
    <row r="255" spans="2:22" x14ac:dyDescent="0.35">
      <c r="B255" s="1">
        <v>65053</v>
      </c>
      <c r="C255" s="1" t="s">
        <v>239</v>
      </c>
      <c r="R255" s="5"/>
      <c r="T255" s="8"/>
      <c r="U255" s="8"/>
      <c r="V255" s="8"/>
    </row>
    <row r="256" spans="2:22" x14ac:dyDescent="0.35">
      <c r="B256" s="1">
        <v>65075</v>
      </c>
      <c r="C256" s="1" t="s">
        <v>240</v>
      </c>
      <c r="T256" s="8"/>
      <c r="U256" s="8"/>
      <c r="V256" s="8"/>
    </row>
    <row r="257" spans="2:22" x14ac:dyDescent="0.35">
      <c r="B257" s="1">
        <v>65203</v>
      </c>
      <c r="C257" s="1" t="s">
        <v>241</v>
      </c>
      <c r="T257" s="8"/>
      <c r="U257" s="8"/>
      <c r="V257" s="8"/>
    </row>
    <row r="258" spans="2:22" x14ac:dyDescent="0.35">
      <c r="B258" s="1">
        <v>65207</v>
      </c>
      <c r="C258" s="1" t="s">
        <v>242</v>
      </c>
      <c r="P258" s="5"/>
      <c r="Q258" s="5"/>
      <c r="R258" s="5"/>
      <c r="T258" s="8"/>
      <c r="U258" s="8"/>
      <c r="V258" s="8"/>
    </row>
    <row r="259" spans="2:22" x14ac:dyDescent="0.35">
      <c r="B259" s="1">
        <v>65208</v>
      </c>
      <c r="C259" s="1" t="s">
        <v>243</v>
      </c>
      <c r="T259" s="8"/>
      <c r="U259" s="8"/>
      <c r="V259" s="8"/>
    </row>
    <row r="260" spans="2:22" x14ac:dyDescent="0.35">
      <c r="B260" s="1">
        <v>65209</v>
      </c>
      <c r="C260" s="1" t="s">
        <v>244</v>
      </c>
      <c r="T260" s="8"/>
      <c r="U260" s="8"/>
      <c r="V260" s="8"/>
    </row>
    <row r="261" spans="2:22" x14ac:dyDescent="0.35">
      <c r="B261" s="1">
        <v>65211</v>
      </c>
      <c r="C261" s="1" t="s">
        <v>245</v>
      </c>
      <c r="T261" s="8"/>
      <c r="U261" s="8"/>
      <c r="V261" s="8"/>
    </row>
    <row r="262" spans="2:22" x14ac:dyDescent="0.35">
      <c r="B262" s="1">
        <v>65213</v>
      </c>
      <c r="C262" s="1" t="s">
        <v>246</v>
      </c>
      <c r="T262" s="8"/>
      <c r="U262" s="8"/>
      <c r="V262" s="8"/>
    </row>
    <row r="263" spans="2:22" x14ac:dyDescent="0.35">
      <c r="B263" s="1">
        <v>65215</v>
      </c>
      <c r="C263" s="1" t="s">
        <v>247</v>
      </c>
      <c r="T263" s="8"/>
      <c r="U263" s="8"/>
      <c r="V263" s="8"/>
    </row>
    <row r="264" spans="2:22" x14ac:dyDescent="0.35">
      <c r="B264" s="1">
        <v>65217</v>
      </c>
      <c r="C264" s="1" t="s">
        <v>248</v>
      </c>
      <c r="F264" s="5"/>
      <c r="I264" s="5"/>
      <c r="K264" s="5"/>
      <c r="M264" s="5"/>
      <c r="N264" s="5"/>
      <c r="O264" s="5"/>
      <c r="Q264" s="5"/>
      <c r="R264" s="5"/>
      <c r="T264" s="8"/>
      <c r="U264" s="8"/>
      <c r="V264" s="8"/>
    </row>
    <row r="265" spans="2:22" x14ac:dyDescent="0.35">
      <c r="B265" s="1">
        <v>65219</v>
      </c>
      <c r="C265" s="1" t="s">
        <v>249</v>
      </c>
      <c r="T265" s="8"/>
      <c r="U265" s="8"/>
      <c r="V265" s="8"/>
    </row>
    <row r="266" spans="2:22" x14ac:dyDescent="0.35">
      <c r="B266" s="1">
        <v>65221</v>
      </c>
      <c r="C266" s="1" t="s">
        <v>250</v>
      </c>
      <c r="T266" s="8"/>
      <c r="U266" s="8"/>
      <c r="V266" s="8"/>
    </row>
    <row r="267" spans="2:22" x14ac:dyDescent="0.35">
      <c r="B267" s="1">
        <v>65223</v>
      </c>
      <c r="C267" s="1" t="s">
        <v>251</v>
      </c>
      <c r="T267" s="8"/>
      <c r="U267" s="8"/>
      <c r="V267" s="8"/>
    </row>
    <row r="268" spans="2:22" x14ac:dyDescent="0.35">
      <c r="B268" s="1">
        <v>65230</v>
      </c>
      <c r="C268" s="1" t="s">
        <v>252</v>
      </c>
      <c r="T268" s="8"/>
      <c r="U268" s="8"/>
      <c r="V268" s="8"/>
    </row>
    <row r="269" spans="2:22" x14ac:dyDescent="0.35">
      <c r="B269" s="1">
        <v>65233</v>
      </c>
      <c r="C269" s="1" t="s">
        <v>253</v>
      </c>
      <c r="T269" s="8"/>
      <c r="U269" s="8"/>
      <c r="V269" s="8"/>
    </row>
    <row r="270" spans="2:22" x14ac:dyDescent="0.35">
      <c r="B270" s="1">
        <v>65236</v>
      </c>
      <c r="C270" s="1" t="s">
        <v>254</v>
      </c>
      <c r="F270" s="5"/>
      <c r="R270" s="5"/>
      <c r="T270" s="8"/>
      <c r="U270" s="8"/>
      <c r="V270" s="8"/>
    </row>
    <row r="271" spans="2:22" x14ac:dyDescent="0.35">
      <c r="B271" s="1">
        <v>65240</v>
      </c>
      <c r="C271" s="1" t="s">
        <v>255</v>
      </c>
      <c r="T271" s="8"/>
      <c r="U271" s="8"/>
      <c r="V271" s="8"/>
    </row>
    <row r="272" spans="2:22" x14ac:dyDescent="0.35">
      <c r="B272" s="1">
        <v>65243</v>
      </c>
      <c r="C272" s="1" t="s">
        <v>256</v>
      </c>
      <c r="R272" s="5"/>
      <c r="T272" s="8"/>
      <c r="U272" s="8"/>
      <c r="V272" s="8"/>
    </row>
    <row r="273" spans="1:22" x14ac:dyDescent="0.35">
      <c r="B273" s="1">
        <v>65250</v>
      </c>
      <c r="C273" s="1" t="s">
        <v>257</v>
      </c>
      <c r="T273" s="8"/>
      <c r="U273" s="8"/>
      <c r="V273" s="8"/>
    </row>
    <row r="274" spans="1:22" x14ac:dyDescent="0.35">
      <c r="B274" s="1">
        <v>65300</v>
      </c>
      <c r="C274" s="1" t="s">
        <v>258</v>
      </c>
      <c r="T274" s="8"/>
      <c r="U274" s="8"/>
      <c r="V274" s="8"/>
    </row>
    <row r="275" spans="1:22" x14ac:dyDescent="0.35">
      <c r="B275" s="1">
        <v>65305</v>
      </c>
      <c r="C275" s="1" t="s">
        <v>259</v>
      </c>
      <c r="T275" s="8"/>
      <c r="U275" s="8"/>
      <c r="V275" s="8"/>
    </row>
    <row r="276" spans="1:22" x14ac:dyDescent="0.35">
      <c r="B276" s="1">
        <v>65310</v>
      </c>
      <c r="C276" s="1" t="s">
        <v>260</v>
      </c>
      <c r="T276" s="8"/>
      <c r="U276" s="8"/>
      <c r="V276" s="8"/>
    </row>
    <row r="277" spans="1:22" x14ac:dyDescent="0.35">
      <c r="B277" s="1">
        <v>65315</v>
      </c>
      <c r="C277" s="1" t="s">
        <v>261</v>
      </c>
      <c r="T277" s="8"/>
      <c r="U277" s="8"/>
      <c r="V277" s="8"/>
    </row>
    <row r="278" spans="1:22" x14ac:dyDescent="0.35">
      <c r="B278" s="1">
        <v>65320</v>
      </c>
      <c r="C278" s="1" t="s">
        <v>262</v>
      </c>
      <c r="T278" s="8"/>
      <c r="U278" s="8"/>
      <c r="V278" s="8"/>
    </row>
    <row r="279" spans="1:22" x14ac:dyDescent="0.35">
      <c r="B279" s="1">
        <v>65330</v>
      </c>
      <c r="C279" s="1" t="s">
        <v>263</v>
      </c>
      <c r="T279" s="8"/>
      <c r="U279" s="8"/>
      <c r="V279" s="8"/>
    </row>
    <row r="280" spans="1:22" x14ac:dyDescent="0.35">
      <c r="B280" s="1">
        <v>65340</v>
      </c>
      <c r="C280" s="1" t="s">
        <v>264</v>
      </c>
      <c r="T280" s="8"/>
      <c r="U280" s="8"/>
      <c r="V280" s="8"/>
    </row>
    <row r="281" spans="1:22" x14ac:dyDescent="0.35">
      <c r="B281" s="1">
        <v>65341</v>
      </c>
      <c r="C281" s="1" t="s">
        <v>265</v>
      </c>
      <c r="R281" s="5"/>
      <c r="T281" s="8"/>
      <c r="U281" s="8"/>
      <c r="V281" s="8"/>
    </row>
    <row r="282" spans="1:22" x14ac:dyDescent="0.35">
      <c r="B282" s="1">
        <v>65345</v>
      </c>
      <c r="C282" s="1" t="s">
        <v>266</v>
      </c>
      <c r="T282" s="8"/>
      <c r="U282" s="8"/>
      <c r="V282" s="8"/>
    </row>
    <row r="283" spans="1:22" x14ac:dyDescent="0.35">
      <c r="B283" s="1">
        <v>65350</v>
      </c>
      <c r="C283" s="1" t="s">
        <v>267</v>
      </c>
      <c r="T283" s="8"/>
      <c r="U283" s="8"/>
      <c r="V283" s="8"/>
    </row>
    <row r="284" spans="1:22" x14ac:dyDescent="0.35">
      <c r="B284" s="1">
        <v>65360</v>
      </c>
      <c r="C284" s="1" t="s">
        <v>268</v>
      </c>
      <c r="T284" s="8"/>
      <c r="U284" s="8"/>
      <c r="V284" s="8"/>
    </row>
    <row r="285" spans="1:22" x14ac:dyDescent="0.35">
      <c r="B285" s="1">
        <v>65370</v>
      </c>
      <c r="C285" s="1" t="s">
        <v>269</v>
      </c>
      <c r="T285" s="8"/>
      <c r="U285" s="8"/>
      <c r="V285" s="8"/>
    </row>
    <row r="286" spans="1:22" x14ac:dyDescent="0.35">
      <c r="B286" s="1">
        <v>65397</v>
      </c>
      <c r="C286" s="1" t="s">
        <v>270</v>
      </c>
      <c r="T286" s="8"/>
      <c r="U286" s="8"/>
      <c r="V286" s="8"/>
    </row>
    <row r="287" spans="1:22" x14ac:dyDescent="0.35">
      <c r="B287" s="1">
        <v>65399</v>
      </c>
      <c r="C287" s="1" t="s">
        <v>271</v>
      </c>
      <c r="T287" s="8"/>
      <c r="U287" s="8"/>
      <c r="V287" s="8"/>
    </row>
    <row r="288" spans="1:22" x14ac:dyDescent="0.35">
      <c r="A288" s="21">
        <v>11</v>
      </c>
      <c r="B288" s="12" t="s">
        <v>272</v>
      </c>
      <c r="C288" s="12"/>
      <c r="D288" s="12"/>
      <c r="E288" s="12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T288" s="10"/>
      <c r="U288" s="10"/>
      <c r="V288" s="10"/>
    </row>
    <row r="289" spans="1:22" x14ac:dyDescent="0.35">
      <c r="T289" s="8"/>
      <c r="U289" s="8"/>
      <c r="V289" s="8"/>
    </row>
    <row r="290" spans="1:22" x14ac:dyDescent="0.35">
      <c r="A290" s="21"/>
      <c r="B290" s="14" t="s">
        <v>273</v>
      </c>
      <c r="C290" s="14"/>
      <c r="D290" s="14"/>
      <c r="E290" s="14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T290" s="11"/>
      <c r="U290" s="11"/>
      <c r="V290" s="11"/>
    </row>
    <row r="291" spans="1:22" x14ac:dyDescent="0.35">
      <c r="A291" s="21"/>
      <c r="B291" s="14"/>
      <c r="C291" s="14"/>
      <c r="D291" s="14"/>
      <c r="E291" s="14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T291" s="11"/>
      <c r="U291" s="11"/>
      <c r="V291" s="11"/>
    </row>
    <row r="292" spans="1:22" x14ac:dyDescent="0.35">
      <c r="A292" s="21"/>
      <c r="B292" s="14" t="s">
        <v>274</v>
      </c>
      <c r="C292" s="14"/>
      <c r="D292" s="14"/>
      <c r="E292" s="14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T292" s="11"/>
      <c r="U292" s="11"/>
      <c r="V292" s="11"/>
    </row>
    <row r="293" spans="1:22" x14ac:dyDescent="0.35">
      <c r="A293" s="21"/>
      <c r="T293" s="11"/>
      <c r="U293" s="11"/>
      <c r="V293" s="11"/>
    </row>
    <row r="294" spans="1:22" x14ac:dyDescent="0.35">
      <c r="A294" s="21"/>
      <c r="B294" s="1" t="s">
        <v>275</v>
      </c>
      <c r="T294" s="8"/>
      <c r="U294" s="8"/>
      <c r="V294" s="8"/>
    </row>
    <row r="295" spans="1:22" x14ac:dyDescent="0.35">
      <c r="A295" s="21">
        <v>15</v>
      </c>
      <c r="B295" s="1">
        <v>66540</v>
      </c>
      <c r="C295" s="1" t="s">
        <v>276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T295" s="8"/>
      <c r="U295" s="8"/>
      <c r="V295" s="8"/>
    </row>
    <row r="296" spans="1:22" x14ac:dyDescent="0.35">
      <c r="A296" s="21">
        <v>15</v>
      </c>
      <c r="B296" s="1">
        <v>66545</v>
      </c>
      <c r="C296" s="1" t="s">
        <v>277</v>
      </c>
      <c r="T296" s="8"/>
      <c r="U296" s="8"/>
      <c r="V296" s="8"/>
    </row>
    <row r="297" spans="1:22" x14ac:dyDescent="0.35">
      <c r="A297" s="21">
        <v>15</v>
      </c>
      <c r="B297" s="1">
        <v>66550</v>
      </c>
      <c r="C297" s="1" t="s">
        <v>278</v>
      </c>
      <c r="P297" s="5"/>
      <c r="R297" s="5"/>
      <c r="T297" s="8"/>
      <c r="U297" s="8"/>
      <c r="V297" s="8"/>
    </row>
    <row r="298" spans="1:22" x14ac:dyDescent="0.35">
      <c r="A298" s="21">
        <v>15</v>
      </c>
      <c r="B298" s="1">
        <v>66560</v>
      </c>
      <c r="C298" s="1" t="s">
        <v>279</v>
      </c>
      <c r="T298" s="8"/>
      <c r="U298" s="8"/>
      <c r="V298" s="8"/>
    </row>
    <row r="299" spans="1:22" x14ac:dyDescent="0.35">
      <c r="A299" s="21">
        <v>16</v>
      </c>
      <c r="B299" s="1">
        <v>66000</v>
      </c>
      <c r="C299" s="1" t="s">
        <v>280</v>
      </c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T299" s="8"/>
      <c r="U299" s="8"/>
      <c r="V299" s="8"/>
    </row>
    <row r="300" spans="1:22" x14ac:dyDescent="0.35">
      <c r="A300" s="21">
        <v>16</v>
      </c>
      <c r="B300" s="1">
        <v>66010</v>
      </c>
      <c r="C300" s="1" t="s">
        <v>281</v>
      </c>
      <c r="T300" s="8"/>
      <c r="U300" s="8"/>
      <c r="V300" s="8"/>
    </row>
    <row r="301" spans="1:22" x14ac:dyDescent="0.35">
      <c r="A301" s="21">
        <v>16</v>
      </c>
      <c r="B301" s="1">
        <v>66015</v>
      </c>
      <c r="C301" s="1" t="s">
        <v>282</v>
      </c>
      <c r="T301" s="8"/>
      <c r="U301" s="8"/>
      <c r="V301" s="8"/>
    </row>
    <row r="302" spans="1:22" x14ac:dyDescent="0.35">
      <c r="A302" s="6">
        <v>9</v>
      </c>
      <c r="B302" s="1">
        <v>66610</v>
      </c>
      <c r="C302" s="1" t="s">
        <v>283</v>
      </c>
      <c r="T302" s="8"/>
      <c r="U302" s="8"/>
      <c r="V302" s="8"/>
    </row>
    <row r="303" spans="1:22" x14ac:dyDescent="0.35">
      <c r="A303" s="6">
        <v>9</v>
      </c>
      <c r="B303" s="1">
        <v>66600</v>
      </c>
      <c r="C303" s="1" t="s">
        <v>284</v>
      </c>
      <c r="J303" s="5"/>
      <c r="R303" s="5"/>
      <c r="T303" s="8"/>
      <c r="U303" s="8"/>
      <c r="V303" s="8"/>
    </row>
    <row r="304" spans="1:22" x14ac:dyDescent="0.35">
      <c r="B304" s="12" t="s">
        <v>285</v>
      </c>
      <c r="C304" s="12"/>
      <c r="D304" s="12"/>
      <c r="E304" s="12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T304" s="10"/>
      <c r="U304" s="10"/>
      <c r="V304" s="10"/>
    </row>
    <row r="305" spans="2:22" x14ac:dyDescent="0.35">
      <c r="T305" s="8"/>
      <c r="U305" s="8"/>
      <c r="V305" s="8"/>
    </row>
    <row r="306" spans="2:22" ht="15" thickBot="1" x14ac:dyDescent="0.4">
      <c r="B306" s="17" t="s">
        <v>286</v>
      </c>
      <c r="C306" s="17"/>
      <c r="D306" s="17"/>
      <c r="E306" s="17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T306" s="19"/>
      <c r="U306" s="19"/>
      <c r="V306" s="19"/>
    </row>
    <row r="307" spans="2:22" ht="15" thickTop="1" x14ac:dyDescent="0.35">
      <c r="T307" s="20"/>
      <c r="U307" s="20"/>
      <c r="V307" s="20"/>
    </row>
    <row r="308" spans="2:22" x14ac:dyDescent="0.35">
      <c r="T308" s="8"/>
      <c r="U308" s="8"/>
      <c r="V308" s="8"/>
    </row>
    <row r="309" spans="2:22" x14ac:dyDescent="0.35">
      <c r="T309" s="8"/>
      <c r="U309" s="8"/>
      <c r="V309" s="8"/>
    </row>
    <row r="310" spans="2:22" x14ac:dyDescent="0.35">
      <c r="T310" s="8"/>
      <c r="U310" s="8"/>
      <c r="V310" s="8"/>
    </row>
    <row r="311" spans="2:22" x14ac:dyDescent="0.35">
      <c r="T311" s="8"/>
      <c r="U311" s="8"/>
      <c r="V311" s="8"/>
    </row>
    <row r="312" spans="2:22" x14ac:dyDescent="0.35">
      <c r="T312" s="8"/>
      <c r="U312" s="8"/>
      <c r="V312" s="8"/>
    </row>
    <row r="313" spans="2:22" x14ac:dyDescent="0.35">
      <c r="T313" s="8"/>
      <c r="U313" s="8"/>
      <c r="V313" s="8"/>
    </row>
    <row r="314" spans="2:22" x14ac:dyDescent="0.35">
      <c r="T314" s="8"/>
      <c r="U314" s="8"/>
      <c r="V314" s="8"/>
    </row>
    <row r="315" spans="2:22" x14ac:dyDescent="0.35">
      <c r="T315" s="8"/>
      <c r="U315" s="8"/>
      <c r="V315" s="8"/>
    </row>
    <row r="316" spans="2:22" x14ac:dyDescent="0.35">
      <c r="T316" s="8"/>
      <c r="U316" s="8"/>
      <c r="V316" s="8"/>
    </row>
    <row r="317" spans="2:22" x14ac:dyDescent="0.35">
      <c r="T317" s="8"/>
      <c r="U317" s="8"/>
      <c r="V317" s="8"/>
    </row>
    <row r="318" spans="2:22" x14ac:dyDescent="0.35">
      <c r="T318" s="8"/>
      <c r="U318" s="8"/>
      <c r="V318" s="8"/>
    </row>
    <row r="319" spans="2:22" x14ac:dyDescent="0.35">
      <c r="T319" s="8"/>
      <c r="U319" s="8"/>
      <c r="V319" s="8"/>
    </row>
    <row r="320" spans="2:22" x14ac:dyDescent="0.35">
      <c r="T320" s="8"/>
      <c r="U320" s="8"/>
      <c r="V320" s="8"/>
    </row>
    <row r="321" spans="20:22" x14ac:dyDescent="0.35">
      <c r="T321" s="8"/>
      <c r="U321" s="8"/>
      <c r="V321" s="8"/>
    </row>
    <row r="322" spans="20:22" x14ac:dyDescent="0.35">
      <c r="T322" s="8"/>
      <c r="U322" s="8"/>
      <c r="V322" s="8"/>
    </row>
    <row r="323" spans="20:22" x14ac:dyDescent="0.35">
      <c r="T323" s="8"/>
      <c r="U323" s="8"/>
      <c r="V323" s="8"/>
    </row>
    <row r="324" spans="20:22" x14ac:dyDescent="0.35">
      <c r="T324" s="8"/>
      <c r="U324" s="8"/>
      <c r="V324" s="8"/>
    </row>
    <row r="325" spans="20:22" x14ac:dyDescent="0.35">
      <c r="T325" s="8"/>
      <c r="U325" s="8"/>
      <c r="V325" s="8"/>
    </row>
    <row r="326" spans="20:22" x14ac:dyDescent="0.35">
      <c r="T326" s="8"/>
      <c r="U326" s="8"/>
      <c r="V326" s="8"/>
    </row>
    <row r="327" spans="20:22" x14ac:dyDescent="0.35">
      <c r="T327" s="8"/>
      <c r="U327" s="8"/>
      <c r="V327" s="8"/>
    </row>
    <row r="328" spans="20:22" x14ac:dyDescent="0.35">
      <c r="T328" s="8"/>
      <c r="U328" s="8"/>
      <c r="V328" s="8"/>
    </row>
    <row r="329" spans="20:22" x14ac:dyDescent="0.35">
      <c r="T329" s="8"/>
      <c r="U329" s="8"/>
      <c r="V329" s="8"/>
    </row>
    <row r="330" spans="20:22" x14ac:dyDescent="0.35">
      <c r="T330" s="8"/>
      <c r="U330" s="8"/>
      <c r="V330" s="8"/>
    </row>
    <row r="331" spans="20:22" x14ac:dyDescent="0.35">
      <c r="T331" s="8"/>
      <c r="U331" s="8"/>
      <c r="V331" s="8"/>
    </row>
    <row r="332" spans="20:22" x14ac:dyDescent="0.35">
      <c r="T332" s="8"/>
      <c r="U332" s="8"/>
      <c r="V332" s="8"/>
    </row>
    <row r="333" spans="20:22" x14ac:dyDescent="0.35">
      <c r="T333" s="8"/>
      <c r="U333" s="8"/>
      <c r="V333" s="8"/>
    </row>
    <row r="334" spans="20:22" x14ac:dyDescent="0.35">
      <c r="T334" s="8"/>
      <c r="U334" s="8"/>
      <c r="V334" s="8"/>
    </row>
    <row r="335" spans="20:22" x14ac:dyDescent="0.35">
      <c r="T335" s="8"/>
      <c r="U335" s="8"/>
      <c r="V335" s="8"/>
    </row>
    <row r="336" spans="20:22" x14ac:dyDescent="0.35">
      <c r="T336" s="8"/>
      <c r="U336" s="8"/>
      <c r="V336" s="8"/>
    </row>
    <row r="337" spans="20:22" x14ac:dyDescent="0.35">
      <c r="T337" s="8"/>
      <c r="U337" s="8"/>
      <c r="V337" s="8"/>
    </row>
    <row r="338" spans="20:22" x14ac:dyDescent="0.35">
      <c r="T338" s="8"/>
      <c r="U338" s="8"/>
      <c r="V338" s="8"/>
    </row>
    <row r="339" spans="20:22" x14ac:dyDescent="0.35">
      <c r="T339" s="8"/>
      <c r="U339" s="8"/>
      <c r="V339" s="8"/>
    </row>
    <row r="340" spans="20:22" x14ac:dyDescent="0.35">
      <c r="T340" s="8"/>
      <c r="U340" s="8"/>
      <c r="V340" s="8"/>
    </row>
    <row r="341" spans="20:22" x14ac:dyDescent="0.35">
      <c r="T341" s="8"/>
      <c r="U341" s="8"/>
      <c r="V341" s="8"/>
    </row>
    <row r="342" spans="20:22" x14ac:dyDescent="0.35">
      <c r="T342" s="8"/>
      <c r="U342" s="8"/>
      <c r="V342" s="8"/>
    </row>
    <row r="343" spans="20:22" x14ac:dyDescent="0.35">
      <c r="T343" s="8"/>
      <c r="U343" s="8"/>
      <c r="V343" s="8"/>
    </row>
    <row r="344" spans="20:22" x14ac:dyDescent="0.35">
      <c r="T344" s="8"/>
      <c r="U344" s="8"/>
      <c r="V344" s="8"/>
    </row>
    <row r="345" spans="20:22" x14ac:dyDescent="0.35">
      <c r="T345" s="8"/>
      <c r="U345" s="8"/>
      <c r="V345" s="8"/>
    </row>
    <row r="346" spans="20:22" x14ac:dyDescent="0.35">
      <c r="T346" s="8"/>
      <c r="U346" s="8"/>
      <c r="V346" s="8"/>
    </row>
    <row r="347" spans="20:22" x14ac:dyDescent="0.35">
      <c r="T347" s="8"/>
      <c r="U347" s="8"/>
      <c r="V347" s="8"/>
    </row>
    <row r="348" spans="20:22" x14ac:dyDescent="0.35">
      <c r="T348" s="8"/>
      <c r="U348" s="8"/>
      <c r="V348" s="8"/>
    </row>
    <row r="349" spans="20:22" x14ac:dyDescent="0.35">
      <c r="T349" s="8"/>
      <c r="U349" s="8"/>
      <c r="V349" s="8"/>
    </row>
    <row r="350" spans="20:22" x14ac:dyDescent="0.35">
      <c r="T350" s="8"/>
      <c r="U350" s="8"/>
      <c r="V350" s="8"/>
    </row>
    <row r="351" spans="20:22" x14ac:dyDescent="0.35">
      <c r="T351" s="8"/>
      <c r="U351" s="8"/>
      <c r="V351" s="8"/>
    </row>
    <row r="352" spans="20:22" x14ac:dyDescent="0.35">
      <c r="T352" s="8"/>
      <c r="U352" s="8"/>
      <c r="V352" s="8"/>
    </row>
    <row r="353" spans="20:22" x14ac:dyDescent="0.35">
      <c r="T353" s="8"/>
      <c r="U353" s="8"/>
      <c r="V353" s="8"/>
    </row>
    <row r="354" spans="20:22" x14ac:dyDescent="0.35">
      <c r="T354" s="8"/>
      <c r="U354" s="8"/>
      <c r="V354" s="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21AC3-CA84-4912-8E66-FAFF67484E4A}">
  <dimension ref="A1:V354"/>
  <sheetViews>
    <sheetView workbookViewId="0">
      <selection activeCell="F8" sqref="F8:AS350"/>
    </sheetView>
  </sheetViews>
  <sheetFormatPr defaultColWidth="8.7265625" defaultRowHeight="14.5" x14ac:dyDescent="0.35"/>
  <cols>
    <col min="1" max="1" width="5.54296875" style="6" customWidth="1"/>
    <col min="2" max="2" width="9.1796875" style="1" bestFit="1" customWidth="1"/>
    <col min="3" max="5" width="8.7265625" style="1"/>
    <col min="6" max="18" width="12.54296875" style="3" customWidth="1"/>
    <col min="19" max="19" width="8.7265625" style="1"/>
    <col min="20" max="22" width="12.54296875" style="3" customWidth="1"/>
    <col min="23" max="16384" width="8.7265625" style="1"/>
  </cols>
  <sheetData>
    <row r="1" spans="1:22" x14ac:dyDescent="0.35">
      <c r="B1" s="1" t="s">
        <v>0</v>
      </c>
    </row>
    <row r="2" spans="1:22" x14ac:dyDescent="0.35">
      <c r="B2" s="1" t="s">
        <v>1</v>
      </c>
    </row>
    <row r="3" spans="1:22" x14ac:dyDescent="0.35">
      <c r="B3" s="2">
        <v>44926</v>
      </c>
    </row>
    <row r="4" spans="1:22" x14ac:dyDescent="0.35">
      <c r="F4" s="4">
        <v>44592</v>
      </c>
      <c r="G4" s="4">
        <v>44620</v>
      </c>
      <c r="H4" s="4">
        <v>44651</v>
      </c>
      <c r="I4" s="4">
        <v>44681</v>
      </c>
      <c r="J4" s="4">
        <v>44712</v>
      </c>
      <c r="K4" s="4">
        <v>44742</v>
      </c>
      <c r="L4" s="4">
        <v>44773</v>
      </c>
      <c r="M4" s="4">
        <v>44804</v>
      </c>
      <c r="N4" s="4">
        <v>44834</v>
      </c>
      <c r="O4" s="4">
        <v>44865</v>
      </c>
      <c r="P4" s="4">
        <v>44895</v>
      </c>
      <c r="Q4" s="4">
        <v>44926</v>
      </c>
      <c r="R4" s="3" t="s">
        <v>3</v>
      </c>
    </row>
    <row r="5" spans="1:22" x14ac:dyDescent="0.35">
      <c r="F5" s="3" t="s">
        <v>2</v>
      </c>
      <c r="G5" s="3" t="s">
        <v>2</v>
      </c>
      <c r="H5" s="3" t="s">
        <v>2</v>
      </c>
      <c r="I5" s="3" t="s">
        <v>2</v>
      </c>
      <c r="J5" s="3" t="s">
        <v>2</v>
      </c>
      <c r="K5" s="3" t="s">
        <v>2</v>
      </c>
      <c r="L5" s="3" t="s">
        <v>2</v>
      </c>
      <c r="M5" s="3" t="s">
        <v>2</v>
      </c>
      <c r="N5" s="3" t="s">
        <v>2</v>
      </c>
      <c r="O5" s="3" t="s">
        <v>2</v>
      </c>
      <c r="P5" s="3" t="s">
        <v>2</v>
      </c>
      <c r="Q5" s="3" t="s">
        <v>2</v>
      </c>
      <c r="T5" s="9" t="s">
        <v>305</v>
      </c>
      <c r="U5" s="9" t="s">
        <v>306</v>
      </c>
      <c r="V5" s="9" t="s">
        <v>307</v>
      </c>
    </row>
    <row r="6" spans="1:22" x14ac:dyDescent="0.35">
      <c r="B6" s="1" t="s">
        <v>4</v>
      </c>
    </row>
    <row r="7" spans="1:22" x14ac:dyDescent="0.35">
      <c r="B7" s="1" t="s">
        <v>5</v>
      </c>
    </row>
    <row r="8" spans="1:22" x14ac:dyDescent="0.35">
      <c r="B8" s="1">
        <v>40000</v>
      </c>
      <c r="C8" s="1" t="s">
        <v>6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T8" s="8"/>
      <c r="U8" s="8"/>
      <c r="V8" s="8"/>
    </row>
    <row r="9" spans="1:22" x14ac:dyDescent="0.35">
      <c r="B9" s="1">
        <v>40091</v>
      </c>
      <c r="C9" s="1" t="s">
        <v>7</v>
      </c>
      <c r="T9" s="8"/>
      <c r="U9" s="8"/>
      <c r="V9" s="8"/>
    </row>
    <row r="10" spans="1:22" x14ac:dyDescent="0.35">
      <c r="B10" s="1">
        <v>41000</v>
      </c>
      <c r="C10" s="1" t="s">
        <v>8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T10" s="8"/>
      <c r="U10" s="8"/>
      <c r="V10" s="8"/>
    </row>
    <row r="11" spans="1:22" x14ac:dyDescent="0.35">
      <c r="B11" s="1">
        <v>41010</v>
      </c>
      <c r="C11" s="1" t="s">
        <v>9</v>
      </c>
      <c r="T11" s="8"/>
      <c r="U11" s="8"/>
      <c r="V11" s="8"/>
    </row>
    <row r="12" spans="1:22" x14ac:dyDescent="0.35">
      <c r="A12" s="6">
        <v>1</v>
      </c>
      <c r="B12" s="12" t="s">
        <v>10</v>
      </c>
      <c r="C12" s="12"/>
      <c r="D12" s="12"/>
      <c r="E12" s="12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T12" s="10"/>
      <c r="U12" s="10"/>
      <c r="V12" s="10"/>
    </row>
    <row r="13" spans="1:22" x14ac:dyDescent="0.35">
      <c r="T13" s="8"/>
      <c r="U13" s="8"/>
      <c r="V13" s="8"/>
    </row>
    <row r="14" spans="1:22" x14ac:dyDescent="0.35">
      <c r="B14" s="1" t="s">
        <v>11</v>
      </c>
      <c r="T14" s="8"/>
      <c r="U14" s="8"/>
      <c r="V14" s="8"/>
    </row>
    <row r="15" spans="1:22" x14ac:dyDescent="0.35">
      <c r="A15" s="6">
        <v>7</v>
      </c>
      <c r="B15" s="1">
        <v>40020</v>
      </c>
      <c r="C15" s="1" t="s">
        <v>12</v>
      </c>
      <c r="T15" s="8"/>
      <c r="U15" s="8"/>
      <c r="V15" s="8"/>
    </row>
    <row r="16" spans="1:22" x14ac:dyDescent="0.35">
      <c r="A16" s="6">
        <v>7</v>
      </c>
      <c r="B16" s="1">
        <v>40025</v>
      </c>
      <c r="C16" s="1" t="s">
        <v>13</v>
      </c>
      <c r="T16" s="8"/>
      <c r="U16" s="8"/>
      <c r="V16" s="8"/>
    </row>
    <row r="17" spans="1:22" x14ac:dyDescent="0.35">
      <c r="A17" s="6">
        <v>7</v>
      </c>
      <c r="B17" s="1">
        <v>40027</v>
      </c>
      <c r="C17" s="1" t="s">
        <v>14</v>
      </c>
      <c r="T17" s="8"/>
      <c r="U17" s="8"/>
      <c r="V17" s="8"/>
    </row>
    <row r="18" spans="1:22" x14ac:dyDescent="0.35">
      <c r="A18" s="6">
        <v>2</v>
      </c>
      <c r="B18" s="1">
        <v>41020</v>
      </c>
      <c r="C18" s="1" t="s">
        <v>15</v>
      </c>
      <c r="F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T18" s="8"/>
      <c r="U18" s="8"/>
      <c r="V18" s="8"/>
    </row>
    <row r="19" spans="1:22" x14ac:dyDescent="0.35">
      <c r="A19" s="6">
        <v>5</v>
      </c>
      <c r="B19" s="1">
        <v>41030</v>
      </c>
      <c r="C19" s="1" t="s">
        <v>16</v>
      </c>
      <c r="T19" s="8"/>
      <c r="U19" s="8"/>
      <c r="V19" s="8"/>
    </row>
    <row r="20" spans="1:22" x14ac:dyDescent="0.35">
      <c r="A20" s="6">
        <v>5</v>
      </c>
      <c r="B20" s="1">
        <v>41040</v>
      </c>
      <c r="C20" s="1" t="s">
        <v>17</v>
      </c>
      <c r="T20" s="8"/>
      <c r="U20" s="8"/>
      <c r="V20" s="8"/>
    </row>
    <row r="21" spans="1:22" x14ac:dyDescent="0.35">
      <c r="A21" s="6">
        <v>3</v>
      </c>
      <c r="B21" s="1">
        <v>41050</v>
      </c>
      <c r="C21" s="1" t="s">
        <v>18</v>
      </c>
      <c r="T21" s="8"/>
      <c r="U21" s="8"/>
      <c r="V21" s="8"/>
    </row>
    <row r="22" spans="1:22" x14ac:dyDescent="0.35">
      <c r="A22" s="6">
        <v>3</v>
      </c>
      <c r="B22" s="1">
        <v>41070</v>
      </c>
      <c r="C22" s="1" t="s">
        <v>19</v>
      </c>
      <c r="T22" s="8"/>
      <c r="U22" s="8"/>
      <c r="V22" s="8"/>
    </row>
    <row r="23" spans="1:22" x14ac:dyDescent="0.35">
      <c r="A23" s="6">
        <v>3</v>
      </c>
      <c r="B23" s="1">
        <v>41080</v>
      </c>
      <c r="C23" s="1" t="s">
        <v>20</v>
      </c>
      <c r="N23" s="5"/>
      <c r="R23" s="5"/>
      <c r="T23" s="8"/>
      <c r="U23" s="8"/>
      <c r="V23" s="8"/>
    </row>
    <row r="24" spans="1:22" x14ac:dyDescent="0.35">
      <c r="A24" s="6">
        <v>3</v>
      </c>
      <c r="B24" s="1">
        <v>41090</v>
      </c>
      <c r="C24" s="1" t="s">
        <v>21</v>
      </c>
      <c r="T24" s="8"/>
      <c r="U24" s="8"/>
      <c r="V24" s="8"/>
    </row>
    <row r="25" spans="1:22" x14ac:dyDescent="0.35">
      <c r="A25" s="6">
        <v>3</v>
      </c>
      <c r="B25" s="1">
        <v>41091</v>
      </c>
      <c r="C25" s="1" t="s">
        <v>22</v>
      </c>
      <c r="T25" s="8"/>
      <c r="U25" s="8"/>
      <c r="V25" s="8"/>
    </row>
    <row r="26" spans="1:22" x14ac:dyDescent="0.35">
      <c r="A26" s="6">
        <v>4</v>
      </c>
      <c r="B26" s="1">
        <v>41095</v>
      </c>
      <c r="C26" s="1" t="s">
        <v>23</v>
      </c>
      <c r="H26" s="5"/>
      <c r="J26" s="5"/>
      <c r="K26" s="5"/>
      <c r="L26" s="5"/>
      <c r="N26" s="5"/>
      <c r="O26" s="5"/>
      <c r="R26" s="5"/>
      <c r="T26" s="8"/>
      <c r="U26" s="8"/>
      <c r="V26" s="8"/>
    </row>
    <row r="27" spans="1:22" x14ac:dyDescent="0.35">
      <c r="A27" s="6">
        <v>4</v>
      </c>
      <c r="B27" s="1">
        <v>41096</v>
      </c>
      <c r="C27" s="1" t="s">
        <v>24</v>
      </c>
      <c r="T27" s="8"/>
      <c r="U27" s="8"/>
      <c r="V27" s="8"/>
    </row>
    <row r="28" spans="1:22" x14ac:dyDescent="0.35">
      <c r="A28" s="6">
        <v>4</v>
      </c>
      <c r="B28" s="1">
        <v>41097</v>
      </c>
      <c r="C28" s="1" t="s">
        <v>25</v>
      </c>
      <c r="F28" s="5"/>
      <c r="G28" s="5"/>
      <c r="H28" s="5"/>
      <c r="J28" s="5"/>
      <c r="L28" s="5"/>
      <c r="M28" s="5"/>
      <c r="N28" s="5"/>
      <c r="O28" s="5"/>
      <c r="P28" s="5"/>
      <c r="Q28" s="5"/>
      <c r="R28" s="5"/>
      <c r="T28" s="8"/>
      <c r="U28" s="8"/>
      <c r="V28" s="8"/>
    </row>
    <row r="29" spans="1:22" x14ac:dyDescent="0.35">
      <c r="B29" s="12" t="s">
        <v>26</v>
      </c>
      <c r="C29" s="12"/>
      <c r="D29" s="12"/>
      <c r="E29" s="12"/>
      <c r="F29" s="13"/>
      <c r="G29" s="16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T29" s="10"/>
      <c r="U29" s="10"/>
      <c r="V29" s="10"/>
    </row>
    <row r="30" spans="1:22" x14ac:dyDescent="0.35">
      <c r="T30" s="8"/>
      <c r="U30" s="8"/>
      <c r="V30" s="8"/>
    </row>
    <row r="31" spans="1:22" x14ac:dyDescent="0.35">
      <c r="B31" s="14" t="s">
        <v>27</v>
      </c>
      <c r="C31" s="14"/>
      <c r="D31" s="14"/>
      <c r="E31" s="14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T31" s="11"/>
      <c r="U31" s="11"/>
      <c r="V31" s="11"/>
    </row>
    <row r="32" spans="1:22" x14ac:dyDescent="0.35">
      <c r="T32" s="8"/>
      <c r="U32" s="8"/>
      <c r="V32" s="8"/>
    </row>
    <row r="33" spans="1:22" x14ac:dyDescent="0.35">
      <c r="B33" s="1" t="s">
        <v>28</v>
      </c>
      <c r="T33" s="8"/>
      <c r="U33" s="8"/>
      <c r="V33" s="8"/>
    </row>
    <row r="34" spans="1:22" x14ac:dyDescent="0.35">
      <c r="A34" s="6">
        <v>7</v>
      </c>
      <c r="B34" s="1">
        <v>42000</v>
      </c>
      <c r="C34" s="1" t="s">
        <v>29</v>
      </c>
      <c r="T34" s="8"/>
      <c r="U34" s="8"/>
      <c r="V34" s="8"/>
    </row>
    <row r="35" spans="1:22" x14ac:dyDescent="0.35">
      <c r="A35" s="6">
        <v>7</v>
      </c>
      <c r="B35" s="1">
        <v>42010</v>
      </c>
      <c r="C35" s="1" t="s">
        <v>30</v>
      </c>
      <c r="T35" s="8"/>
      <c r="U35" s="8"/>
      <c r="V35" s="8"/>
    </row>
    <row r="36" spans="1:22" x14ac:dyDescent="0.35">
      <c r="A36" s="6">
        <v>7</v>
      </c>
      <c r="B36" s="1">
        <v>42100</v>
      </c>
      <c r="C36" s="1" t="s">
        <v>31</v>
      </c>
      <c r="T36" s="8"/>
      <c r="U36" s="8"/>
      <c r="V36" s="8"/>
    </row>
    <row r="37" spans="1:22" x14ac:dyDescent="0.35">
      <c r="A37" s="6">
        <v>7</v>
      </c>
      <c r="B37" s="1">
        <v>42150</v>
      </c>
      <c r="C37" s="1" t="s">
        <v>32</v>
      </c>
      <c r="T37" s="8"/>
      <c r="U37" s="8"/>
      <c r="V37" s="8"/>
    </row>
    <row r="38" spans="1:22" x14ac:dyDescent="0.35">
      <c r="A38" s="6">
        <v>7</v>
      </c>
      <c r="B38" s="1">
        <v>42200</v>
      </c>
      <c r="C38" s="1" t="s">
        <v>33</v>
      </c>
      <c r="T38" s="8"/>
      <c r="U38" s="8"/>
      <c r="V38" s="8"/>
    </row>
    <row r="39" spans="1:22" x14ac:dyDescent="0.35">
      <c r="A39" s="6">
        <v>7</v>
      </c>
      <c r="B39" s="1">
        <v>42500</v>
      </c>
      <c r="C39" s="1" t="s">
        <v>34</v>
      </c>
      <c r="H39" s="5"/>
      <c r="I39" s="5"/>
      <c r="P39" s="5"/>
      <c r="R39" s="5"/>
      <c r="T39" s="8"/>
      <c r="U39" s="8"/>
      <c r="V39" s="8"/>
    </row>
    <row r="40" spans="1:22" x14ac:dyDescent="0.35">
      <c r="A40" s="6">
        <v>7</v>
      </c>
      <c r="B40" s="1">
        <v>42505</v>
      </c>
      <c r="C40" s="1" t="s">
        <v>35</v>
      </c>
      <c r="R40" s="5"/>
      <c r="T40" s="8"/>
      <c r="U40" s="8"/>
      <c r="V40" s="8"/>
    </row>
    <row r="41" spans="1:22" x14ac:dyDescent="0.35">
      <c r="A41" s="6">
        <v>6</v>
      </c>
      <c r="B41" s="1">
        <v>42800</v>
      </c>
      <c r="C41" s="1" t="s">
        <v>36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T41" s="8"/>
      <c r="U41" s="8"/>
      <c r="V41" s="8"/>
    </row>
    <row r="42" spans="1:22" x14ac:dyDescent="0.35">
      <c r="A42" s="6">
        <v>7</v>
      </c>
      <c r="B42" s="1">
        <v>42810</v>
      </c>
      <c r="C42" s="1" t="s">
        <v>37</v>
      </c>
      <c r="T42" s="8"/>
      <c r="U42" s="8"/>
      <c r="V42" s="8"/>
    </row>
    <row r="43" spans="1:22" x14ac:dyDescent="0.35">
      <c r="A43" s="6">
        <v>7</v>
      </c>
      <c r="B43" s="1">
        <v>42900</v>
      </c>
      <c r="C43" s="1" t="s">
        <v>38</v>
      </c>
      <c r="T43" s="8"/>
      <c r="U43" s="8"/>
      <c r="V43" s="8"/>
    </row>
    <row r="44" spans="1:22" x14ac:dyDescent="0.35">
      <c r="A44" s="6">
        <v>7</v>
      </c>
      <c r="B44" s="1">
        <v>42905</v>
      </c>
      <c r="C44" s="1" t="s">
        <v>39</v>
      </c>
      <c r="T44" s="8"/>
      <c r="U44" s="8"/>
      <c r="V44" s="8"/>
    </row>
    <row r="45" spans="1:22" x14ac:dyDescent="0.35">
      <c r="A45" s="6">
        <v>7</v>
      </c>
      <c r="B45" s="1">
        <v>43300</v>
      </c>
      <c r="C45" s="1" t="s">
        <v>40</v>
      </c>
      <c r="H45" s="5"/>
      <c r="K45" s="5"/>
      <c r="L45" s="5"/>
      <c r="R45" s="5"/>
      <c r="T45" s="8"/>
      <c r="U45" s="8"/>
      <c r="V45" s="8"/>
    </row>
    <row r="46" spans="1:22" x14ac:dyDescent="0.35">
      <c r="A46" s="6">
        <v>7</v>
      </c>
      <c r="B46" s="1">
        <v>43305</v>
      </c>
      <c r="C46" s="1" t="s">
        <v>41</v>
      </c>
      <c r="T46" s="8"/>
      <c r="U46" s="8"/>
      <c r="V46" s="8"/>
    </row>
    <row r="47" spans="1:22" x14ac:dyDescent="0.35">
      <c r="A47" s="6">
        <v>7</v>
      </c>
      <c r="B47" s="1">
        <v>43325</v>
      </c>
      <c r="C47" s="1" t="s">
        <v>42</v>
      </c>
      <c r="R47" s="5"/>
      <c r="T47" s="8"/>
      <c r="U47" s="8"/>
      <c r="V47" s="8"/>
    </row>
    <row r="48" spans="1:22" x14ac:dyDescent="0.35">
      <c r="A48" s="6">
        <v>7</v>
      </c>
      <c r="B48" s="1">
        <v>43350</v>
      </c>
      <c r="C48" s="1" t="s">
        <v>43</v>
      </c>
      <c r="K48" s="5"/>
      <c r="L48" s="5"/>
      <c r="R48" s="5"/>
      <c r="T48" s="8"/>
      <c r="U48" s="8"/>
      <c r="V48" s="8"/>
    </row>
    <row r="49" spans="1:22" x14ac:dyDescent="0.35">
      <c r="A49" s="6">
        <v>7</v>
      </c>
      <c r="B49" s="1">
        <v>43355</v>
      </c>
      <c r="C49" s="1" t="s">
        <v>44</v>
      </c>
      <c r="T49" s="8"/>
      <c r="U49" s="8"/>
      <c r="V49" s="8"/>
    </row>
    <row r="50" spans="1:22" x14ac:dyDescent="0.35">
      <c r="A50" s="6">
        <v>7</v>
      </c>
      <c r="B50" s="1">
        <v>43375</v>
      </c>
      <c r="C50" s="1" t="s">
        <v>45</v>
      </c>
      <c r="T50" s="8"/>
      <c r="U50" s="8"/>
      <c r="V50" s="8"/>
    </row>
    <row r="51" spans="1:22" x14ac:dyDescent="0.35">
      <c r="A51" s="6">
        <v>7</v>
      </c>
      <c r="B51" s="1">
        <v>43400</v>
      </c>
      <c r="C51" s="1" t="s">
        <v>46</v>
      </c>
      <c r="G51" s="5"/>
      <c r="J51" s="5"/>
      <c r="K51" s="5"/>
      <c r="O51" s="5"/>
      <c r="P51" s="5"/>
      <c r="Q51" s="5"/>
      <c r="R51" s="5"/>
      <c r="T51" s="8"/>
      <c r="U51" s="8"/>
      <c r="V51" s="8"/>
    </row>
    <row r="52" spans="1:22" x14ac:dyDescent="0.35">
      <c r="A52" s="6">
        <v>7</v>
      </c>
      <c r="B52" s="1">
        <v>43405</v>
      </c>
      <c r="C52" s="1" t="s">
        <v>47</v>
      </c>
      <c r="R52" s="5"/>
      <c r="T52" s="8"/>
      <c r="U52" s="8"/>
      <c r="V52" s="8"/>
    </row>
    <row r="53" spans="1:22" x14ac:dyDescent="0.35">
      <c r="A53" s="6">
        <v>7</v>
      </c>
      <c r="B53" s="1">
        <v>43410</v>
      </c>
      <c r="C53" s="1" t="s">
        <v>48</v>
      </c>
      <c r="H53" s="5"/>
      <c r="R53" s="5"/>
      <c r="T53" s="8"/>
      <c r="U53" s="8"/>
      <c r="V53" s="8"/>
    </row>
    <row r="54" spans="1:22" x14ac:dyDescent="0.35">
      <c r="A54" s="6">
        <v>7</v>
      </c>
      <c r="B54" s="1">
        <v>43500</v>
      </c>
      <c r="C54" s="1" t="s">
        <v>49</v>
      </c>
      <c r="T54" s="8"/>
      <c r="U54" s="8"/>
      <c r="V54" s="8"/>
    </row>
    <row r="55" spans="1:22" x14ac:dyDescent="0.35">
      <c r="A55" s="6">
        <v>7</v>
      </c>
      <c r="B55" s="1">
        <v>43510</v>
      </c>
      <c r="C55" s="1" t="s">
        <v>50</v>
      </c>
      <c r="R55" s="5"/>
      <c r="T55" s="8"/>
      <c r="U55" s="8"/>
      <c r="V55" s="8"/>
    </row>
    <row r="56" spans="1:22" x14ac:dyDescent="0.35">
      <c r="A56" s="6">
        <v>7</v>
      </c>
      <c r="B56" s="1">
        <v>43520</v>
      </c>
      <c r="C56" s="1" t="s">
        <v>51</v>
      </c>
      <c r="F56" s="5"/>
      <c r="I56" s="5"/>
      <c r="K56" s="5"/>
      <c r="L56" s="5"/>
      <c r="N56" s="5"/>
      <c r="O56" s="5"/>
      <c r="R56" s="5"/>
      <c r="T56" s="8"/>
      <c r="U56" s="8"/>
      <c r="V56" s="8"/>
    </row>
    <row r="57" spans="1:22" x14ac:dyDescent="0.35">
      <c r="A57" s="6">
        <v>7</v>
      </c>
      <c r="B57" s="1">
        <v>43530</v>
      </c>
      <c r="C57" s="1" t="s">
        <v>52</v>
      </c>
      <c r="R57" s="5"/>
      <c r="T57" s="8"/>
      <c r="U57" s="8"/>
      <c r="V57" s="8"/>
    </row>
    <row r="58" spans="1:22" x14ac:dyDescent="0.35">
      <c r="A58" s="6">
        <v>7</v>
      </c>
      <c r="B58" s="1">
        <v>43540</v>
      </c>
      <c r="C58" s="1" t="s">
        <v>53</v>
      </c>
      <c r="G58" s="5"/>
      <c r="K58" s="5"/>
      <c r="M58" s="5"/>
      <c r="P58" s="5"/>
      <c r="Q58" s="5"/>
      <c r="R58" s="5"/>
      <c r="T58" s="8"/>
      <c r="U58" s="8"/>
      <c r="V58" s="8"/>
    </row>
    <row r="59" spans="1:22" x14ac:dyDescent="0.35">
      <c r="A59" s="6">
        <v>7</v>
      </c>
      <c r="B59" s="1">
        <v>43550</v>
      </c>
      <c r="C59" s="1" t="s">
        <v>54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T59" s="8"/>
      <c r="U59" s="8"/>
      <c r="V59" s="8"/>
    </row>
    <row r="60" spans="1:22" x14ac:dyDescent="0.35">
      <c r="A60" s="6">
        <v>7</v>
      </c>
      <c r="B60" s="1">
        <v>43355</v>
      </c>
      <c r="C60" s="1" t="s">
        <v>55</v>
      </c>
      <c r="T60" s="8"/>
      <c r="U60" s="8"/>
      <c r="V60" s="8"/>
    </row>
    <row r="61" spans="1:22" x14ac:dyDescent="0.35">
      <c r="A61" s="6">
        <v>7</v>
      </c>
      <c r="B61" s="1">
        <v>43560</v>
      </c>
      <c r="C61" s="1" t="s">
        <v>56</v>
      </c>
      <c r="R61" s="5"/>
      <c r="T61" s="8"/>
      <c r="U61" s="8"/>
      <c r="V61" s="8"/>
    </row>
    <row r="62" spans="1:22" x14ac:dyDescent="0.35">
      <c r="A62" s="6">
        <v>7</v>
      </c>
      <c r="B62" s="1">
        <v>43570</v>
      </c>
      <c r="C62" s="1" t="s">
        <v>57</v>
      </c>
      <c r="T62" s="8"/>
      <c r="U62" s="8"/>
      <c r="V62" s="8"/>
    </row>
    <row r="63" spans="1:22" x14ac:dyDescent="0.35">
      <c r="A63" s="6">
        <v>7</v>
      </c>
      <c r="B63" s="1">
        <v>43575</v>
      </c>
      <c r="C63" s="1" t="s">
        <v>58</v>
      </c>
      <c r="T63" s="8"/>
      <c r="U63" s="8"/>
      <c r="V63" s="8"/>
    </row>
    <row r="64" spans="1:22" x14ac:dyDescent="0.35">
      <c r="A64" s="6">
        <v>7</v>
      </c>
      <c r="B64" s="1">
        <v>43600</v>
      </c>
      <c r="C64" s="1" t="s">
        <v>59</v>
      </c>
      <c r="T64" s="8"/>
      <c r="U64" s="8"/>
      <c r="V64" s="8"/>
    </row>
    <row r="65" spans="1:22" x14ac:dyDescent="0.35">
      <c r="A65" s="6">
        <v>7</v>
      </c>
      <c r="B65" s="1">
        <v>43610</v>
      </c>
      <c r="C65" s="1" t="s">
        <v>60</v>
      </c>
      <c r="T65" s="8"/>
      <c r="U65" s="8"/>
      <c r="V65" s="8"/>
    </row>
    <row r="66" spans="1:22" x14ac:dyDescent="0.35">
      <c r="A66" s="6">
        <v>7</v>
      </c>
      <c r="B66" s="1">
        <v>44200</v>
      </c>
      <c r="C66" s="1" t="s">
        <v>61</v>
      </c>
      <c r="T66" s="8"/>
      <c r="U66" s="8"/>
      <c r="V66" s="8"/>
    </row>
    <row r="67" spans="1:22" x14ac:dyDescent="0.35">
      <c r="A67" s="6">
        <v>7</v>
      </c>
      <c r="B67" s="1">
        <v>44210</v>
      </c>
      <c r="C67" s="1" t="s">
        <v>62</v>
      </c>
      <c r="T67" s="8"/>
      <c r="U67" s="8"/>
      <c r="V67" s="8"/>
    </row>
    <row r="68" spans="1:22" x14ac:dyDescent="0.35">
      <c r="A68" s="6">
        <v>7</v>
      </c>
      <c r="B68" s="1">
        <v>44500</v>
      </c>
      <c r="C68" s="1" t="s">
        <v>63</v>
      </c>
      <c r="T68" s="8"/>
      <c r="U68" s="8"/>
      <c r="V68" s="8"/>
    </row>
    <row r="69" spans="1:22" x14ac:dyDescent="0.35">
      <c r="A69" s="6">
        <v>7</v>
      </c>
      <c r="B69" s="1">
        <v>44505</v>
      </c>
      <c r="C69" s="1" t="s">
        <v>64</v>
      </c>
      <c r="T69" s="8"/>
      <c r="U69" s="8"/>
      <c r="V69" s="8"/>
    </row>
    <row r="70" spans="1:22" x14ac:dyDescent="0.35">
      <c r="A70" s="6">
        <v>7</v>
      </c>
      <c r="B70" s="1">
        <v>44600</v>
      </c>
      <c r="C70" s="1" t="s">
        <v>65</v>
      </c>
      <c r="T70" s="8"/>
      <c r="U70" s="8"/>
      <c r="V70" s="8"/>
    </row>
    <row r="71" spans="1:22" x14ac:dyDescent="0.35">
      <c r="A71" s="6">
        <v>7</v>
      </c>
      <c r="B71" s="1">
        <v>44605</v>
      </c>
      <c r="C71" s="1" t="s">
        <v>66</v>
      </c>
      <c r="T71" s="8"/>
      <c r="U71" s="8"/>
      <c r="V71" s="8"/>
    </row>
    <row r="72" spans="1:22" x14ac:dyDescent="0.35">
      <c r="A72" s="6">
        <v>7</v>
      </c>
      <c r="B72" s="1">
        <v>44610</v>
      </c>
      <c r="C72" s="1" t="s">
        <v>67</v>
      </c>
      <c r="T72" s="8"/>
      <c r="U72" s="8"/>
      <c r="V72" s="8"/>
    </row>
    <row r="73" spans="1:22" x14ac:dyDescent="0.35">
      <c r="A73" s="6">
        <v>7</v>
      </c>
      <c r="B73" s="1">
        <v>44700</v>
      </c>
      <c r="C73" s="1" t="s">
        <v>68</v>
      </c>
      <c r="T73" s="8"/>
      <c r="U73" s="8"/>
      <c r="V73" s="8"/>
    </row>
    <row r="74" spans="1:22" x14ac:dyDescent="0.35">
      <c r="A74" s="6">
        <v>7</v>
      </c>
      <c r="B74" s="1">
        <v>44750</v>
      </c>
      <c r="C74" s="1" t="s">
        <v>69</v>
      </c>
      <c r="T74" s="8"/>
      <c r="U74" s="8"/>
      <c r="V74" s="8"/>
    </row>
    <row r="75" spans="1:22" x14ac:dyDescent="0.35">
      <c r="A75" s="6">
        <v>7</v>
      </c>
      <c r="B75" s="1">
        <v>44780</v>
      </c>
      <c r="C75" s="1" t="s">
        <v>70</v>
      </c>
      <c r="R75" s="5"/>
      <c r="T75" s="8"/>
      <c r="U75" s="8"/>
      <c r="V75" s="8"/>
    </row>
    <row r="76" spans="1:22" x14ac:dyDescent="0.35">
      <c r="A76" s="6">
        <v>7</v>
      </c>
      <c r="B76" s="1">
        <v>44785</v>
      </c>
      <c r="C76" s="1" t="s">
        <v>71</v>
      </c>
      <c r="T76" s="8"/>
      <c r="U76" s="8"/>
      <c r="V76" s="8"/>
    </row>
    <row r="77" spans="1:22" x14ac:dyDescent="0.35">
      <c r="A77" s="6">
        <v>7</v>
      </c>
      <c r="B77" s="1">
        <v>44790</v>
      </c>
      <c r="C77" s="1" t="s">
        <v>72</v>
      </c>
      <c r="T77" s="8"/>
      <c r="U77" s="8"/>
      <c r="V77" s="8"/>
    </row>
    <row r="78" spans="1:22" x14ac:dyDescent="0.35">
      <c r="A78" s="6">
        <v>7</v>
      </c>
      <c r="B78" s="1">
        <v>44900</v>
      </c>
      <c r="C78" s="1" t="s">
        <v>73</v>
      </c>
      <c r="R78" s="5"/>
      <c r="T78" s="8"/>
      <c r="U78" s="8"/>
      <c r="V78" s="8"/>
    </row>
    <row r="79" spans="1:22" x14ac:dyDescent="0.35">
      <c r="A79" s="6">
        <v>7</v>
      </c>
      <c r="B79" s="1">
        <v>44925</v>
      </c>
      <c r="C79" s="1" t="s">
        <v>74</v>
      </c>
      <c r="T79" s="8"/>
      <c r="U79" s="8"/>
      <c r="V79" s="8"/>
    </row>
    <row r="80" spans="1:22" x14ac:dyDescent="0.35">
      <c r="A80" s="6">
        <v>7</v>
      </c>
      <c r="B80" s="1">
        <v>44950</v>
      </c>
      <c r="C80" s="1" t="s">
        <v>75</v>
      </c>
      <c r="R80" s="5"/>
      <c r="T80" s="8"/>
      <c r="U80" s="8"/>
      <c r="V80" s="8"/>
    </row>
    <row r="81" spans="1:22" x14ac:dyDescent="0.35">
      <c r="A81" s="6">
        <v>7</v>
      </c>
      <c r="B81" s="1">
        <v>44952</v>
      </c>
      <c r="C81" s="1" t="s">
        <v>76</v>
      </c>
      <c r="T81" s="8"/>
      <c r="U81" s="8"/>
      <c r="V81" s="8"/>
    </row>
    <row r="82" spans="1:22" x14ac:dyDescent="0.35">
      <c r="A82" s="6">
        <v>7</v>
      </c>
      <c r="B82" s="1">
        <v>44960</v>
      </c>
      <c r="C82" s="1" t="s">
        <v>77</v>
      </c>
      <c r="T82" s="8"/>
      <c r="U82" s="8"/>
      <c r="V82" s="8"/>
    </row>
    <row r="83" spans="1:22" x14ac:dyDescent="0.35">
      <c r="A83" s="6">
        <v>7</v>
      </c>
      <c r="B83" s="1">
        <v>44965</v>
      </c>
      <c r="C83" s="1" t="s">
        <v>78</v>
      </c>
      <c r="T83" s="8"/>
      <c r="U83" s="8"/>
      <c r="V83" s="8"/>
    </row>
    <row r="84" spans="1:22" x14ac:dyDescent="0.35">
      <c r="A84" s="6">
        <v>7</v>
      </c>
      <c r="B84" s="1">
        <v>44970</v>
      </c>
      <c r="C84" s="1" t="s">
        <v>79</v>
      </c>
      <c r="T84" s="8"/>
      <c r="U84" s="8"/>
      <c r="V84" s="8"/>
    </row>
    <row r="85" spans="1:22" x14ac:dyDescent="0.35">
      <c r="A85" s="6">
        <v>7</v>
      </c>
      <c r="B85" s="1">
        <v>44973</v>
      </c>
      <c r="C85" s="1" t="s">
        <v>39</v>
      </c>
      <c r="R85" s="5"/>
      <c r="T85" s="8"/>
      <c r="U85" s="8"/>
      <c r="V85" s="8"/>
    </row>
    <row r="86" spans="1:22" x14ac:dyDescent="0.35">
      <c r="A86" s="6">
        <v>7</v>
      </c>
      <c r="B86" s="1">
        <v>44975</v>
      </c>
      <c r="C86" s="1" t="s">
        <v>80</v>
      </c>
      <c r="F86" s="5"/>
      <c r="G86" s="5"/>
      <c r="H86" s="5"/>
      <c r="M86" s="5"/>
      <c r="O86" s="5"/>
      <c r="P86" s="5"/>
      <c r="Q86" s="5"/>
      <c r="R86" s="5"/>
      <c r="T86" s="8"/>
      <c r="U86" s="8"/>
      <c r="V86" s="8"/>
    </row>
    <row r="87" spans="1:22" x14ac:dyDescent="0.35">
      <c r="A87" s="6">
        <v>7</v>
      </c>
      <c r="B87" s="1">
        <v>44976</v>
      </c>
      <c r="C87" s="1" t="s">
        <v>81</v>
      </c>
      <c r="T87" s="8"/>
      <c r="U87" s="8"/>
      <c r="V87" s="8"/>
    </row>
    <row r="88" spans="1:22" x14ac:dyDescent="0.35">
      <c r="A88" s="6">
        <v>7</v>
      </c>
      <c r="B88" s="1">
        <v>44980</v>
      </c>
      <c r="C88" s="1" t="s">
        <v>82</v>
      </c>
      <c r="T88" s="8"/>
      <c r="U88" s="8"/>
      <c r="V88" s="8"/>
    </row>
    <row r="89" spans="1:22" x14ac:dyDescent="0.35">
      <c r="A89" s="6">
        <v>7</v>
      </c>
      <c r="B89" s="1">
        <v>45000</v>
      </c>
      <c r="C89" s="1" t="s">
        <v>28</v>
      </c>
      <c r="G89" s="5"/>
      <c r="H89" s="5"/>
      <c r="N89" s="5"/>
      <c r="O89" s="5"/>
      <c r="R89" s="5"/>
      <c r="T89" s="8"/>
      <c r="U89" s="8"/>
      <c r="V89" s="8"/>
    </row>
    <row r="90" spans="1:22" x14ac:dyDescent="0.35">
      <c r="A90" s="6">
        <v>7</v>
      </c>
      <c r="B90" s="1">
        <v>46000</v>
      </c>
      <c r="C90" s="1" t="s">
        <v>83</v>
      </c>
      <c r="T90" s="8"/>
      <c r="U90" s="8"/>
      <c r="V90" s="8"/>
    </row>
    <row r="91" spans="1:22" x14ac:dyDescent="0.35">
      <c r="A91" s="6">
        <v>7</v>
      </c>
      <c r="B91" s="1">
        <v>49998</v>
      </c>
      <c r="C91" s="1" t="s">
        <v>84</v>
      </c>
      <c r="J91" s="5"/>
      <c r="K91" s="5"/>
      <c r="L91" s="5"/>
      <c r="P91" s="5"/>
      <c r="Q91" s="5"/>
      <c r="R91" s="5"/>
      <c r="T91" s="8"/>
      <c r="U91" s="8"/>
      <c r="V91" s="8"/>
    </row>
    <row r="92" spans="1:22" x14ac:dyDescent="0.35">
      <c r="B92" s="12" t="s">
        <v>86</v>
      </c>
      <c r="C92" s="12"/>
      <c r="D92" s="12"/>
      <c r="E92" s="12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T92" s="10"/>
      <c r="U92" s="10"/>
      <c r="V92" s="10"/>
    </row>
    <row r="93" spans="1:22" x14ac:dyDescent="0.35">
      <c r="T93" s="8"/>
      <c r="U93" s="8"/>
      <c r="V93" s="8"/>
    </row>
    <row r="94" spans="1:22" x14ac:dyDescent="0.35">
      <c r="B94" s="14" t="s">
        <v>87</v>
      </c>
      <c r="C94" s="14"/>
      <c r="D94" s="14"/>
      <c r="E94" s="14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T94" s="11"/>
      <c r="U94" s="11"/>
      <c r="V94" s="11"/>
    </row>
    <row r="95" spans="1:22" x14ac:dyDescent="0.35">
      <c r="T95" s="11"/>
      <c r="U95" s="11"/>
      <c r="V95" s="11"/>
    </row>
    <row r="96" spans="1:22" x14ac:dyDescent="0.35">
      <c r="B96" s="1" t="s">
        <v>88</v>
      </c>
      <c r="T96" s="8"/>
      <c r="U96" s="8"/>
      <c r="V96" s="8"/>
    </row>
    <row r="97" spans="2:22" x14ac:dyDescent="0.35">
      <c r="B97" s="1" t="s">
        <v>89</v>
      </c>
      <c r="T97" s="8"/>
      <c r="U97" s="8"/>
      <c r="V97" s="8"/>
    </row>
    <row r="98" spans="2:22" x14ac:dyDescent="0.35">
      <c r="B98" s="1">
        <v>60000</v>
      </c>
      <c r="C98" s="1" t="s">
        <v>90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T98" s="8"/>
      <c r="U98" s="8"/>
      <c r="V98" s="8"/>
    </row>
    <row r="99" spans="2:22" x14ac:dyDescent="0.35">
      <c r="B99" s="1">
        <v>60040</v>
      </c>
      <c r="C99" s="1" t="s">
        <v>91</v>
      </c>
      <c r="T99" s="8"/>
      <c r="U99" s="8"/>
      <c r="V99" s="8"/>
    </row>
    <row r="100" spans="2:22" x14ac:dyDescent="0.35">
      <c r="B100" s="1">
        <v>60050</v>
      </c>
      <c r="C100" s="1" t="s">
        <v>92</v>
      </c>
      <c r="T100" s="8"/>
      <c r="U100" s="8"/>
      <c r="V100" s="8"/>
    </row>
    <row r="101" spans="2:22" x14ac:dyDescent="0.35">
      <c r="B101" s="1">
        <v>60055</v>
      </c>
      <c r="C101" s="1" t="s">
        <v>93</v>
      </c>
      <c r="T101" s="8"/>
      <c r="U101" s="8"/>
      <c r="V101" s="8"/>
    </row>
    <row r="102" spans="2:22" x14ac:dyDescent="0.35">
      <c r="B102" s="1">
        <v>60100</v>
      </c>
      <c r="C102" s="1" t="s">
        <v>94</v>
      </c>
      <c r="T102" s="8"/>
      <c r="U102" s="8"/>
      <c r="V102" s="8"/>
    </row>
    <row r="103" spans="2:22" x14ac:dyDescent="0.35">
      <c r="B103" s="1">
        <v>60200</v>
      </c>
      <c r="C103" s="1" t="s">
        <v>95</v>
      </c>
      <c r="Q103" s="5"/>
      <c r="R103" s="5"/>
      <c r="T103" s="8"/>
      <c r="U103" s="8"/>
      <c r="V103" s="8"/>
    </row>
    <row r="104" spans="2:22" x14ac:dyDescent="0.35">
      <c r="B104" s="1">
        <v>60210</v>
      </c>
      <c r="C104" s="1" t="s">
        <v>96</v>
      </c>
      <c r="T104" s="8"/>
      <c r="U104" s="8"/>
      <c r="V104" s="8"/>
    </row>
    <row r="105" spans="2:22" x14ac:dyDescent="0.35">
      <c r="B105" s="1">
        <v>60250</v>
      </c>
      <c r="C105" s="1" t="s">
        <v>97</v>
      </c>
      <c r="F105" s="5"/>
      <c r="I105" s="5"/>
      <c r="L105" s="5"/>
      <c r="O105" s="5"/>
      <c r="R105" s="5"/>
      <c r="T105" s="8"/>
      <c r="U105" s="8"/>
      <c r="V105" s="8"/>
    </row>
    <row r="106" spans="2:22" x14ac:dyDescent="0.35">
      <c r="B106" s="1">
        <v>60300</v>
      </c>
      <c r="C106" s="1" t="s">
        <v>98</v>
      </c>
      <c r="T106" s="8"/>
      <c r="U106" s="8"/>
      <c r="V106" s="8"/>
    </row>
    <row r="107" spans="2:22" x14ac:dyDescent="0.35">
      <c r="B107" s="1">
        <v>60310</v>
      </c>
      <c r="C107" s="1" t="s">
        <v>99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T107" s="8"/>
      <c r="U107" s="8"/>
      <c r="V107" s="8"/>
    </row>
    <row r="108" spans="2:22" x14ac:dyDescent="0.35">
      <c r="B108" s="1">
        <v>60350</v>
      </c>
      <c r="C108" s="1" t="s">
        <v>100</v>
      </c>
      <c r="T108" s="8"/>
      <c r="U108" s="8"/>
      <c r="V108" s="8"/>
    </row>
    <row r="109" spans="2:22" x14ac:dyDescent="0.35">
      <c r="B109" s="1">
        <v>60355</v>
      </c>
      <c r="C109" s="1" t="s">
        <v>101</v>
      </c>
      <c r="R109" s="5"/>
      <c r="T109" s="8"/>
      <c r="U109" s="8"/>
      <c r="V109" s="8"/>
    </row>
    <row r="110" spans="2:22" x14ac:dyDescent="0.35">
      <c r="B110" s="1">
        <v>60400</v>
      </c>
      <c r="C110" s="1" t="s">
        <v>102</v>
      </c>
      <c r="R110" s="5"/>
      <c r="T110" s="8"/>
      <c r="U110" s="8"/>
      <c r="V110" s="8"/>
    </row>
    <row r="111" spans="2:22" x14ac:dyDescent="0.35">
      <c r="B111" s="1">
        <v>60533</v>
      </c>
      <c r="C111" s="1" t="s">
        <v>103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T111" s="8"/>
      <c r="U111" s="8"/>
      <c r="V111" s="8"/>
    </row>
    <row r="112" spans="2:22" x14ac:dyDescent="0.35">
      <c r="B112" s="1">
        <v>60537</v>
      </c>
      <c r="C112" s="1" t="s">
        <v>104</v>
      </c>
      <c r="T112" s="8"/>
      <c r="U112" s="8"/>
      <c r="V112" s="8"/>
    </row>
    <row r="113" spans="1:22" x14ac:dyDescent="0.35">
      <c r="B113" s="1">
        <v>60600</v>
      </c>
      <c r="C113" s="1" t="s">
        <v>105</v>
      </c>
      <c r="T113" s="8"/>
      <c r="U113" s="8"/>
      <c r="V113" s="8"/>
    </row>
    <row r="114" spans="1:22" x14ac:dyDescent="0.35">
      <c r="A114" s="21">
        <v>8</v>
      </c>
      <c r="B114" s="12" t="s">
        <v>106</v>
      </c>
      <c r="C114" s="12"/>
      <c r="D114" s="12"/>
      <c r="E114" s="12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T114" s="10"/>
      <c r="U114" s="10"/>
      <c r="V114" s="10"/>
    </row>
    <row r="115" spans="1:22" x14ac:dyDescent="0.35">
      <c r="T115" s="8"/>
      <c r="U115" s="8"/>
      <c r="V115" s="8"/>
    </row>
    <row r="116" spans="1:22" x14ac:dyDescent="0.35">
      <c r="A116" s="21"/>
      <c r="B116" s="1" t="s">
        <v>107</v>
      </c>
      <c r="T116" s="8"/>
      <c r="U116" s="8"/>
      <c r="V116" s="8"/>
    </row>
    <row r="117" spans="1:22" x14ac:dyDescent="0.35">
      <c r="A117" s="21"/>
      <c r="B117" s="1">
        <v>61000</v>
      </c>
      <c r="C117" s="1" t="s">
        <v>108</v>
      </c>
      <c r="F117" s="5"/>
      <c r="H117" s="5"/>
      <c r="M117" s="5"/>
      <c r="O117" s="5"/>
      <c r="R117" s="5"/>
      <c r="T117" s="8"/>
      <c r="U117" s="8"/>
      <c r="V117" s="8"/>
    </row>
    <row r="118" spans="1:22" x14ac:dyDescent="0.35">
      <c r="A118" s="21"/>
      <c r="B118" s="1">
        <v>61005</v>
      </c>
      <c r="C118" s="1" t="s">
        <v>109</v>
      </c>
      <c r="F118" s="5"/>
      <c r="I118" s="5"/>
      <c r="J118" s="5"/>
      <c r="L118" s="5"/>
      <c r="M118" s="5"/>
      <c r="P118" s="5"/>
      <c r="R118" s="5"/>
      <c r="T118" s="8"/>
      <c r="U118" s="8"/>
      <c r="V118" s="8"/>
    </row>
    <row r="119" spans="1:22" x14ac:dyDescent="0.35">
      <c r="A119" s="21"/>
      <c r="B119" s="1">
        <v>61010</v>
      </c>
      <c r="C119" s="1" t="s">
        <v>110</v>
      </c>
      <c r="R119" s="5"/>
      <c r="T119" s="8"/>
      <c r="U119" s="8"/>
      <c r="V119" s="8"/>
    </row>
    <row r="120" spans="1:22" x14ac:dyDescent="0.35">
      <c r="A120" s="21"/>
      <c r="B120" s="1">
        <v>61015</v>
      </c>
      <c r="C120" s="1" t="s">
        <v>111</v>
      </c>
      <c r="K120" s="5"/>
      <c r="R120" s="5"/>
      <c r="T120" s="8"/>
      <c r="U120" s="8"/>
      <c r="V120" s="8"/>
    </row>
    <row r="121" spans="1:22" x14ac:dyDescent="0.35">
      <c r="A121" s="21"/>
      <c r="B121" s="1">
        <v>61020</v>
      </c>
      <c r="C121" s="1" t="s">
        <v>112</v>
      </c>
      <c r="T121" s="8"/>
      <c r="U121" s="8"/>
      <c r="V121" s="8"/>
    </row>
    <row r="122" spans="1:22" x14ac:dyDescent="0.35">
      <c r="A122" s="21"/>
      <c r="B122" s="1">
        <v>61025</v>
      </c>
      <c r="C122" s="1" t="s">
        <v>113</v>
      </c>
      <c r="R122" s="5"/>
      <c r="T122" s="8"/>
      <c r="U122" s="8"/>
      <c r="V122" s="8"/>
    </row>
    <row r="123" spans="1:22" x14ac:dyDescent="0.35">
      <c r="A123" s="21"/>
      <c r="B123" s="1">
        <v>61026</v>
      </c>
      <c r="C123" s="1" t="s">
        <v>114</v>
      </c>
      <c r="N123" s="5"/>
      <c r="R123" s="5"/>
      <c r="T123" s="8"/>
      <c r="U123" s="8"/>
      <c r="V123" s="8"/>
    </row>
    <row r="124" spans="1:22" x14ac:dyDescent="0.35">
      <c r="B124" s="1">
        <v>61030</v>
      </c>
      <c r="C124" s="1" t="s">
        <v>115</v>
      </c>
      <c r="T124" s="8"/>
      <c r="U124" s="8"/>
      <c r="V124" s="8"/>
    </row>
    <row r="125" spans="1:22" x14ac:dyDescent="0.35">
      <c r="A125" s="21">
        <v>13</v>
      </c>
      <c r="B125" s="12" t="s">
        <v>116</v>
      </c>
      <c r="C125" s="12"/>
      <c r="D125" s="12"/>
      <c r="E125" s="12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6"/>
      <c r="R125" s="13"/>
      <c r="T125" s="10"/>
      <c r="U125" s="10"/>
      <c r="V125" s="10"/>
    </row>
    <row r="126" spans="1:22" x14ac:dyDescent="0.35">
      <c r="T126" s="8"/>
      <c r="U126" s="8"/>
      <c r="V126" s="8"/>
    </row>
    <row r="127" spans="1:22" x14ac:dyDescent="0.35">
      <c r="A127" s="21"/>
      <c r="B127" s="1" t="s">
        <v>117</v>
      </c>
      <c r="T127" s="8"/>
      <c r="U127" s="8"/>
      <c r="V127" s="8"/>
    </row>
    <row r="128" spans="1:22" x14ac:dyDescent="0.35">
      <c r="A128" s="21"/>
      <c r="B128" s="1">
        <v>62000</v>
      </c>
      <c r="C128" s="1" t="s">
        <v>118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Q128" s="5"/>
      <c r="R128" s="5"/>
      <c r="T128" s="8"/>
      <c r="U128" s="8"/>
      <c r="V128" s="8"/>
    </row>
    <row r="129" spans="1:22" x14ac:dyDescent="0.35">
      <c r="A129" s="21"/>
      <c r="B129" s="1">
        <v>62010</v>
      </c>
      <c r="C129" s="1" t="s">
        <v>119</v>
      </c>
      <c r="T129" s="8"/>
      <c r="U129" s="8"/>
      <c r="V129" s="8"/>
    </row>
    <row r="130" spans="1:22" x14ac:dyDescent="0.35">
      <c r="A130" s="21"/>
      <c r="B130" s="1">
        <v>62020</v>
      </c>
      <c r="C130" s="1" t="s">
        <v>120</v>
      </c>
      <c r="R130" s="5"/>
      <c r="T130" s="8"/>
      <c r="U130" s="8"/>
      <c r="V130" s="8"/>
    </row>
    <row r="131" spans="1:22" x14ac:dyDescent="0.35">
      <c r="A131" s="21"/>
      <c r="B131" s="1">
        <v>62100</v>
      </c>
      <c r="C131" s="1" t="s">
        <v>121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T131" s="8"/>
      <c r="U131" s="8"/>
      <c r="V131" s="8"/>
    </row>
    <row r="132" spans="1:22" x14ac:dyDescent="0.35">
      <c r="A132" s="21"/>
      <c r="B132" s="1">
        <v>62200</v>
      </c>
      <c r="C132" s="1" t="s">
        <v>122</v>
      </c>
      <c r="T132" s="8"/>
      <c r="U132" s="8"/>
      <c r="V132" s="8"/>
    </row>
    <row r="133" spans="1:22" x14ac:dyDescent="0.35">
      <c r="A133" s="21"/>
      <c r="B133" s="1">
        <v>62250</v>
      </c>
      <c r="C133" s="1" t="s">
        <v>123</v>
      </c>
      <c r="T133" s="8"/>
      <c r="U133" s="8"/>
      <c r="V133" s="8"/>
    </row>
    <row r="134" spans="1:22" x14ac:dyDescent="0.35">
      <c r="B134" s="1">
        <v>62300</v>
      </c>
      <c r="C134" s="1" t="s">
        <v>124</v>
      </c>
      <c r="R134" s="5"/>
      <c r="T134" s="8"/>
      <c r="U134" s="8"/>
      <c r="V134" s="8"/>
    </row>
    <row r="135" spans="1:22" x14ac:dyDescent="0.35">
      <c r="B135" s="1">
        <v>62400</v>
      </c>
      <c r="C135" s="1" t="s">
        <v>125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T135" s="8"/>
      <c r="U135" s="8"/>
      <c r="V135" s="8"/>
    </row>
    <row r="136" spans="1:22" x14ac:dyDescent="0.35">
      <c r="B136" s="1">
        <v>62405</v>
      </c>
      <c r="C136" s="1" t="s">
        <v>126</v>
      </c>
      <c r="T136" s="8"/>
      <c r="U136" s="8"/>
      <c r="V136" s="8"/>
    </row>
    <row r="137" spans="1:22" x14ac:dyDescent="0.35">
      <c r="B137" s="1">
        <v>62500</v>
      </c>
      <c r="C137" s="1" t="s">
        <v>127</v>
      </c>
      <c r="R137" s="5"/>
      <c r="T137" s="8"/>
      <c r="U137" s="8"/>
      <c r="V137" s="8"/>
    </row>
    <row r="138" spans="1:22" x14ac:dyDescent="0.35">
      <c r="B138" s="1">
        <v>62505</v>
      </c>
      <c r="C138" s="1" t="s">
        <v>128</v>
      </c>
      <c r="T138" s="8"/>
      <c r="U138" s="8"/>
      <c r="V138" s="8"/>
    </row>
    <row r="139" spans="1:22" x14ac:dyDescent="0.35">
      <c r="B139" s="1">
        <v>62510</v>
      </c>
      <c r="C139" s="1" t="s">
        <v>129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T139" s="8"/>
      <c r="U139" s="8"/>
      <c r="V139" s="8"/>
    </row>
    <row r="140" spans="1:22" x14ac:dyDescent="0.35">
      <c r="B140" s="1">
        <v>62520</v>
      </c>
      <c r="C140" s="1" t="s">
        <v>130</v>
      </c>
      <c r="T140" s="8"/>
      <c r="U140" s="8"/>
      <c r="V140" s="8"/>
    </row>
    <row r="141" spans="1:22" x14ac:dyDescent="0.35">
      <c r="B141" s="1">
        <v>62550</v>
      </c>
      <c r="C141" s="1" t="s">
        <v>131</v>
      </c>
      <c r="T141" s="8"/>
      <c r="U141" s="8"/>
      <c r="V141" s="8"/>
    </row>
    <row r="142" spans="1:22" x14ac:dyDescent="0.35">
      <c r="A142" s="21">
        <v>14</v>
      </c>
      <c r="B142" s="12" t="s">
        <v>132</v>
      </c>
      <c r="C142" s="12"/>
      <c r="D142" s="12"/>
      <c r="E142" s="12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T142" s="10"/>
      <c r="U142" s="10"/>
      <c r="V142" s="10"/>
    </row>
    <row r="143" spans="1:22" x14ac:dyDescent="0.35">
      <c r="T143" s="8"/>
      <c r="U143" s="8"/>
      <c r="V143" s="8"/>
    </row>
    <row r="144" spans="1:22" x14ac:dyDescent="0.35">
      <c r="A144" s="21"/>
      <c r="B144" s="1" t="s">
        <v>133</v>
      </c>
      <c r="T144" s="8"/>
      <c r="U144" s="8"/>
      <c r="V144" s="8"/>
    </row>
    <row r="145" spans="1:22" x14ac:dyDescent="0.35">
      <c r="A145" s="21"/>
      <c r="B145" s="1">
        <v>63000</v>
      </c>
      <c r="C145" s="1" t="s">
        <v>134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T145" s="8"/>
      <c r="U145" s="8"/>
      <c r="V145" s="8"/>
    </row>
    <row r="146" spans="1:22" x14ac:dyDescent="0.35">
      <c r="A146" s="21"/>
      <c r="B146" s="1">
        <v>63050</v>
      </c>
      <c r="C146" s="1" t="s">
        <v>135</v>
      </c>
      <c r="T146" s="8"/>
      <c r="U146" s="8"/>
      <c r="V146" s="8"/>
    </row>
    <row r="147" spans="1:22" x14ac:dyDescent="0.35">
      <c r="A147" s="21"/>
      <c r="B147" s="1">
        <v>63100</v>
      </c>
      <c r="C147" s="1" t="s">
        <v>136</v>
      </c>
      <c r="R147" s="5"/>
      <c r="T147" s="8"/>
      <c r="U147" s="8"/>
      <c r="V147" s="8"/>
    </row>
    <row r="148" spans="1:22" x14ac:dyDescent="0.35">
      <c r="B148" s="1">
        <v>63200</v>
      </c>
      <c r="C148" s="1" t="s">
        <v>137</v>
      </c>
      <c r="T148" s="8"/>
      <c r="U148" s="8"/>
      <c r="V148" s="8"/>
    </row>
    <row r="149" spans="1:22" x14ac:dyDescent="0.35">
      <c r="A149" s="21"/>
      <c r="B149" s="1">
        <v>63300</v>
      </c>
      <c r="C149" s="1" t="s">
        <v>138</v>
      </c>
      <c r="T149" s="8"/>
      <c r="U149" s="8"/>
      <c r="V149" s="8"/>
    </row>
    <row r="150" spans="1:22" x14ac:dyDescent="0.35">
      <c r="A150" s="21"/>
      <c r="B150" s="1">
        <v>63400</v>
      </c>
      <c r="C150" s="1" t="s">
        <v>139</v>
      </c>
      <c r="T150" s="8"/>
      <c r="U150" s="8"/>
      <c r="V150" s="8"/>
    </row>
    <row r="151" spans="1:22" x14ac:dyDescent="0.35">
      <c r="A151" s="21">
        <v>17</v>
      </c>
      <c r="B151" s="12" t="s">
        <v>140</v>
      </c>
      <c r="C151" s="12"/>
      <c r="D151" s="12"/>
      <c r="E151" s="12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T151" s="10"/>
      <c r="U151" s="10"/>
      <c r="V151" s="10"/>
    </row>
    <row r="152" spans="1:22" x14ac:dyDescent="0.35">
      <c r="T152" s="8"/>
      <c r="U152" s="8"/>
      <c r="V152" s="8"/>
    </row>
    <row r="153" spans="1:22" x14ac:dyDescent="0.35">
      <c r="A153" s="21"/>
      <c r="B153" s="1" t="s">
        <v>141</v>
      </c>
      <c r="T153" s="8"/>
      <c r="U153" s="8"/>
      <c r="V153" s="8"/>
    </row>
    <row r="154" spans="1:22" x14ac:dyDescent="0.35">
      <c r="A154" s="21"/>
      <c r="B154" s="1">
        <v>63500</v>
      </c>
      <c r="C154" s="1" t="s">
        <v>142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T154" s="8"/>
      <c r="U154" s="8"/>
      <c r="V154" s="8"/>
    </row>
    <row r="155" spans="1:22" x14ac:dyDescent="0.35">
      <c r="A155" s="21"/>
      <c r="B155" s="1">
        <v>63501</v>
      </c>
      <c r="C155" s="1" t="s">
        <v>143</v>
      </c>
      <c r="T155" s="8"/>
      <c r="U155" s="8"/>
      <c r="V155" s="8"/>
    </row>
    <row r="156" spans="1:22" x14ac:dyDescent="0.35">
      <c r="A156" s="21"/>
      <c r="B156" s="1">
        <v>63510</v>
      </c>
      <c r="C156" s="1" t="s">
        <v>144</v>
      </c>
      <c r="R156" s="5"/>
      <c r="T156" s="8"/>
      <c r="U156" s="8"/>
      <c r="V156" s="8"/>
    </row>
    <row r="157" spans="1:22" x14ac:dyDescent="0.35">
      <c r="B157" s="1">
        <v>63520</v>
      </c>
      <c r="C157" s="1" t="s">
        <v>145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T157" s="8"/>
      <c r="U157" s="8"/>
      <c r="V157" s="8"/>
    </row>
    <row r="158" spans="1:22" x14ac:dyDescent="0.35">
      <c r="A158" s="21"/>
      <c r="B158" s="1">
        <v>63525</v>
      </c>
      <c r="C158" s="1" t="s">
        <v>146</v>
      </c>
      <c r="T158" s="8"/>
      <c r="U158" s="8"/>
      <c r="V158" s="8"/>
    </row>
    <row r="159" spans="1:22" x14ac:dyDescent="0.35">
      <c r="A159" s="21"/>
      <c r="B159" s="1">
        <v>63530</v>
      </c>
      <c r="C159" s="1" t="s">
        <v>147</v>
      </c>
      <c r="R159" s="5"/>
      <c r="T159" s="8"/>
      <c r="U159" s="8"/>
      <c r="V159" s="8"/>
    </row>
    <row r="160" spans="1:22" x14ac:dyDescent="0.35">
      <c r="A160" s="21"/>
      <c r="B160" s="1">
        <v>63540</v>
      </c>
      <c r="C160" s="1" t="s">
        <v>148</v>
      </c>
      <c r="T160" s="8"/>
      <c r="U160" s="8"/>
      <c r="V160" s="8"/>
    </row>
    <row r="161" spans="1:22" x14ac:dyDescent="0.35">
      <c r="A161" s="21"/>
      <c r="B161" s="1">
        <v>63541</v>
      </c>
      <c r="C161" s="1" t="s">
        <v>149</v>
      </c>
      <c r="T161" s="8"/>
      <c r="U161" s="8"/>
      <c r="V161" s="8"/>
    </row>
    <row r="162" spans="1:22" x14ac:dyDescent="0.35">
      <c r="A162" s="21"/>
      <c r="B162" s="1">
        <v>63550</v>
      </c>
      <c r="C162" s="1" t="s">
        <v>150</v>
      </c>
      <c r="T162" s="8"/>
      <c r="U162" s="8"/>
      <c r="V162" s="8"/>
    </row>
    <row r="163" spans="1:22" x14ac:dyDescent="0.35">
      <c r="A163" s="21"/>
      <c r="B163" s="1">
        <v>63560</v>
      </c>
      <c r="C163" s="1" t="s">
        <v>151</v>
      </c>
      <c r="T163" s="8"/>
      <c r="U163" s="8"/>
      <c r="V163" s="8"/>
    </row>
    <row r="164" spans="1:22" x14ac:dyDescent="0.35">
      <c r="A164" s="21"/>
      <c r="B164" s="1">
        <v>63565</v>
      </c>
      <c r="C164" s="1" t="s">
        <v>152</v>
      </c>
      <c r="T164" s="8"/>
      <c r="U164" s="8"/>
      <c r="V164" s="8"/>
    </row>
    <row r="165" spans="1:22" x14ac:dyDescent="0.35">
      <c r="A165" s="21"/>
      <c r="B165" s="1">
        <v>63570</v>
      </c>
      <c r="C165" s="1" t="s">
        <v>153</v>
      </c>
      <c r="T165" s="8"/>
      <c r="U165" s="8"/>
      <c r="V165" s="8"/>
    </row>
    <row r="166" spans="1:22" x14ac:dyDescent="0.35">
      <c r="A166" s="21"/>
      <c r="B166" s="1">
        <v>63571</v>
      </c>
      <c r="C166" s="1" t="s">
        <v>154</v>
      </c>
      <c r="T166" s="8"/>
      <c r="U166" s="8"/>
      <c r="V166" s="8"/>
    </row>
    <row r="167" spans="1:22" x14ac:dyDescent="0.35">
      <c r="A167" s="21"/>
      <c r="B167" s="1">
        <v>63572</v>
      </c>
      <c r="C167" s="1" t="s">
        <v>155</v>
      </c>
      <c r="T167" s="8"/>
      <c r="U167" s="8"/>
      <c r="V167" s="8"/>
    </row>
    <row r="168" spans="1:22" x14ac:dyDescent="0.35">
      <c r="A168" s="21"/>
      <c r="B168" s="1">
        <v>63573</v>
      </c>
      <c r="C168" s="1" t="s">
        <v>156</v>
      </c>
      <c r="T168" s="8"/>
      <c r="U168" s="8"/>
      <c r="V168" s="8"/>
    </row>
    <row r="169" spans="1:22" x14ac:dyDescent="0.35">
      <c r="A169" s="21"/>
      <c r="B169" s="1">
        <v>63575</v>
      </c>
      <c r="C169" s="1" t="s">
        <v>157</v>
      </c>
      <c r="T169" s="8"/>
      <c r="U169" s="8"/>
      <c r="V169" s="8"/>
    </row>
    <row r="170" spans="1:22" x14ac:dyDescent="0.35">
      <c r="A170" s="21"/>
      <c r="B170" s="1">
        <v>63576</v>
      </c>
      <c r="C170" s="1" t="s">
        <v>158</v>
      </c>
      <c r="T170" s="8"/>
      <c r="U170" s="8"/>
      <c r="V170" s="8"/>
    </row>
    <row r="171" spans="1:22" x14ac:dyDescent="0.35">
      <c r="A171" s="21"/>
      <c r="B171" s="1">
        <v>63577</v>
      </c>
      <c r="C171" s="1" t="s">
        <v>159</v>
      </c>
      <c r="T171" s="8"/>
      <c r="U171" s="8"/>
      <c r="V171" s="8"/>
    </row>
    <row r="172" spans="1:22" x14ac:dyDescent="0.35">
      <c r="A172" s="21"/>
      <c r="B172" s="1">
        <v>63580</v>
      </c>
      <c r="C172" s="1" t="s">
        <v>160</v>
      </c>
      <c r="T172" s="8"/>
      <c r="U172" s="8"/>
      <c r="V172" s="8"/>
    </row>
    <row r="173" spans="1:22" x14ac:dyDescent="0.35">
      <c r="A173" s="21"/>
      <c r="B173" s="1">
        <v>63584</v>
      </c>
      <c r="C173" s="1" t="s">
        <v>161</v>
      </c>
      <c r="T173" s="8"/>
      <c r="U173" s="8"/>
      <c r="V173" s="8"/>
    </row>
    <row r="174" spans="1:22" x14ac:dyDescent="0.35">
      <c r="A174" s="21"/>
      <c r="B174" s="1">
        <v>63585</v>
      </c>
      <c r="C174" s="1" t="s">
        <v>162</v>
      </c>
      <c r="T174" s="8"/>
      <c r="U174" s="8"/>
      <c r="V174" s="8"/>
    </row>
    <row r="175" spans="1:22" x14ac:dyDescent="0.35">
      <c r="A175" s="21"/>
      <c r="B175" s="1">
        <v>63586</v>
      </c>
      <c r="C175" s="1" t="s">
        <v>163</v>
      </c>
      <c r="T175" s="8"/>
      <c r="U175" s="8"/>
      <c r="V175" s="8"/>
    </row>
    <row r="176" spans="1:22" x14ac:dyDescent="0.35">
      <c r="A176" s="21"/>
      <c r="B176" s="1">
        <v>63590</v>
      </c>
      <c r="C176" s="1" t="s">
        <v>164</v>
      </c>
      <c r="T176" s="8"/>
      <c r="U176" s="8"/>
      <c r="V176" s="8"/>
    </row>
    <row r="177" spans="1:22" x14ac:dyDescent="0.35">
      <c r="A177" s="21">
        <v>12</v>
      </c>
      <c r="B177" s="12" t="s">
        <v>165</v>
      </c>
      <c r="C177" s="12"/>
      <c r="D177" s="12"/>
      <c r="E177" s="12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T177" s="10"/>
      <c r="U177" s="10"/>
      <c r="V177" s="10"/>
    </row>
    <row r="178" spans="1:22" x14ac:dyDescent="0.35">
      <c r="T178" s="8"/>
      <c r="U178" s="8"/>
      <c r="V178" s="8"/>
    </row>
    <row r="179" spans="1:22" x14ac:dyDescent="0.35">
      <c r="A179" s="21"/>
      <c r="B179" s="1" t="s">
        <v>166</v>
      </c>
      <c r="T179" s="8"/>
      <c r="U179" s="8"/>
      <c r="V179" s="8"/>
    </row>
    <row r="180" spans="1:22" x14ac:dyDescent="0.35">
      <c r="A180" s="21"/>
      <c r="B180" s="1">
        <v>64000</v>
      </c>
      <c r="C180" s="1" t="s">
        <v>166</v>
      </c>
      <c r="T180" s="8"/>
      <c r="U180" s="8"/>
      <c r="V180" s="8"/>
    </row>
    <row r="181" spans="1:22" x14ac:dyDescent="0.35">
      <c r="A181" s="21"/>
      <c r="B181" s="1">
        <v>64200</v>
      </c>
      <c r="C181" s="1" t="s">
        <v>167</v>
      </c>
      <c r="T181" s="8"/>
      <c r="U181" s="8"/>
      <c r="V181" s="8"/>
    </row>
    <row r="182" spans="1:22" x14ac:dyDescent="0.35">
      <c r="A182" s="21"/>
      <c r="B182" s="1">
        <v>64300</v>
      </c>
      <c r="C182" s="1" t="s">
        <v>169</v>
      </c>
      <c r="T182" s="8"/>
      <c r="U182" s="8"/>
      <c r="V182" s="8"/>
    </row>
    <row r="183" spans="1:22" x14ac:dyDescent="0.35">
      <c r="A183" s="21"/>
      <c r="B183" s="1">
        <v>64310</v>
      </c>
      <c r="C183" s="1" t="s">
        <v>170</v>
      </c>
      <c r="T183" s="8"/>
      <c r="U183" s="8"/>
      <c r="V183" s="8"/>
    </row>
    <row r="184" spans="1:22" x14ac:dyDescent="0.35">
      <c r="A184" s="21"/>
      <c r="B184" s="1">
        <v>64320</v>
      </c>
      <c r="C184" s="1" t="s">
        <v>171</v>
      </c>
      <c r="T184" s="8"/>
      <c r="U184" s="8"/>
      <c r="V184" s="8"/>
    </row>
    <row r="185" spans="1:22" x14ac:dyDescent="0.35">
      <c r="A185" s="21"/>
      <c r="B185" s="1">
        <v>64330</v>
      </c>
      <c r="C185" s="1" t="s">
        <v>172</v>
      </c>
      <c r="T185" s="8"/>
      <c r="U185" s="8"/>
      <c r="V185" s="8"/>
    </row>
    <row r="186" spans="1:22" x14ac:dyDescent="0.35">
      <c r="A186" s="21"/>
      <c r="B186" s="1">
        <v>64350</v>
      </c>
      <c r="C186" s="1" t="s">
        <v>173</v>
      </c>
      <c r="R186" s="5"/>
      <c r="T186" s="8"/>
      <c r="U186" s="8"/>
      <c r="V186" s="8"/>
    </row>
    <row r="187" spans="1:22" x14ac:dyDescent="0.35">
      <c r="A187" s="21"/>
      <c r="B187" s="1">
        <v>64351</v>
      </c>
      <c r="C187" s="1" t="s">
        <v>174</v>
      </c>
      <c r="T187" s="8"/>
      <c r="U187" s="8"/>
      <c r="V187" s="8"/>
    </row>
    <row r="188" spans="1:22" x14ac:dyDescent="0.35">
      <c r="A188" s="21"/>
      <c r="B188" s="1">
        <v>64352</v>
      </c>
      <c r="C188" s="1" t="s">
        <v>175</v>
      </c>
      <c r="T188" s="8"/>
      <c r="U188" s="8"/>
      <c r="V188" s="8"/>
    </row>
    <row r="189" spans="1:22" x14ac:dyDescent="0.35">
      <c r="B189" s="1">
        <v>64355</v>
      </c>
      <c r="C189" s="1" t="s">
        <v>176</v>
      </c>
      <c r="R189" s="5"/>
      <c r="T189" s="8"/>
      <c r="U189" s="8"/>
      <c r="V189" s="8"/>
    </row>
    <row r="190" spans="1:22" x14ac:dyDescent="0.35">
      <c r="A190" s="21"/>
      <c r="B190" s="1">
        <v>64360</v>
      </c>
      <c r="C190" s="1" t="s">
        <v>177</v>
      </c>
      <c r="T190" s="8"/>
      <c r="U190" s="8"/>
      <c r="V190" s="8"/>
    </row>
    <row r="191" spans="1:22" x14ac:dyDescent="0.35">
      <c r="A191" s="21"/>
      <c r="B191" s="1">
        <v>64362</v>
      </c>
      <c r="C191" s="1" t="s">
        <v>178</v>
      </c>
      <c r="T191" s="8"/>
      <c r="U191" s="8"/>
      <c r="V191" s="8"/>
    </row>
    <row r="192" spans="1:22" x14ac:dyDescent="0.35">
      <c r="A192" s="21"/>
      <c r="B192" s="1">
        <v>64370</v>
      </c>
      <c r="C192" s="1" t="s">
        <v>179</v>
      </c>
      <c r="T192" s="8"/>
      <c r="U192" s="8"/>
      <c r="V192" s="8"/>
    </row>
    <row r="193" spans="1:22" x14ac:dyDescent="0.35">
      <c r="A193" s="21"/>
      <c r="B193" s="1">
        <v>64372</v>
      </c>
      <c r="C193" s="1" t="s">
        <v>180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T193" s="8"/>
      <c r="U193" s="8"/>
      <c r="V193" s="8"/>
    </row>
    <row r="194" spans="1:22" x14ac:dyDescent="0.35">
      <c r="A194" s="21"/>
      <c r="B194" s="1">
        <v>64373</v>
      </c>
      <c r="C194" s="1" t="s">
        <v>181</v>
      </c>
      <c r="T194" s="8"/>
      <c r="U194" s="8"/>
      <c r="V194" s="8"/>
    </row>
    <row r="195" spans="1:22" x14ac:dyDescent="0.35">
      <c r="A195" s="21"/>
      <c r="B195" s="1">
        <v>64374</v>
      </c>
      <c r="C195" s="1" t="s">
        <v>182</v>
      </c>
      <c r="T195" s="8"/>
      <c r="U195" s="8"/>
      <c r="V195" s="8"/>
    </row>
    <row r="196" spans="1:22" x14ac:dyDescent="0.35">
      <c r="A196" s="21"/>
      <c r="B196" s="1">
        <v>64375</v>
      </c>
      <c r="C196" s="1" t="s">
        <v>183</v>
      </c>
      <c r="R196" s="5"/>
      <c r="T196" s="8"/>
      <c r="U196" s="8"/>
      <c r="V196" s="8"/>
    </row>
    <row r="197" spans="1:22" x14ac:dyDescent="0.35">
      <c r="A197" s="21"/>
      <c r="B197" s="1">
        <v>64385</v>
      </c>
      <c r="C197" s="1" t="s">
        <v>184</v>
      </c>
      <c r="T197" s="8"/>
      <c r="U197" s="8"/>
      <c r="V197" s="8"/>
    </row>
    <row r="198" spans="1:22" x14ac:dyDescent="0.35">
      <c r="A198" s="21"/>
      <c r="B198" s="1">
        <v>64387</v>
      </c>
      <c r="C198" s="1" t="s">
        <v>185</v>
      </c>
      <c r="T198" s="8"/>
      <c r="U198" s="8"/>
      <c r="V198" s="8"/>
    </row>
    <row r="199" spans="1:22" x14ac:dyDescent="0.35">
      <c r="A199" s="21"/>
      <c r="B199" s="1">
        <v>64389</v>
      </c>
      <c r="C199" s="1" t="s">
        <v>186</v>
      </c>
      <c r="T199" s="8"/>
      <c r="U199" s="8"/>
      <c r="V199" s="8"/>
    </row>
    <row r="200" spans="1:22" x14ac:dyDescent="0.35">
      <c r="A200" s="21"/>
      <c r="B200" s="1">
        <v>64390</v>
      </c>
      <c r="C200" s="1" t="s">
        <v>187</v>
      </c>
      <c r="T200" s="8"/>
      <c r="U200" s="8"/>
      <c r="V200" s="8"/>
    </row>
    <row r="201" spans="1:22" x14ac:dyDescent="0.35">
      <c r="A201" s="21"/>
      <c r="B201" s="1">
        <v>64392</v>
      </c>
      <c r="C201" s="1" t="s">
        <v>188</v>
      </c>
      <c r="T201" s="8"/>
      <c r="U201" s="8"/>
      <c r="V201" s="8"/>
    </row>
    <row r="202" spans="1:22" x14ac:dyDescent="0.35">
      <c r="A202" s="21"/>
      <c r="B202" s="1">
        <v>64394</v>
      </c>
      <c r="C202" s="1" t="s">
        <v>189</v>
      </c>
      <c r="F202" s="5"/>
      <c r="R202" s="5"/>
      <c r="T202" s="8"/>
      <c r="U202" s="8"/>
      <c r="V202" s="8"/>
    </row>
    <row r="203" spans="1:22" x14ac:dyDescent="0.35">
      <c r="A203" s="21"/>
      <c r="B203" s="1">
        <v>64395</v>
      </c>
      <c r="C203" s="1" t="s">
        <v>190</v>
      </c>
      <c r="T203" s="8"/>
      <c r="U203" s="8"/>
      <c r="V203" s="8"/>
    </row>
    <row r="204" spans="1:22" x14ac:dyDescent="0.35">
      <c r="A204" s="21"/>
      <c r="B204" s="1">
        <v>64400</v>
      </c>
      <c r="C204" s="1" t="s">
        <v>191</v>
      </c>
      <c r="T204" s="8"/>
      <c r="U204" s="8"/>
      <c r="V204" s="8"/>
    </row>
    <row r="205" spans="1:22" x14ac:dyDescent="0.35">
      <c r="A205" s="21"/>
      <c r="B205" s="1">
        <v>64405</v>
      </c>
      <c r="C205" s="1" t="s">
        <v>192</v>
      </c>
      <c r="T205" s="8"/>
      <c r="U205" s="8"/>
      <c r="V205" s="8"/>
    </row>
    <row r="206" spans="1:22" x14ac:dyDescent="0.35">
      <c r="A206" s="21">
        <v>9</v>
      </c>
      <c r="B206" s="12" t="s">
        <v>194</v>
      </c>
      <c r="C206" s="12"/>
      <c r="D206" s="12"/>
      <c r="E206" s="12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T206" s="10"/>
      <c r="U206" s="10"/>
      <c r="V206" s="10"/>
    </row>
    <row r="207" spans="1:22" x14ac:dyDescent="0.35">
      <c r="A207" s="21"/>
      <c r="T207" s="8"/>
      <c r="U207" s="8"/>
      <c r="V207" s="8"/>
    </row>
    <row r="208" spans="1:22" x14ac:dyDescent="0.35">
      <c r="B208" s="1" t="s">
        <v>195</v>
      </c>
      <c r="T208" s="8"/>
      <c r="U208" s="8"/>
      <c r="V208" s="8"/>
    </row>
    <row r="209" spans="1:22" x14ac:dyDescent="0.35">
      <c r="B209" s="1">
        <v>64500</v>
      </c>
      <c r="C209" s="1" t="s">
        <v>196</v>
      </c>
      <c r="T209" s="8"/>
      <c r="U209" s="8"/>
      <c r="V209" s="8"/>
    </row>
    <row r="210" spans="1:22" x14ac:dyDescent="0.35">
      <c r="A210" s="21"/>
      <c r="B210" s="1">
        <v>64501</v>
      </c>
      <c r="C210" s="1" t="s">
        <v>197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T210" s="8"/>
      <c r="U210" s="8"/>
      <c r="V210" s="8"/>
    </row>
    <row r="211" spans="1:22" x14ac:dyDescent="0.35">
      <c r="A211" s="21"/>
      <c r="B211" s="1">
        <v>64502</v>
      </c>
      <c r="C211" s="1" t="s">
        <v>198</v>
      </c>
      <c r="T211" s="8"/>
      <c r="U211" s="8"/>
      <c r="V211" s="8"/>
    </row>
    <row r="212" spans="1:22" x14ac:dyDescent="0.35">
      <c r="A212" s="21"/>
      <c r="B212" s="1">
        <v>64503</v>
      </c>
      <c r="C212" s="1" t="s">
        <v>199</v>
      </c>
      <c r="T212" s="8"/>
      <c r="U212" s="8"/>
      <c r="V212" s="8"/>
    </row>
    <row r="213" spans="1:22" x14ac:dyDescent="0.35">
      <c r="A213" s="21"/>
      <c r="B213" s="1">
        <v>64505</v>
      </c>
      <c r="C213" s="1" t="s">
        <v>200</v>
      </c>
      <c r="T213" s="8"/>
      <c r="U213" s="8"/>
      <c r="V213" s="8"/>
    </row>
    <row r="214" spans="1:22" x14ac:dyDescent="0.35">
      <c r="B214" s="1">
        <v>64530</v>
      </c>
      <c r="C214" s="1" t="s">
        <v>201</v>
      </c>
      <c r="T214" s="8"/>
      <c r="U214" s="8"/>
      <c r="V214" s="8"/>
    </row>
    <row r="215" spans="1:22" x14ac:dyDescent="0.35">
      <c r="B215" s="1">
        <v>64531</v>
      </c>
      <c r="C215" s="1" t="s">
        <v>202</v>
      </c>
      <c r="T215" s="8"/>
      <c r="U215" s="8"/>
      <c r="V215" s="8"/>
    </row>
    <row r="216" spans="1:22" x14ac:dyDescent="0.35">
      <c r="B216" s="1">
        <v>64535</v>
      </c>
      <c r="C216" s="1" t="s">
        <v>203</v>
      </c>
      <c r="T216" s="8"/>
      <c r="U216" s="8"/>
      <c r="V216" s="8"/>
    </row>
    <row r="217" spans="1:22" x14ac:dyDescent="0.35">
      <c r="B217" s="1">
        <v>64540</v>
      </c>
      <c r="C217" s="1" t="s">
        <v>204</v>
      </c>
      <c r="T217" s="8"/>
      <c r="U217" s="8"/>
      <c r="V217" s="8"/>
    </row>
    <row r="218" spans="1:22" x14ac:dyDescent="0.35">
      <c r="B218" s="1">
        <v>64541</v>
      </c>
      <c r="C218" s="1" t="s">
        <v>205</v>
      </c>
      <c r="T218" s="8"/>
      <c r="U218" s="8"/>
      <c r="V218" s="8"/>
    </row>
    <row r="219" spans="1:22" x14ac:dyDescent="0.35">
      <c r="B219" s="1">
        <v>64545</v>
      </c>
      <c r="C219" s="1" t="s">
        <v>206</v>
      </c>
      <c r="T219" s="8"/>
      <c r="U219" s="8"/>
      <c r="V219" s="8"/>
    </row>
    <row r="220" spans="1:22" x14ac:dyDescent="0.35">
      <c r="B220" s="1">
        <v>64560</v>
      </c>
      <c r="C220" s="1" t="s">
        <v>207</v>
      </c>
      <c r="T220" s="8"/>
      <c r="U220" s="8"/>
      <c r="V220" s="8"/>
    </row>
    <row r="221" spans="1:22" x14ac:dyDescent="0.35">
      <c r="B221" s="1">
        <v>64570</v>
      </c>
      <c r="C221" s="1" t="s">
        <v>208</v>
      </c>
      <c r="T221" s="8"/>
      <c r="U221" s="8"/>
      <c r="V221" s="8"/>
    </row>
    <row r="222" spans="1:22" x14ac:dyDescent="0.35">
      <c r="B222" s="1">
        <v>64580</v>
      </c>
      <c r="C222" s="1" t="s">
        <v>209</v>
      </c>
      <c r="T222" s="8"/>
      <c r="U222" s="8"/>
      <c r="V222" s="8"/>
    </row>
    <row r="223" spans="1:22" x14ac:dyDescent="0.35">
      <c r="B223" s="1">
        <v>64581</v>
      </c>
      <c r="C223" s="1" t="s">
        <v>210</v>
      </c>
      <c r="T223" s="8"/>
      <c r="U223" s="8"/>
      <c r="V223" s="8"/>
    </row>
    <row r="224" spans="1:22" x14ac:dyDescent="0.35">
      <c r="B224" s="1">
        <v>64585</v>
      </c>
      <c r="C224" s="1" t="s">
        <v>211</v>
      </c>
      <c r="T224" s="8"/>
      <c r="U224" s="8"/>
      <c r="V224" s="8"/>
    </row>
    <row r="225" spans="1:22" x14ac:dyDescent="0.35">
      <c r="B225" s="1">
        <v>64586</v>
      </c>
      <c r="C225" s="1" t="s">
        <v>212</v>
      </c>
      <c r="T225" s="8"/>
      <c r="U225" s="8"/>
      <c r="V225" s="8"/>
    </row>
    <row r="226" spans="1:22" x14ac:dyDescent="0.35">
      <c r="B226" s="1">
        <v>64590</v>
      </c>
      <c r="C226" s="1" t="s">
        <v>213</v>
      </c>
      <c r="T226" s="8"/>
      <c r="U226" s="8"/>
      <c r="V226" s="8"/>
    </row>
    <row r="227" spans="1:22" x14ac:dyDescent="0.35">
      <c r="B227" s="1">
        <v>64595</v>
      </c>
      <c r="C227" s="1" t="s">
        <v>214</v>
      </c>
      <c r="T227" s="8"/>
      <c r="U227" s="8"/>
      <c r="V227" s="8"/>
    </row>
    <row r="228" spans="1:22" x14ac:dyDescent="0.35">
      <c r="A228" s="21"/>
      <c r="B228" s="1">
        <v>64596</v>
      </c>
      <c r="C228" s="1" t="s">
        <v>215</v>
      </c>
      <c r="T228" s="8"/>
      <c r="U228" s="8"/>
      <c r="V228" s="8"/>
    </row>
    <row r="229" spans="1:22" x14ac:dyDescent="0.35">
      <c r="A229" s="21">
        <v>10</v>
      </c>
      <c r="B229" s="12" t="s">
        <v>216</v>
      </c>
      <c r="C229" s="12"/>
      <c r="D229" s="12"/>
      <c r="E229" s="12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T229" s="10"/>
      <c r="U229" s="10"/>
      <c r="V229" s="10"/>
    </row>
    <row r="230" spans="1:22" x14ac:dyDescent="0.35">
      <c r="A230" s="21"/>
      <c r="T230" s="8"/>
      <c r="U230" s="8"/>
      <c r="V230" s="8"/>
    </row>
    <row r="231" spans="1:22" x14ac:dyDescent="0.35">
      <c r="B231" s="1" t="s">
        <v>217</v>
      </c>
      <c r="T231" s="8"/>
      <c r="U231" s="8"/>
      <c r="V231" s="8"/>
    </row>
    <row r="232" spans="1:22" x14ac:dyDescent="0.35">
      <c r="B232" s="1">
        <v>65000</v>
      </c>
      <c r="C232" s="1" t="s">
        <v>218</v>
      </c>
      <c r="T232" s="8"/>
      <c r="U232" s="8"/>
      <c r="V232" s="8"/>
    </row>
    <row r="233" spans="1:22" x14ac:dyDescent="0.35">
      <c r="A233" s="21"/>
      <c r="B233" s="1">
        <v>65003</v>
      </c>
      <c r="C233" s="1" t="s">
        <v>219</v>
      </c>
      <c r="R233" s="5"/>
      <c r="T233" s="8"/>
      <c r="U233" s="8"/>
      <c r="V233" s="8"/>
    </row>
    <row r="234" spans="1:22" x14ac:dyDescent="0.35">
      <c r="A234" s="21"/>
      <c r="B234" s="1">
        <v>65007</v>
      </c>
      <c r="C234" s="1" t="s">
        <v>220</v>
      </c>
      <c r="H234" s="5"/>
      <c r="K234" s="5"/>
      <c r="L234" s="5"/>
      <c r="R234" s="5"/>
      <c r="T234" s="8"/>
      <c r="U234" s="8"/>
      <c r="V234" s="8"/>
    </row>
    <row r="235" spans="1:22" x14ac:dyDescent="0.35">
      <c r="B235" s="1">
        <v>65008</v>
      </c>
      <c r="C235" s="1" t="s">
        <v>221</v>
      </c>
      <c r="R235" s="5"/>
      <c r="T235" s="8"/>
      <c r="U235" s="8"/>
      <c r="V235" s="8"/>
    </row>
    <row r="236" spans="1:22" x14ac:dyDescent="0.35">
      <c r="B236" s="1">
        <v>65009</v>
      </c>
      <c r="C236" s="1" t="s">
        <v>222</v>
      </c>
      <c r="R236" s="5"/>
      <c r="T236" s="8"/>
      <c r="U236" s="8"/>
      <c r="V236" s="8"/>
    </row>
    <row r="237" spans="1:22" x14ac:dyDescent="0.35">
      <c r="B237" s="1">
        <v>65011</v>
      </c>
      <c r="C237" s="1" t="s">
        <v>223</v>
      </c>
      <c r="T237" s="8"/>
      <c r="U237" s="8"/>
      <c r="V237" s="8"/>
    </row>
    <row r="238" spans="1:22" x14ac:dyDescent="0.35">
      <c r="B238" s="1">
        <v>65013</v>
      </c>
      <c r="C238" s="1" t="s">
        <v>224</v>
      </c>
      <c r="T238" s="8"/>
      <c r="U238" s="8"/>
      <c r="V238" s="8"/>
    </row>
    <row r="239" spans="1:22" x14ac:dyDescent="0.35">
      <c r="B239" s="1">
        <v>65015</v>
      </c>
      <c r="C239" s="1" t="s">
        <v>225</v>
      </c>
      <c r="T239" s="8"/>
      <c r="U239" s="8"/>
      <c r="V239" s="8"/>
    </row>
    <row r="240" spans="1:22" x14ac:dyDescent="0.35">
      <c r="B240" s="1">
        <v>65017</v>
      </c>
      <c r="C240" s="1" t="s">
        <v>226</v>
      </c>
      <c r="T240" s="8"/>
      <c r="U240" s="8"/>
      <c r="V240" s="8"/>
    </row>
    <row r="241" spans="2:22" x14ac:dyDescent="0.35">
      <c r="B241" s="1">
        <v>65019</v>
      </c>
      <c r="C241" s="1" t="s">
        <v>227</v>
      </c>
      <c r="T241" s="8"/>
      <c r="U241" s="8"/>
      <c r="V241" s="8"/>
    </row>
    <row r="242" spans="2:22" x14ac:dyDescent="0.35">
      <c r="B242" s="1">
        <v>65021</v>
      </c>
      <c r="C242" s="1" t="s">
        <v>228</v>
      </c>
      <c r="T242" s="8"/>
      <c r="U242" s="8"/>
      <c r="V242" s="8"/>
    </row>
    <row r="243" spans="2:22" x14ac:dyDescent="0.35">
      <c r="B243" s="1">
        <v>65023</v>
      </c>
      <c r="C243" s="1" t="s">
        <v>229</v>
      </c>
      <c r="T243" s="8"/>
      <c r="U243" s="8"/>
      <c r="V243" s="8"/>
    </row>
    <row r="244" spans="2:22" x14ac:dyDescent="0.35">
      <c r="B244" s="1">
        <v>65025</v>
      </c>
      <c r="C244" s="1" t="s">
        <v>230</v>
      </c>
      <c r="T244" s="8"/>
      <c r="U244" s="8"/>
      <c r="V244" s="8"/>
    </row>
    <row r="245" spans="2:22" x14ac:dyDescent="0.35">
      <c r="B245" s="1">
        <v>65030</v>
      </c>
      <c r="C245" s="1" t="s">
        <v>231</v>
      </c>
      <c r="T245" s="8"/>
      <c r="U245" s="8"/>
      <c r="V245" s="8"/>
    </row>
    <row r="246" spans="2:22" x14ac:dyDescent="0.35">
      <c r="B246" s="1">
        <v>65033</v>
      </c>
      <c r="C246" s="1" t="s">
        <v>232</v>
      </c>
      <c r="T246" s="8"/>
      <c r="U246" s="8"/>
      <c r="V246" s="8"/>
    </row>
    <row r="247" spans="2:22" x14ac:dyDescent="0.35">
      <c r="B247" s="1">
        <v>65035</v>
      </c>
      <c r="C247" s="1" t="s">
        <v>233</v>
      </c>
      <c r="T247" s="8"/>
      <c r="U247" s="8"/>
      <c r="V247" s="8"/>
    </row>
    <row r="248" spans="2:22" x14ac:dyDescent="0.35">
      <c r="B248" s="1">
        <v>65040</v>
      </c>
      <c r="C248" s="1" t="s">
        <v>234</v>
      </c>
      <c r="R248" s="5"/>
      <c r="T248" s="8"/>
      <c r="U248" s="8"/>
      <c r="V248" s="8"/>
    </row>
    <row r="249" spans="2:22" x14ac:dyDescent="0.35">
      <c r="B249" s="1">
        <v>65043</v>
      </c>
      <c r="C249" s="1" t="s">
        <v>235</v>
      </c>
      <c r="R249" s="5"/>
      <c r="T249" s="8"/>
      <c r="U249" s="8"/>
      <c r="V249" s="8"/>
    </row>
    <row r="250" spans="2:22" x14ac:dyDescent="0.35">
      <c r="B250" s="1">
        <v>65044</v>
      </c>
      <c r="C250" s="1" t="s">
        <v>236</v>
      </c>
      <c r="J250" s="5"/>
      <c r="K250" s="5"/>
      <c r="O250" s="5"/>
      <c r="R250" s="5"/>
      <c r="T250" s="8"/>
      <c r="U250" s="8"/>
      <c r="V250" s="8"/>
    </row>
    <row r="251" spans="2:22" x14ac:dyDescent="0.35">
      <c r="B251" s="1">
        <v>65045</v>
      </c>
      <c r="C251" s="1" t="s">
        <v>237</v>
      </c>
      <c r="T251" s="8"/>
      <c r="U251" s="8"/>
      <c r="V251" s="8"/>
    </row>
    <row r="252" spans="2:22" x14ac:dyDescent="0.35">
      <c r="B252" s="1">
        <v>65050</v>
      </c>
      <c r="C252" s="1" t="s">
        <v>238</v>
      </c>
      <c r="R252" s="5"/>
      <c r="T252" s="8"/>
      <c r="U252" s="8"/>
      <c r="V252" s="8"/>
    </row>
    <row r="253" spans="2:22" x14ac:dyDescent="0.35">
      <c r="B253" s="1">
        <v>65053</v>
      </c>
      <c r="C253" s="1" t="s">
        <v>239</v>
      </c>
      <c r="R253" s="5"/>
      <c r="T253" s="8"/>
      <c r="U253" s="8"/>
      <c r="V253" s="8"/>
    </row>
    <row r="254" spans="2:22" x14ac:dyDescent="0.35">
      <c r="B254" s="1">
        <v>65075</v>
      </c>
      <c r="C254" s="1" t="s">
        <v>240</v>
      </c>
      <c r="T254" s="8"/>
      <c r="U254" s="8"/>
      <c r="V254" s="8"/>
    </row>
    <row r="255" spans="2:22" x14ac:dyDescent="0.35">
      <c r="B255" s="1">
        <v>65203</v>
      </c>
      <c r="C255" s="1" t="s">
        <v>241</v>
      </c>
      <c r="T255" s="8"/>
      <c r="U255" s="8"/>
      <c r="V255" s="8"/>
    </row>
    <row r="256" spans="2:22" x14ac:dyDescent="0.35">
      <c r="B256" s="1">
        <v>65207</v>
      </c>
      <c r="C256" s="1" t="s">
        <v>242</v>
      </c>
      <c r="R256" s="5"/>
      <c r="T256" s="8"/>
      <c r="U256" s="8"/>
      <c r="V256" s="8"/>
    </row>
    <row r="257" spans="2:22" x14ac:dyDescent="0.35">
      <c r="B257" s="1">
        <v>65208</v>
      </c>
      <c r="C257" s="1" t="s">
        <v>243</v>
      </c>
      <c r="T257" s="8"/>
      <c r="U257" s="8"/>
      <c r="V257" s="8"/>
    </row>
    <row r="258" spans="2:22" x14ac:dyDescent="0.35">
      <c r="B258" s="1">
        <v>65209</v>
      </c>
      <c r="C258" s="1" t="s">
        <v>244</v>
      </c>
      <c r="T258" s="8"/>
      <c r="U258" s="8"/>
      <c r="V258" s="8"/>
    </row>
    <row r="259" spans="2:22" x14ac:dyDescent="0.35">
      <c r="B259" s="1">
        <v>65211</v>
      </c>
      <c r="C259" s="1" t="s">
        <v>245</v>
      </c>
      <c r="T259" s="8"/>
      <c r="U259" s="8"/>
      <c r="V259" s="8"/>
    </row>
    <row r="260" spans="2:22" x14ac:dyDescent="0.35">
      <c r="B260" s="1">
        <v>65213</v>
      </c>
      <c r="C260" s="1" t="s">
        <v>246</v>
      </c>
      <c r="T260" s="8"/>
      <c r="U260" s="8"/>
      <c r="V260" s="8"/>
    </row>
    <row r="261" spans="2:22" x14ac:dyDescent="0.35">
      <c r="B261" s="1">
        <v>65215</v>
      </c>
      <c r="C261" s="1" t="s">
        <v>247</v>
      </c>
      <c r="T261" s="8"/>
      <c r="U261" s="8"/>
      <c r="V261" s="8"/>
    </row>
    <row r="262" spans="2:22" x14ac:dyDescent="0.35">
      <c r="B262" s="1">
        <v>65217</v>
      </c>
      <c r="C262" s="1" t="s">
        <v>248</v>
      </c>
      <c r="I262" s="5"/>
      <c r="M262" s="5"/>
      <c r="P262" s="5"/>
      <c r="Q262" s="5"/>
      <c r="R262" s="5"/>
      <c r="T262" s="8"/>
      <c r="U262" s="8"/>
      <c r="V262" s="8"/>
    </row>
    <row r="263" spans="2:22" x14ac:dyDescent="0.35">
      <c r="B263" s="1">
        <v>65219</v>
      </c>
      <c r="C263" s="1" t="s">
        <v>249</v>
      </c>
      <c r="T263" s="8"/>
      <c r="U263" s="8"/>
      <c r="V263" s="8"/>
    </row>
    <row r="264" spans="2:22" x14ac:dyDescent="0.35">
      <c r="B264" s="1">
        <v>65221</v>
      </c>
      <c r="C264" s="1" t="s">
        <v>250</v>
      </c>
      <c r="T264" s="8"/>
      <c r="U264" s="8"/>
      <c r="V264" s="8"/>
    </row>
    <row r="265" spans="2:22" x14ac:dyDescent="0.35">
      <c r="B265" s="1">
        <v>65223</v>
      </c>
      <c r="C265" s="1" t="s">
        <v>251</v>
      </c>
      <c r="T265" s="8"/>
      <c r="U265" s="8"/>
      <c r="V265" s="8"/>
    </row>
    <row r="266" spans="2:22" x14ac:dyDescent="0.35">
      <c r="B266" s="1">
        <v>65230</v>
      </c>
      <c r="C266" s="1" t="s">
        <v>252</v>
      </c>
      <c r="T266" s="8"/>
      <c r="U266" s="8"/>
      <c r="V266" s="8"/>
    </row>
    <row r="267" spans="2:22" x14ac:dyDescent="0.35">
      <c r="B267" s="1">
        <v>65233</v>
      </c>
      <c r="C267" s="1" t="s">
        <v>253</v>
      </c>
      <c r="T267" s="8"/>
      <c r="U267" s="8"/>
      <c r="V267" s="8"/>
    </row>
    <row r="268" spans="2:22" x14ac:dyDescent="0.35">
      <c r="B268" s="1">
        <v>65236</v>
      </c>
      <c r="C268" s="1" t="s">
        <v>254</v>
      </c>
      <c r="F268" s="5"/>
      <c r="M268" s="5"/>
      <c r="R268" s="5"/>
      <c r="T268" s="8"/>
      <c r="U268" s="8"/>
      <c r="V268" s="8"/>
    </row>
    <row r="269" spans="2:22" x14ac:dyDescent="0.35">
      <c r="B269" s="1">
        <v>65240</v>
      </c>
      <c r="C269" s="1" t="s">
        <v>255</v>
      </c>
      <c r="T269" s="8"/>
      <c r="U269" s="8"/>
      <c r="V269" s="8"/>
    </row>
    <row r="270" spans="2:22" x14ac:dyDescent="0.35">
      <c r="B270" s="1">
        <v>65243</v>
      </c>
      <c r="C270" s="1" t="s">
        <v>256</v>
      </c>
      <c r="T270" s="8"/>
      <c r="U270" s="8"/>
      <c r="V270" s="8"/>
    </row>
    <row r="271" spans="2:22" x14ac:dyDescent="0.35">
      <c r="B271" s="1">
        <v>65250</v>
      </c>
      <c r="C271" s="1" t="s">
        <v>257</v>
      </c>
      <c r="T271" s="8"/>
      <c r="U271" s="8"/>
      <c r="V271" s="8"/>
    </row>
    <row r="272" spans="2:22" x14ac:dyDescent="0.35">
      <c r="B272" s="1">
        <v>65300</v>
      </c>
      <c r="C272" s="1" t="s">
        <v>258</v>
      </c>
      <c r="T272" s="8"/>
      <c r="U272" s="8"/>
      <c r="V272" s="8"/>
    </row>
    <row r="273" spans="1:22" x14ac:dyDescent="0.35">
      <c r="B273" s="1">
        <v>65305</v>
      </c>
      <c r="C273" s="1" t="s">
        <v>259</v>
      </c>
      <c r="J273" s="5"/>
      <c r="K273" s="5"/>
      <c r="R273" s="5"/>
      <c r="T273" s="8"/>
      <c r="U273" s="8"/>
      <c r="V273" s="8"/>
    </row>
    <row r="274" spans="1:22" x14ac:dyDescent="0.35">
      <c r="B274" s="1">
        <v>65310</v>
      </c>
      <c r="C274" s="1" t="s">
        <v>260</v>
      </c>
      <c r="T274" s="8"/>
      <c r="U274" s="8"/>
      <c r="V274" s="8"/>
    </row>
    <row r="275" spans="1:22" x14ac:dyDescent="0.35">
      <c r="B275" s="1">
        <v>65315</v>
      </c>
      <c r="C275" s="1" t="s">
        <v>261</v>
      </c>
      <c r="T275" s="8"/>
      <c r="U275" s="8"/>
      <c r="V275" s="8"/>
    </row>
    <row r="276" spans="1:22" x14ac:dyDescent="0.35">
      <c r="B276" s="1">
        <v>65320</v>
      </c>
      <c r="C276" s="1" t="s">
        <v>262</v>
      </c>
      <c r="T276" s="8"/>
      <c r="U276" s="8"/>
      <c r="V276" s="8"/>
    </row>
    <row r="277" spans="1:22" x14ac:dyDescent="0.35">
      <c r="B277" s="1">
        <v>65330</v>
      </c>
      <c r="C277" s="1" t="s">
        <v>263</v>
      </c>
      <c r="T277" s="8"/>
      <c r="U277" s="8"/>
      <c r="V277" s="8"/>
    </row>
    <row r="278" spans="1:22" x14ac:dyDescent="0.35">
      <c r="B278" s="1">
        <v>65340</v>
      </c>
      <c r="C278" s="1" t="s">
        <v>264</v>
      </c>
      <c r="T278" s="8"/>
      <c r="U278" s="8"/>
      <c r="V278" s="8"/>
    </row>
    <row r="279" spans="1:22" x14ac:dyDescent="0.35">
      <c r="B279" s="1">
        <v>65341</v>
      </c>
      <c r="C279" s="1" t="s">
        <v>265</v>
      </c>
      <c r="R279" s="5"/>
      <c r="T279" s="8"/>
      <c r="U279" s="8"/>
      <c r="V279" s="8"/>
    </row>
    <row r="280" spans="1:22" x14ac:dyDescent="0.35">
      <c r="B280" s="1">
        <v>65345</v>
      </c>
      <c r="C280" s="1" t="s">
        <v>266</v>
      </c>
      <c r="T280" s="8"/>
      <c r="U280" s="8"/>
      <c r="V280" s="8"/>
    </row>
    <row r="281" spans="1:22" x14ac:dyDescent="0.35">
      <c r="B281" s="1">
        <v>65350</v>
      </c>
      <c r="C281" s="1" t="s">
        <v>267</v>
      </c>
      <c r="T281" s="8"/>
      <c r="U281" s="8"/>
      <c r="V281" s="8"/>
    </row>
    <row r="282" spans="1:22" x14ac:dyDescent="0.35">
      <c r="B282" s="1">
        <v>65360</v>
      </c>
      <c r="C282" s="1" t="s">
        <v>268</v>
      </c>
      <c r="N282" s="5"/>
      <c r="R282" s="5"/>
      <c r="T282" s="8"/>
      <c r="U282" s="8"/>
      <c r="V282" s="8"/>
    </row>
    <row r="283" spans="1:22" x14ac:dyDescent="0.35">
      <c r="B283" s="1">
        <v>65370</v>
      </c>
      <c r="C283" s="1" t="s">
        <v>269</v>
      </c>
      <c r="T283" s="8"/>
      <c r="U283" s="8"/>
      <c r="V283" s="8"/>
    </row>
    <row r="284" spans="1:22" x14ac:dyDescent="0.35">
      <c r="B284" s="1">
        <v>65397</v>
      </c>
      <c r="C284" s="1" t="s">
        <v>270</v>
      </c>
      <c r="T284" s="8"/>
      <c r="U284" s="8"/>
      <c r="V284" s="8"/>
    </row>
    <row r="285" spans="1:22" x14ac:dyDescent="0.35">
      <c r="B285" s="1">
        <v>65399</v>
      </c>
      <c r="C285" s="1" t="s">
        <v>271</v>
      </c>
      <c r="T285" s="8"/>
      <c r="U285" s="8"/>
      <c r="V285" s="8"/>
    </row>
    <row r="286" spans="1:22" x14ac:dyDescent="0.35">
      <c r="A286" s="21">
        <v>11</v>
      </c>
      <c r="B286" s="12" t="s">
        <v>272</v>
      </c>
      <c r="C286" s="12"/>
      <c r="D286" s="12"/>
      <c r="E286" s="12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T286" s="10"/>
      <c r="U286" s="10"/>
      <c r="V286" s="10"/>
    </row>
    <row r="287" spans="1:22" x14ac:dyDescent="0.35">
      <c r="T287" s="8"/>
      <c r="U287" s="8"/>
      <c r="V287" s="8"/>
    </row>
    <row r="288" spans="1:22" x14ac:dyDescent="0.35">
      <c r="B288" s="14" t="s">
        <v>273</v>
      </c>
      <c r="C288" s="14"/>
      <c r="D288" s="14"/>
      <c r="E288" s="14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T288" s="11"/>
      <c r="U288" s="11"/>
      <c r="V288" s="11"/>
    </row>
    <row r="289" spans="1:22" x14ac:dyDescent="0.35">
      <c r="T289" s="8"/>
      <c r="U289" s="8"/>
      <c r="V289" s="8"/>
    </row>
    <row r="290" spans="1:22" x14ac:dyDescent="0.35">
      <c r="A290" s="21"/>
      <c r="B290" s="14" t="s">
        <v>274</v>
      </c>
      <c r="C290" s="14"/>
      <c r="D290" s="14"/>
      <c r="E290" s="14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T290" s="11"/>
      <c r="U290" s="11"/>
      <c r="V290" s="11"/>
    </row>
    <row r="291" spans="1:22" x14ac:dyDescent="0.35">
      <c r="A291" s="21"/>
      <c r="T291" s="11"/>
      <c r="U291" s="11"/>
      <c r="V291" s="11"/>
    </row>
    <row r="292" spans="1:22" x14ac:dyDescent="0.35">
      <c r="A292" s="21"/>
      <c r="B292" s="1" t="s">
        <v>275</v>
      </c>
      <c r="T292" s="11"/>
      <c r="U292" s="11"/>
      <c r="V292" s="11"/>
    </row>
    <row r="293" spans="1:22" x14ac:dyDescent="0.35">
      <c r="A293" s="21">
        <v>15</v>
      </c>
      <c r="B293" s="1">
        <v>66540</v>
      </c>
      <c r="C293" s="1" t="s">
        <v>276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T293" s="8"/>
      <c r="U293" s="8"/>
      <c r="V293" s="8"/>
    </row>
    <row r="294" spans="1:22" x14ac:dyDescent="0.35">
      <c r="A294" s="21">
        <v>15</v>
      </c>
      <c r="B294" s="1">
        <v>66545</v>
      </c>
      <c r="C294" s="1" t="s">
        <v>277</v>
      </c>
      <c r="T294" s="8"/>
      <c r="U294" s="8"/>
      <c r="V294" s="8"/>
    </row>
    <row r="295" spans="1:22" x14ac:dyDescent="0.35">
      <c r="A295" s="21">
        <v>15</v>
      </c>
      <c r="B295" s="1">
        <v>66550</v>
      </c>
      <c r="C295" s="1" t="s">
        <v>278</v>
      </c>
      <c r="Q295" s="5"/>
      <c r="R295" s="5"/>
      <c r="T295" s="8"/>
      <c r="U295" s="8"/>
      <c r="V295" s="8"/>
    </row>
    <row r="296" spans="1:22" x14ac:dyDescent="0.35">
      <c r="A296" s="21">
        <v>15</v>
      </c>
      <c r="B296" s="1">
        <v>66560</v>
      </c>
      <c r="C296" s="1" t="s">
        <v>279</v>
      </c>
      <c r="T296" s="8"/>
      <c r="U296" s="8"/>
      <c r="V296" s="8"/>
    </row>
    <row r="297" spans="1:22" x14ac:dyDescent="0.35">
      <c r="A297" s="21">
        <v>16</v>
      </c>
      <c r="B297" s="1">
        <v>66000</v>
      </c>
      <c r="C297" s="1" t="s">
        <v>280</v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T297" s="8"/>
      <c r="U297" s="8"/>
      <c r="V297" s="8"/>
    </row>
    <row r="298" spans="1:22" x14ac:dyDescent="0.35">
      <c r="A298" s="21">
        <v>16</v>
      </c>
      <c r="B298" s="1">
        <v>66010</v>
      </c>
      <c r="C298" s="1" t="s">
        <v>281</v>
      </c>
      <c r="T298" s="8"/>
      <c r="U298" s="8"/>
      <c r="V298" s="8"/>
    </row>
    <row r="299" spans="1:22" x14ac:dyDescent="0.35">
      <c r="A299" s="21">
        <v>16</v>
      </c>
      <c r="B299" s="1">
        <v>66015</v>
      </c>
      <c r="C299" s="1" t="s">
        <v>282</v>
      </c>
      <c r="T299" s="8"/>
      <c r="U299" s="8"/>
      <c r="V299" s="8"/>
    </row>
    <row r="300" spans="1:22" x14ac:dyDescent="0.35">
      <c r="A300" s="6">
        <v>9</v>
      </c>
      <c r="B300" s="1">
        <v>66610</v>
      </c>
      <c r="C300" s="1" t="s">
        <v>283</v>
      </c>
      <c r="T300" s="8"/>
      <c r="U300" s="8"/>
      <c r="V300" s="8"/>
    </row>
    <row r="301" spans="1:22" x14ac:dyDescent="0.35">
      <c r="A301" s="6">
        <v>9</v>
      </c>
      <c r="B301" s="1">
        <v>66600</v>
      </c>
      <c r="C301" s="1" t="s">
        <v>284</v>
      </c>
      <c r="R301" s="5"/>
      <c r="T301" s="8"/>
      <c r="U301" s="8"/>
      <c r="V301" s="8"/>
    </row>
    <row r="302" spans="1:22" x14ac:dyDescent="0.35">
      <c r="B302" s="12" t="s">
        <v>285</v>
      </c>
      <c r="C302" s="12"/>
      <c r="D302" s="12"/>
      <c r="E302" s="12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T302" s="10"/>
      <c r="U302" s="10"/>
      <c r="V302" s="10"/>
    </row>
    <row r="303" spans="1:22" x14ac:dyDescent="0.35">
      <c r="T303" s="8"/>
      <c r="U303" s="8"/>
      <c r="V303" s="8"/>
    </row>
    <row r="304" spans="1:22" ht="15" thickBot="1" x14ac:dyDescent="0.4">
      <c r="B304" s="17" t="s">
        <v>286</v>
      </c>
      <c r="C304" s="17"/>
      <c r="D304" s="17"/>
      <c r="E304" s="17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T304" s="19"/>
      <c r="U304" s="19"/>
      <c r="V304" s="19"/>
    </row>
    <row r="305" spans="20:22" ht="15" thickTop="1" x14ac:dyDescent="0.35">
      <c r="T305" s="8"/>
      <c r="U305" s="8"/>
      <c r="V305" s="8"/>
    </row>
    <row r="306" spans="20:22" x14ac:dyDescent="0.35">
      <c r="T306" s="11"/>
      <c r="U306" s="11"/>
      <c r="V306" s="11"/>
    </row>
    <row r="307" spans="20:22" x14ac:dyDescent="0.35">
      <c r="T307" s="11"/>
      <c r="U307" s="11"/>
      <c r="V307" s="11"/>
    </row>
    <row r="308" spans="20:22" x14ac:dyDescent="0.35">
      <c r="T308" s="8"/>
      <c r="U308" s="8"/>
      <c r="V308" s="8"/>
    </row>
    <row r="309" spans="20:22" x14ac:dyDescent="0.35">
      <c r="T309" s="8"/>
      <c r="U309" s="8"/>
      <c r="V309" s="8"/>
    </row>
    <row r="310" spans="20:22" x14ac:dyDescent="0.35">
      <c r="T310" s="8"/>
      <c r="U310" s="8"/>
      <c r="V310" s="8"/>
    </row>
    <row r="311" spans="20:22" x14ac:dyDescent="0.35">
      <c r="T311" s="8"/>
      <c r="U311" s="8"/>
      <c r="V311" s="8"/>
    </row>
    <row r="312" spans="20:22" x14ac:dyDescent="0.35">
      <c r="T312" s="8"/>
      <c r="U312" s="8"/>
      <c r="V312" s="8"/>
    </row>
    <row r="313" spans="20:22" x14ac:dyDescent="0.35">
      <c r="T313" s="8"/>
      <c r="U313" s="8"/>
      <c r="V313" s="8"/>
    </row>
    <row r="314" spans="20:22" x14ac:dyDescent="0.35">
      <c r="T314" s="8"/>
      <c r="U314" s="8"/>
      <c r="V314" s="8"/>
    </row>
    <row r="315" spans="20:22" x14ac:dyDescent="0.35">
      <c r="T315" s="8"/>
      <c r="U315" s="8"/>
      <c r="V315" s="8"/>
    </row>
    <row r="316" spans="20:22" x14ac:dyDescent="0.35">
      <c r="T316" s="8"/>
      <c r="U316" s="8"/>
      <c r="V316" s="8"/>
    </row>
    <row r="317" spans="20:22" x14ac:dyDescent="0.35">
      <c r="T317" s="8"/>
      <c r="U317" s="8"/>
      <c r="V317" s="8"/>
    </row>
    <row r="318" spans="20:22" x14ac:dyDescent="0.35">
      <c r="T318" s="8"/>
      <c r="U318" s="8"/>
      <c r="V318" s="8"/>
    </row>
    <row r="319" spans="20:22" x14ac:dyDescent="0.35">
      <c r="T319" s="8"/>
      <c r="U319" s="8"/>
      <c r="V319" s="8"/>
    </row>
    <row r="320" spans="20:22" x14ac:dyDescent="0.35">
      <c r="T320" s="8"/>
      <c r="U320" s="8"/>
      <c r="V320" s="8"/>
    </row>
    <row r="321" spans="20:22" x14ac:dyDescent="0.35">
      <c r="T321" s="8"/>
      <c r="U321" s="8"/>
      <c r="V321" s="8"/>
    </row>
    <row r="322" spans="20:22" x14ac:dyDescent="0.35">
      <c r="T322" s="8"/>
      <c r="U322" s="8"/>
      <c r="V322" s="8"/>
    </row>
    <row r="323" spans="20:22" x14ac:dyDescent="0.35">
      <c r="T323" s="8"/>
      <c r="U323" s="8"/>
      <c r="V323" s="8"/>
    </row>
    <row r="324" spans="20:22" x14ac:dyDescent="0.35">
      <c r="T324" s="8"/>
      <c r="U324" s="8"/>
      <c r="V324" s="8"/>
    </row>
    <row r="325" spans="20:22" x14ac:dyDescent="0.35">
      <c r="T325" s="8"/>
      <c r="U325" s="8"/>
      <c r="V325" s="8"/>
    </row>
    <row r="326" spans="20:22" x14ac:dyDescent="0.35">
      <c r="T326" s="8"/>
      <c r="U326" s="8"/>
      <c r="V326" s="8"/>
    </row>
    <row r="327" spans="20:22" x14ac:dyDescent="0.35">
      <c r="T327" s="8"/>
      <c r="U327" s="8"/>
      <c r="V327" s="8"/>
    </row>
    <row r="328" spans="20:22" x14ac:dyDescent="0.35">
      <c r="T328" s="8"/>
      <c r="U328" s="8"/>
      <c r="V328" s="8"/>
    </row>
    <row r="329" spans="20:22" x14ac:dyDescent="0.35">
      <c r="T329" s="8"/>
      <c r="U329" s="8"/>
      <c r="V329" s="8"/>
    </row>
    <row r="330" spans="20:22" x14ac:dyDescent="0.35">
      <c r="T330" s="8"/>
      <c r="U330" s="8"/>
      <c r="V330" s="8"/>
    </row>
    <row r="331" spans="20:22" x14ac:dyDescent="0.35">
      <c r="T331" s="8"/>
      <c r="U331" s="8"/>
      <c r="V331" s="8"/>
    </row>
    <row r="332" spans="20:22" x14ac:dyDescent="0.35">
      <c r="T332" s="8"/>
      <c r="U332" s="8"/>
      <c r="V332" s="8"/>
    </row>
    <row r="333" spans="20:22" x14ac:dyDescent="0.35">
      <c r="T333" s="8"/>
      <c r="U333" s="8"/>
      <c r="V333" s="8"/>
    </row>
    <row r="334" spans="20:22" x14ac:dyDescent="0.35">
      <c r="T334" s="8"/>
      <c r="U334" s="8"/>
      <c r="V334" s="8"/>
    </row>
    <row r="335" spans="20:22" x14ac:dyDescent="0.35">
      <c r="T335" s="8"/>
      <c r="U335" s="8"/>
      <c r="V335" s="8"/>
    </row>
    <row r="336" spans="20:22" x14ac:dyDescent="0.35">
      <c r="T336" s="8"/>
      <c r="U336" s="8"/>
      <c r="V336" s="8"/>
    </row>
    <row r="337" spans="20:22" x14ac:dyDescent="0.35">
      <c r="T337" s="8"/>
      <c r="U337" s="8"/>
      <c r="V337" s="8"/>
    </row>
    <row r="338" spans="20:22" x14ac:dyDescent="0.35">
      <c r="T338" s="8"/>
      <c r="U338" s="8"/>
      <c r="V338" s="8"/>
    </row>
    <row r="339" spans="20:22" x14ac:dyDescent="0.35">
      <c r="T339" s="8"/>
      <c r="U339" s="8"/>
      <c r="V339" s="8"/>
    </row>
    <row r="340" spans="20:22" x14ac:dyDescent="0.35">
      <c r="T340" s="8"/>
      <c r="U340" s="8"/>
      <c r="V340" s="8"/>
    </row>
    <row r="341" spans="20:22" x14ac:dyDescent="0.35">
      <c r="T341" s="8"/>
      <c r="U341" s="8"/>
      <c r="V341" s="8"/>
    </row>
    <row r="342" spans="20:22" x14ac:dyDescent="0.35">
      <c r="T342" s="8"/>
      <c r="U342" s="8"/>
      <c r="V342" s="8"/>
    </row>
    <row r="343" spans="20:22" x14ac:dyDescent="0.35">
      <c r="T343" s="8"/>
      <c r="U343" s="8"/>
      <c r="V343" s="8"/>
    </row>
    <row r="344" spans="20:22" x14ac:dyDescent="0.35">
      <c r="T344" s="8"/>
      <c r="U344" s="8"/>
      <c r="V344" s="8"/>
    </row>
    <row r="345" spans="20:22" x14ac:dyDescent="0.35">
      <c r="T345" s="8"/>
      <c r="U345" s="8"/>
      <c r="V345" s="8"/>
    </row>
    <row r="346" spans="20:22" x14ac:dyDescent="0.35">
      <c r="T346" s="8"/>
      <c r="U346" s="8"/>
      <c r="V346" s="8"/>
    </row>
    <row r="347" spans="20:22" x14ac:dyDescent="0.35">
      <c r="T347" s="8"/>
      <c r="U347" s="8"/>
      <c r="V347" s="8"/>
    </row>
    <row r="348" spans="20:22" x14ac:dyDescent="0.35">
      <c r="T348" s="8"/>
      <c r="U348" s="8"/>
      <c r="V348" s="8"/>
    </row>
    <row r="349" spans="20:22" x14ac:dyDescent="0.35">
      <c r="T349" s="8"/>
      <c r="U349" s="8"/>
      <c r="V349" s="8"/>
    </row>
    <row r="350" spans="20:22" x14ac:dyDescent="0.35">
      <c r="T350" s="8"/>
      <c r="U350" s="8"/>
      <c r="V350" s="8"/>
    </row>
    <row r="351" spans="20:22" x14ac:dyDescent="0.35">
      <c r="T351" s="8"/>
      <c r="U351" s="8"/>
      <c r="V351" s="8"/>
    </row>
    <row r="352" spans="20:22" x14ac:dyDescent="0.35">
      <c r="T352" s="8"/>
      <c r="U352" s="8"/>
      <c r="V352" s="8"/>
    </row>
    <row r="353" spans="20:22" x14ac:dyDescent="0.35">
      <c r="T353" s="8"/>
      <c r="U353" s="8"/>
      <c r="V353" s="8"/>
    </row>
    <row r="354" spans="20:22" x14ac:dyDescent="0.35">
      <c r="T354" s="8"/>
      <c r="U354" s="8"/>
      <c r="V354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D8EEF-AD78-42AD-90DA-3A0321C61B1C}">
  <dimension ref="A1:P152"/>
  <sheetViews>
    <sheetView showWhiteSpace="0" topLeftCell="E103" workbookViewId="0">
      <selection activeCell="K152" sqref="K152"/>
    </sheetView>
  </sheetViews>
  <sheetFormatPr defaultRowHeight="14" x14ac:dyDescent="0.3"/>
  <cols>
    <col min="1" max="1" width="39.26953125" style="210" bestFit="1" customWidth="1"/>
    <col min="2" max="2" width="17" style="210" bestFit="1" customWidth="1"/>
    <col min="3" max="3" width="17.6328125" style="210" bestFit="1" customWidth="1"/>
    <col min="4" max="4" width="43.1796875" style="210" bestFit="1" customWidth="1"/>
    <col min="5" max="5" width="33.36328125" style="210" bestFit="1" customWidth="1"/>
    <col min="6" max="6" width="33.36328125" style="210" customWidth="1"/>
    <col min="7" max="7" width="29.81640625" style="210" bestFit="1" customWidth="1"/>
    <col min="8" max="8" width="21.6328125" style="210" bestFit="1" customWidth="1"/>
    <col min="9" max="9" width="42.54296875" style="210" bestFit="1" customWidth="1"/>
    <col min="10" max="10" width="27.6328125" style="210" bestFit="1" customWidth="1"/>
    <col min="11" max="11" width="23.36328125" style="210" bestFit="1" customWidth="1"/>
    <col min="12" max="12" width="21.26953125" style="210" bestFit="1" customWidth="1"/>
    <col min="13" max="14" width="23.36328125" style="210" bestFit="1" customWidth="1"/>
    <col min="15" max="15" width="25.54296875" style="210" bestFit="1" customWidth="1"/>
    <col min="16" max="16" width="27.6328125" style="210" bestFit="1" customWidth="1"/>
    <col min="17" max="16384" width="8.7265625" style="210"/>
  </cols>
  <sheetData>
    <row r="1" spans="1:16" ht="23" x14ac:dyDescent="0.5">
      <c r="A1" s="218" t="s">
        <v>492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</row>
    <row r="2" spans="1:16" x14ac:dyDescent="0.3">
      <c r="A2" s="219" t="s">
        <v>1036</v>
      </c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</row>
    <row r="3" spans="1:16" x14ac:dyDescent="0.3">
      <c r="A3" s="219"/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</row>
    <row r="4" spans="1:16" ht="16.5" x14ac:dyDescent="0.3">
      <c r="A4" s="220" t="s">
        <v>721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</row>
    <row r="5" spans="1:16" ht="16.5" x14ac:dyDescent="0.3">
      <c r="A5" s="220" t="s">
        <v>722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</row>
    <row r="6" spans="1:16" ht="16.5" x14ac:dyDescent="0.3">
      <c r="A6" s="220" t="s">
        <v>1037</v>
      </c>
      <c r="B6" s="220"/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</row>
    <row r="7" spans="1:16" ht="16.5" x14ac:dyDescent="0.3">
      <c r="A7" s="220" t="s">
        <v>724</v>
      </c>
      <c r="B7" s="220"/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</row>
    <row r="8" spans="1:16" x14ac:dyDescent="0.3">
      <c r="A8" s="244"/>
      <c r="B8" s="244"/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</row>
    <row r="9" spans="1:16" ht="16.5" x14ac:dyDescent="0.35">
      <c r="A9" s="211" t="s">
        <v>725</v>
      </c>
      <c r="B9" s="211" t="s">
        <v>726</v>
      </c>
      <c r="C9" s="211" t="s">
        <v>727</v>
      </c>
      <c r="D9" s="211" t="s">
        <v>728</v>
      </c>
      <c r="E9" s="211" t="s">
        <v>298</v>
      </c>
      <c r="F9" s="211"/>
      <c r="G9" s="211" t="s">
        <v>450</v>
      </c>
      <c r="H9" s="211" t="s">
        <v>299</v>
      </c>
      <c r="I9" s="211" t="s">
        <v>729</v>
      </c>
      <c r="J9" s="211" t="s">
        <v>730</v>
      </c>
      <c r="K9" s="211" t="s">
        <v>731</v>
      </c>
      <c r="L9" s="211" t="s">
        <v>732</v>
      </c>
      <c r="M9" s="211" t="s">
        <v>733</v>
      </c>
      <c r="N9" s="211" t="s">
        <v>734</v>
      </c>
      <c r="O9" s="211" t="s">
        <v>735</v>
      </c>
      <c r="P9" s="211" t="s">
        <v>736</v>
      </c>
    </row>
    <row r="10" spans="1:16" ht="15.5" x14ac:dyDescent="0.35">
      <c r="A10" s="221" t="s">
        <v>737</v>
      </c>
      <c r="B10" s="221" t="s">
        <v>738</v>
      </c>
      <c r="C10" s="221" t="s">
        <v>738</v>
      </c>
      <c r="D10" s="221" t="s">
        <v>738</v>
      </c>
      <c r="E10" s="221" t="s">
        <v>738</v>
      </c>
      <c r="F10" s="221"/>
      <c r="G10" s="221" t="s">
        <v>738</v>
      </c>
      <c r="H10" s="221" t="s">
        <v>738</v>
      </c>
      <c r="I10" s="221" t="s">
        <v>738</v>
      </c>
      <c r="J10" s="221" t="s">
        <v>738</v>
      </c>
      <c r="K10" s="221" t="s">
        <v>738</v>
      </c>
      <c r="L10" s="221" t="s">
        <v>738</v>
      </c>
      <c r="M10" s="221" t="s">
        <v>738</v>
      </c>
      <c r="N10" s="221" t="s">
        <v>738</v>
      </c>
      <c r="O10" s="221" t="s">
        <v>738</v>
      </c>
      <c r="P10" s="221" t="s">
        <v>738</v>
      </c>
    </row>
    <row r="11" spans="1:16" ht="15.5" x14ac:dyDescent="0.35">
      <c r="A11" s="214" t="s">
        <v>781</v>
      </c>
      <c r="B11" s="214" t="s">
        <v>745</v>
      </c>
      <c r="C11" s="222">
        <v>650</v>
      </c>
      <c r="D11" s="214"/>
      <c r="E11" s="214" t="s">
        <v>741</v>
      </c>
      <c r="F11" s="214" t="s">
        <v>290</v>
      </c>
      <c r="G11" s="215">
        <v>1029</v>
      </c>
      <c r="H11" s="215"/>
      <c r="I11" s="215">
        <v>0</v>
      </c>
      <c r="J11" s="223"/>
      <c r="K11" s="223"/>
      <c r="L11" s="223"/>
      <c r="M11" s="223"/>
      <c r="N11" s="215"/>
      <c r="O11" s="222"/>
      <c r="P11" s="222"/>
    </row>
    <row r="12" spans="1:16" ht="15.5" x14ac:dyDescent="0.35">
      <c r="A12" s="214" t="s">
        <v>739</v>
      </c>
      <c r="B12" s="214" t="s">
        <v>740</v>
      </c>
      <c r="C12" s="222">
        <v>850</v>
      </c>
      <c r="D12" s="214"/>
      <c r="E12" s="214" t="s">
        <v>741</v>
      </c>
      <c r="F12" s="214" t="s">
        <v>290</v>
      </c>
      <c r="G12" s="215">
        <v>1199</v>
      </c>
      <c r="H12" s="215"/>
      <c r="I12" s="215">
        <v>0</v>
      </c>
      <c r="J12" s="223"/>
      <c r="K12" s="223"/>
      <c r="L12" s="223"/>
      <c r="M12" s="223"/>
      <c r="N12" s="215"/>
      <c r="O12" s="222"/>
      <c r="P12" s="222"/>
    </row>
    <row r="13" spans="1:16" ht="15.5" x14ac:dyDescent="0.35">
      <c r="A13" s="214" t="s">
        <v>957</v>
      </c>
      <c r="B13" s="214" t="s">
        <v>740</v>
      </c>
      <c r="C13" s="222">
        <v>850</v>
      </c>
      <c r="D13" s="214"/>
      <c r="E13" s="214" t="s">
        <v>1038</v>
      </c>
      <c r="F13" s="214" t="s">
        <v>290</v>
      </c>
      <c r="G13" s="215">
        <v>1149</v>
      </c>
      <c r="H13" s="215"/>
      <c r="I13" s="215">
        <v>0</v>
      </c>
      <c r="J13" s="223"/>
      <c r="K13" s="223"/>
      <c r="L13" s="223"/>
      <c r="M13" s="223"/>
      <c r="N13" s="215"/>
      <c r="O13" s="222"/>
      <c r="P13" s="222"/>
    </row>
    <row r="14" spans="1:16" ht="15.5" x14ac:dyDescent="0.35">
      <c r="A14" s="214" t="s">
        <v>744</v>
      </c>
      <c r="B14" s="214" t="s">
        <v>745</v>
      </c>
      <c r="C14" s="222">
        <v>650</v>
      </c>
      <c r="D14" s="214" t="s">
        <v>746</v>
      </c>
      <c r="E14" s="214" t="s">
        <v>747</v>
      </c>
      <c r="F14" s="214" t="s">
        <v>290</v>
      </c>
      <c r="G14" s="215">
        <v>1029</v>
      </c>
      <c r="H14" s="215">
        <v>620</v>
      </c>
      <c r="I14" s="215">
        <v>120.5</v>
      </c>
      <c r="J14" s="223">
        <v>41694</v>
      </c>
      <c r="K14" s="223">
        <v>45838</v>
      </c>
      <c r="L14" s="223">
        <v>41694</v>
      </c>
      <c r="M14" s="223"/>
      <c r="N14" s="215">
        <v>4344.1000000000004</v>
      </c>
      <c r="O14" s="222">
        <v>0</v>
      </c>
      <c r="P14" s="222">
        <v>7</v>
      </c>
    </row>
    <row r="15" spans="1:16" ht="15.5" x14ac:dyDescent="0.35">
      <c r="A15" s="214" t="s">
        <v>748</v>
      </c>
      <c r="B15" s="214" t="s">
        <v>745</v>
      </c>
      <c r="C15" s="222">
        <v>650</v>
      </c>
      <c r="D15" s="214" t="s">
        <v>749</v>
      </c>
      <c r="E15" s="214" t="s">
        <v>750</v>
      </c>
      <c r="F15" s="214" t="s">
        <v>289</v>
      </c>
      <c r="G15" s="215">
        <v>1029</v>
      </c>
      <c r="H15" s="215">
        <v>632</v>
      </c>
      <c r="I15" s="215">
        <v>45</v>
      </c>
      <c r="J15" s="223">
        <v>42307</v>
      </c>
      <c r="K15" s="223">
        <v>45470</v>
      </c>
      <c r="L15" s="223">
        <v>42307</v>
      </c>
      <c r="M15" s="223"/>
      <c r="N15" s="215">
        <v>1410</v>
      </c>
      <c r="O15" s="222">
        <v>0</v>
      </c>
      <c r="P15" s="222">
        <v>2</v>
      </c>
    </row>
    <row r="16" spans="1:16" ht="15.5" x14ac:dyDescent="0.35">
      <c r="A16" s="214" t="s">
        <v>753</v>
      </c>
      <c r="B16" s="214" t="s">
        <v>745</v>
      </c>
      <c r="C16" s="222">
        <v>650</v>
      </c>
      <c r="D16" s="214" t="s">
        <v>754</v>
      </c>
      <c r="E16" s="214" t="s">
        <v>750</v>
      </c>
      <c r="F16" s="214" t="s">
        <v>289</v>
      </c>
      <c r="G16" s="215">
        <v>1029</v>
      </c>
      <c r="H16" s="215">
        <v>905</v>
      </c>
      <c r="I16" s="215">
        <v>239.5</v>
      </c>
      <c r="J16" s="223">
        <v>43483</v>
      </c>
      <c r="K16" s="223">
        <v>45912</v>
      </c>
      <c r="L16" s="223">
        <v>43483</v>
      </c>
      <c r="M16" s="223"/>
      <c r="N16" s="215">
        <v>0</v>
      </c>
      <c r="O16" s="222">
        <v>0</v>
      </c>
      <c r="P16" s="222">
        <v>0</v>
      </c>
    </row>
    <row r="17" spans="1:16" ht="15.5" x14ac:dyDescent="0.35">
      <c r="A17" s="214" t="s">
        <v>751</v>
      </c>
      <c r="B17" s="214" t="s">
        <v>745</v>
      </c>
      <c r="C17" s="222">
        <v>650</v>
      </c>
      <c r="D17" s="214" t="s">
        <v>752</v>
      </c>
      <c r="E17" s="214" t="s">
        <v>750</v>
      </c>
      <c r="F17" s="214" t="s">
        <v>289</v>
      </c>
      <c r="G17" s="215">
        <v>1029</v>
      </c>
      <c r="H17" s="215">
        <v>925</v>
      </c>
      <c r="I17" s="215">
        <v>96.5</v>
      </c>
      <c r="J17" s="223">
        <v>43203</v>
      </c>
      <c r="K17" s="223">
        <v>46356</v>
      </c>
      <c r="L17" s="223">
        <v>43203</v>
      </c>
      <c r="M17" s="223"/>
      <c r="N17" s="215">
        <v>0</v>
      </c>
      <c r="O17" s="222">
        <v>0</v>
      </c>
      <c r="P17" s="222">
        <v>0</v>
      </c>
    </row>
    <row r="18" spans="1:16" ht="15.5" x14ac:dyDescent="0.35">
      <c r="A18" s="214" t="s">
        <v>755</v>
      </c>
      <c r="B18" s="214" t="s">
        <v>745</v>
      </c>
      <c r="C18" s="222">
        <v>650</v>
      </c>
      <c r="D18" s="214" t="s">
        <v>756</v>
      </c>
      <c r="E18" s="214" t="s">
        <v>750</v>
      </c>
      <c r="F18" s="214" t="s">
        <v>289</v>
      </c>
      <c r="G18" s="215">
        <v>1029</v>
      </c>
      <c r="H18" s="215">
        <v>943</v>
      </c>
      <c r="I18" s="215">
        <v>113.5</v>
      </c>
      <c r="J18" s="223">
        <v>40764</v>
      </c>
      <c r="K18" s="223">
        <v>46147</v>
      </c>
      <c r="L18" s="223">
        <v>40764</v>
      </c>
      <c r="M18" s="223"/>
      <c r="N18" s="215">
        <v>2571.5</v>
      </c>
      <c r="O18" s="222">
        <v>0</v>
      </c>
      <c r="P18" s="222">
        <v>2</v>
      </c>
    </row>
    <row r="19" spans="1:16" ht="15.5" x14ac:dyDescent="0.35">
      <c r="A19" s="214" t="s">
        <v>759</v>
      </c>
      <c r="B19" s="214" t="s">
        <v>745</v>
      </c>
      <c r="C19" s="222">
        <v>650</v>
      </c>
      <c r="D19" s="214" t="s">
        <v>760</v>
      </c>
      <c r="E19" s="214" t="s">
        <v>750</v>
      </c>
      <c r="F19" s="214" t="s">
        <v>289</v>
      </c>
      <c r="G19" s="215">
        <v>1029</v>
      </c>
      <c r="H19" s="215">
        <v>949</v>
      </c>
      <c r="I19" s="215">
        <v>121.5</v>
      </c>
      <c r="J19" s="223">
        <v>45930</v>
      </c>
      <c r="K19" s="223">
        <v>46294</v>
      </c>
      <c r="L19" s="223">
        <v>45930</v>
      </c>
      <c r="M19" s="223"/>
      <c r="N19" s="215">
        <v>0</v>
      </c>
      <c r="O19" s="222">
        <v>0</v>
      </c>
      <c r="P19" s="222">
        <v>0</v>
      </c>
    </row>
    <row r="20" spans="1:16" ht="15.5" x14ac:dyDescent="0.35">
      <c r="A20" s="214" t="s">
        <v>761</v>
      </c>
      <c r="B20" s="214" t="s">
        <v>745</v>
      </c>
      <c r="C20" s="222">
        <v>650</v>
      </c>
      <c r="D20" s="214" t="s">
        <v>762</v>
      </c>
      <c r="E20" s="214" t="s">
        <v>750</v>
      </c>
      <c r="F20" s="214" t="s">
        <v>289</v>
      </c>
      <c r="G20" s="215">
        <v>1029</v>
      </c>
      <c r="H20" s="215">
        <v>949</v>
      </c>
      <c r="I20" s="215">
        <v>121.5</v>
      </c>
      <c r="J20" s="223">
        <v>45891</v>
      </c>
      <c r="K20" s="223">
        <v>46265</v>
      </c>
      <c r="L20" s="223">
        <v>45891</v>
      </c>
      <c r="M20" s="223"/>
      <c r="N20" s="215">
        <v>0</v>
      </c>
      <c r="O20" s="222">
        <v>0</v>
      </c>
      <c r="P20" s="222">
        <v>0</v>
      </c>
    </row>
    <row r="21" spans="1:16" ht="15.5" x14ac:dyDescent="0.35">
      <c r="A21" s="214" t="s">
        <v>763</v>
      </c>
      <c r="B21" s="214" t="s">
        <v>745</v>
      </c>
      <c r="C21" s="222">
        <v>650</v>
      </c>
      <c r="D21" s="214" t="s">
        <v>764</v>
      </c>
      <c r="E21" s="214" t="s">
        <v>750</v>
      </c>
      <c r="F21" s="214" t="s">
        <v>289</v>
      </c>
      <c r="G21" s="215">
        <v>1029</v>
      </c>
      <c r="H21" s="215">
        <v>949</v>
      </c>
      <c r="I21" s="215">
        <v>121.5</v>
      </c>
      <c r="J21" s="223">
        <v>45899</v>
      </c>
      <c r="K21" s="223">
        <v>46265</v>
      </c>
      <c r="L21" s="223">
        <v>45899</v>
      </c>
      <c r="M21" s="223"/>
      <c r="N21" s="215">
        <v>0</v>
      </c>
      <c r="O21" s="222">
        <v>0</v>
      </c>
      <c r="P21" s="222">
        <v>1</v>
      </c>
    </row>
    <row r="22" spans="1:16" ht="15.5" x14ac:dyDescent="0.35">
      <c r="A22" s="214" t="s">
        <v>765</v>
      </c>
      <c r="B22" s="214" t="s">
        <v>745</v>
      </c>
      <c r="C22" s="222">
        <v>650</v>
      </c>
      <c r="D22" s="214" t="s">
        <v>766</v>
      </c>
      <c r="E22" s="214" t="s">
        <v>750</v>
      </c>
      <c r="F22" s="214" t="s">
        <v>289</v>
      </c>
      <c r="G22" s="215">
        <v>1029</v>
      </c>
      <c r="H22" s="215">
        <v>949</v>
      </c>
      <c r="I22" s="215">
        <v>121.5</v>
      </c>
      <c r="J22" s="223">
        <v>45910</v>
      </c>
      <c r="K22" s="223">
        <v>46295</v>
      </c>
      <c r="L22" s="223">
        <v>45910</v>
      </c>
      <c r="M22" s="223"/>
      <c r="N22" s="215">
        <v>0</v>
      </c>
      <c r="O22" s="222">
        <v>0</v>
      </c>
      <c r="P22" s="222">
        <v>0</v>
      </c>
    </row>
    <row r="23" spans="1:16" ht="15.5" x14ac:dyDescent="0.35">
      <c r="A23" s="214" t="s">
        <v>767</v>
      </c>
      <c r="B23" s="214" t="s">
        <v>745</v>
      </c>
      <c r="C23" s="222">
        <v>650</v>
      </c>
      <c r="D23" s="214" t="s">
        <v>768</v>
      </c>
      <c r="E23" s="214" t="s">
        <v>750</v>
      </c>
      <c r="F23" s="214" t="s">
        <v>289</v>
      </c>
      <c r="G23" s="215">
        <v>1029</v>
      </c>
      <c r="H23" s="215">
        <v>949</v>
      </c>
      <c r="I23" s="215">
        <v>106</v>
      </c>
      <c r="J23" s="223">
        <v>45930</v>
      </c>
      <c r="K23" s="223">
        <v>46294</v>
      </c>
      <c r="L23" s="223">
        <v>45930</v>
      </c>
      <c r="M23" s="223"/>
      <c r="N23" s="215">
        <v>0</v>
      </c>
      <c r="O23" s="222">
        <v>0</v>
      </c>
      <c r="P23" s="222">
        <v>0</v>
      </c>
    </row>
    <row r="24" spans="1:16" ht="15.5" x14ac:dyDescent="0.35">
      <c r="A24" s="214" t="s">
        <v>769</v>
      </c>
      <c r="B24" s="214" t="s">
        <v>745</v>
      </c>
      <c r="C24" s="222">
        <v>650</v>
      </c>
      <c r="D24" s="214" t="s">
        <v>770</v>
      </c>
      <c r="E24" s="214" t="s">
        <v>750</v>
      </c>
      <c r="F24" s="214" t="s">
        <v>289</v>
      </c>
      <c r="G24" s="215">
        <v>1029</v>
      </c>
      <c r="H24" s="215">
        <v>949</v>
      </c>
      <c r="I24" s="215">
        <v>121.5</v>
      </c>
      <c r="J24" s="223">
        <v>45910</v>
      </c>
      <c r="K24" s="223">
        <v>46274</v>
      </c>
      <c r="L24" s="223">
        <v>45910</v>
      </c>
      <c r="M24" s="223"/>
      <c r="N24" s="215">
        <v>0</v>
      </c>
      <c r="O24" s="222">
        <v>0</v>
      </c>
      <c r="P24" s="222">
        <v>0</v>
      </c>
    </row>
    <row r="25" spans="1:16" ht="15.5" x14ac:dyDescent="0.35">
      <c r="A25" s="214" t="s">
        <v>771</v>
      </c>
      <c r="B25" s="214" t="s">
        <v>745</v>
      </c>
      <c r="C25" s="222">
        <v>650</v>
      </c>
      <c r="D25" s="214" t="s">
        <v>772</v>
      </c>
      <c r="E25" s="214" t="s">
        <v>750</v>
      </c>
      <c r="F25" s="214" t="s">
        <v>289</v>
      </c>
      <c r="G25" s="215">
        <v>1029</v>
      </c>
      <c r="H25" s="215">
        <v>949</v>
      </c>
      <c r="I25" s="215">
        <v>121.5</v>
      </c>
      <c r="J25" s="223">
        <v>45912</v>
      </c>
      <c r="K25" s="223">
        <v>46276</v>
      </c>
      <c r="L25" s="223">
        <v>45912</v>
      </c>
      <c r="M25" s="223"/>
      <c r="N25" s="215">
        <v>0</v>
      </c>
      <c r="O25" s="222">
        <v>0</v>
      </c>
      <c r="P25" s="222">
        <v>0</v>
      </c>
    </row>
    <row r="26" spans="1:16" ht="15.5" x14ac:dyDescent="0.35">
      <c r="A26" s="214" t="s">
        <v>773</v>
      </c>
      <c r="B26" s="214" t="s">
        <v>745</v>
      </c>
      <c r="C26" s="222">
        <v>650</v>
      </c>
      <c r="D26" s="214" t="s">
        <v>774</v>
      </c>
      <c r="E26" s="214" t="s">
        <v>750</v>
      </c>
      <c r="F26" s="214" t="s">
        <v>289</v>
      </c>
      <c r="G26" s="215">
        <v>1029</v>
      </c>
      <c r="H26" s="215">
        <v>950</v>
      </c>
      <c r="I26" s="215">
        <v>124.5</v>
      </c>
      <c r="J26" s="223">
        <v>44901</v>
      </c>
      <c r="K26" s="223">
        <v>46387</v>
      </c>
      <c r="L26" s="223">
        <v>44901</v>
      </c>
      <c r="M26" s="223"/>
      <c r="N26" s="215">
        <v>0</v>
      </c>
      <c r="O26" s="222">
        <v>0</v>
      </c>
      <c r="P26" s="222">
        <v>0</v>
      </c>
    </row>
    <row r="27" spans="1:16" ht="15.5" x14ac:dyDescent="0.35">
      <c r="A27" s="214" t="s">
        <v>775</v>
      </c>
      <c r="B27" s="214" t="s">
        <v>745</v>
      </c>
      <c r="C27" s="222">
        <v>650</v>
      </c>
      <c r="D27" s="214" t="s">
        <v>776</v>
      </c>
      <c r="E27" s="214" t="s">
        <v>750</v>
      </c>
      <c r="F27" s="214" t="s">
        <v>289</v>
      </c>
      <c r="G27" s="215">
        <v>1029</v>
      </c>
      <c r="H27" s="215">
        <v>975</v>
      </c>
      <c r="I27" s="215">
        <v>76</v>
      </c>
      <c r="J27" s="223">
        <v>40185</v>
      </c>
      <c r="K27" s="223">
        <v>46067</v>
      </c>
      <c r="L27" s="223">
        <v>40185</v>
      </c>
      <c r="M27" s="223"/>
      <c r="N27" s="215">
        <v>-250</v>
      </c>
      <c r="O27" s="222">
        <v>1</v>
      </c>
      <c r="P27" s="222">
        <v>2</v>
      </c>
    </row>
    <row r="28" spans="1:16" ht="15.5" x14ac:dyDescent="0.35">
      <c r="A28" s="214" t="s">
        <v>777</v>
      </c>
      <c r="B28" s="214" t="s">
        <v>745</v>
      </c>
      <c r="C28" s="222">
        <v>650</v>
      </c>
      <c r="D28" s="214" t="s">
        <v>778</v>
      </c>
      <c r="E28" s="214" t="s">
        <v>750</v>
      </c>
      <c r="F28" s="214" t="s">
        <v>289</v>
      </c>
      <c r="G28" s="215">
        <v>1029</v>
      </c>
      <c r="H28" s="215">
        <v>975</v>
      </c>
      <c r="I28" s="215">
        <v>123.5</v>
      </c>
      <c r="J28" s="223">
        <v>43615</v>
      </c>
      <c r="K28" s="223">
        <v>46142</v>
      </c>
      <c r="L28" s="223">
        <v>43615</v>
      </c>
      <c r="M28" s="223"/>
      <c r="N28" s="215">
        <v>0</v>
      </c>
      <c r="O28" s="222">
        <v>0</v>
      </c>
      <c r="P28" s="222">
        <v>0</v>
      </c>
    </row>
    <row r="29" spans="1:16" ht="15.5" x14ac:dyDescent="0.35">
      <c r="A29" s="214" t="s">
        <v>757</v>
      </c>
      <c r="B29" s="214" t="s">
        <v>745</v>
      </c>
      <c r="C29" s="222">
        <v>650</v>
      </c>
      <c r="D29" s="214" t="s">
        <v>758</v>
      </c>
      <c r="E29" s="214" t="s">
        <v>750</v>
      </c>
      <c r="F29" s="214" t="s">
        <v>289</v>
      </c>
      <c r="G29" s="215">
        <v>1029</v>
      </c>
      <c r="H29" s="215">
        <v>980</v>
      </c>
      <c r="I29" s="215">
        <v>124.5</v>
      </c>
      <c r="J29" s="223">
        <v>44883</v>
      </c>
      <c r="K29" s="223">
        <v>46356</v>
      </c>
      <c r="L29" s="223">
        <v>44883</v>
      </c>
      <c r="M29" s="223"/>
      <c r="N29" s="215">
        <v>0</v>
      </c>
      <c r="O29" s="222">
        <v>0</v>
      </c>
      <c r="P29" s="222">
        <v>1</v>
      </c>
    </row>
    <row r="30" spans="1:16" ht="15.5" x14ac:dyDescent="0.35">
      <c r="A30" s="214" t="s">
        <v>779</v>
      </c>
      <c r="B30" s="214" t="s">
        <v>745</v>
      </c>
      <c r="C30" s="222">
        <v>650</v>
      </c>
      <c r="D30" s="214" t="s">
        <v>780</v>
      </c>
      <c r="E30" s="214" t="s">
        <v>750</v>
      </c>
      <c r="F30" s="214" t="s">
        <v>289</v>
      </c>
      <c r="G30" s="215">
        <v>1029</v>
      </c>
      <c r="H30" s="215">
        <v>999</v>
      </c>
      <c r="I30" s="215">
        <v>113.5</v>
      </c>
      <c r="J30" s="223">
        <v>45744</v>
      </c>
      <c r="K30" s="223">
        <v>46139</v>
      </c>
      <c r="L30" s="223">
        <v>45744</v>
      </c>
      <c r="M30" s="223"/>
      <c r="N30" s="215">
        <v>0</v>
      </c>
      <c r="O30" s="222">
        <v>4</v>
      </c>
      <c r="P30" s="222">
        <v>2</v>
      </c>
    </row>
    <row r="31" spans="1:16" ht="15.5" x14ac:dyDescent="0.35">
      <c r="A31" s="214" t="s">
        <v>783</v>
      </c>
      <c r="B31" s="214" t="s">
        <v>745</v>
      </c>
      <c r="C31" s="222">
        <v>650</v>
      </c>
      <c r="D31" s="214" t="s">
        <v>784</v>
      </c>
      <c r="E31" s="214" t="s">
        <v>750</v>
      </c>
      <c r="F31" s="214" t="s">
        <v>289</v>
      </c>
      <c r="G31" s="215">
        <v>1029</v>
      </c>
      <c r="H31" s="215">
        <v>999</v>
      </c>
      <c r="I31" s="215">
        <v>133.5</v>
      </c>
      <c r="J31" s="223">
        <v>45666</v>
      </c>
      <c r="K31" s="223">
        <v>46030</v>
      </c>
      <c r="L31" s="223">
        <v>45666</v>
      </c>
      <c r="M31" s="223"/>
      <c r="N31" s="215">
        <v>0</v>
      </c>
      <c r="O31" s="222">
        <v>0</v>
      </c>
      <c r="P31" s="222">
        <v>0</v>
      </c>
    </row>
    <row r="32" spans="1:16" ht="15.5" x14ac:dyDescent="0.35">
      <c r="A32" s="214" t="s">
        <v>785</v>
      </c>
      <c r="B32" s="214" t="s">
        <v>745</v>
      </c>
      <c r="C32" s="222">
        <v>650</v>
      </c>
      <c r="D32" s="214" t="s">
        <v>786</v>
      </c>
      <c r="E32" s="214" t="s">
        <v>750</v>
      </c>
      <c r="F32" s="214" t="s">
        <v>289</v>
      </c>
      <c r="G32" s="215">
        <v>1029</v>
      </c>
      <c r="H32" s="215">
        <v>999</v>
      </c>
      <c r="I32" s="215">
        <v>109</v>
      </c>
      <c r="J32" s="223">
        <v>43511</v>
      </c>
      <c r="K32" s="223">
        <v>46234</v>
      </c>
      <c r="L32" s="223">
        <v>43511</v>
      </c>
      <c r="M32" s="223"/>
      <c r="N32" s="215">
        <v>0</v>
      </c>
      <c r="O32" s="222">
        <v>0</v>
      </c>
      <c r="P32" s="222">
        <v>0</v>
      </c>
    </row>
    <row r="33" spans="1:16" ht="15.5" x14ac:dyDescent="0.35">
      <c r="A33" s="214" t="s">
        <v>787</v>
      </c>
      <c r="B33" s="214" t="s">
        <v>745</v>
      </c>
      <c r="C33" s="222">
        <v>650</v>
      </c>
      <c r="D33" s="214" t="s">
        <v>788</v>
      </c>
      <c r="E33" s="214" t="s">
        <v>750</v>
      </c>
      <c r="F33" s="214" t="s">
        <v>289</v>
      </c>
      <c r="G33" s="215">
        <v>1029</v>
      </c>
      <c r="H33" s="215">
        <v>999</v>
      </c>
      <c r="I33" s="215">
        <v>129.5</v>
      </c>
      <c r="J33" s="223">
        <v>45061</v>
      </c>
      <c r="K33" s="223">
        <v>46234</v>
      </c>
      <c r="L33" s="223">
        <v>45061</v>
      </c>
      <c r="M33" s="223"/>
      <c r="N33" s="215">
        <v>0</v>
      </c>
      <c r="O33" s="222">
        <v>0</v>
      </c>
      <c r="P33" s="222">
        <v>0</v>
      </c>
    </row>
    <row r="34" spans="1:16" ht="15.5" x14ac:dyDescent="0.35">
      <c r="A34" s="214" t="s">
        <v>789</v>
      </c>
      <c r="B34" s="214" t="s">
        <v>745</v>
      </c>
      <c r="C34" s="222">
        <v>650</v>
      </c>
      <c r="D34" s="214" t="s">
        <v>790</v>
      </c>
      <c r="E34" s="214" t="s">
        <v>750</v>
      </c>
      <c r="F34" s="214" t="s">
        <v>289</v>
      </c>
      <c r="G34" s="215">
        <v>1029</v>
      </c>
      <c r="H34" s="215">
        <v>999</v>
      </c>
      <c r="I34" s="215">
        <v>121.5</v>
      </c>
      <c r="J34" s="223">
        <v>45867</v>
      </c>
      <c r="K34" s="223">
        <v>46234</v>
      </c>
      <c r="L34" s="223">
        <v>45867</v>
      </c>
      <c r="M34" s="223"/>
      <c r="N34" s="215">
        <v>0</v>
      </c>
      <c r="O34" s="222">
        <v>0</v>
      </c>
      <c r="P34" s="222">
        <v>0</v>
      </c>
    </row>
    <row r="35" spans="1:16" ht="15.5" x14ac:dyDescent="0.35">
      <c r="A35" s="214" t="s">
        <v>793</v>
      </c>
      <c r="B35" s="214" t="s">
        <v>745</v>
      </c>
      <c r="C35" s="222">
        <v>650</v>
      </c>
      <c r="D35" s="214" t="s">
        <v>794</v>
      </c>
      <c r="E35" s="214" t="s">
        <v>750</v>
      </c>
      <c r="F35" s="214" t="s">
        <v>289</v>
      </c>
      <c r="G35" s="215">
        <v>1029</v>
      </c>
      <c r="H35" s="215">
        <v>999</v>
      </c>
      <c r="I35" s="215">
        <v>111.5</v>
      </c>
      <c r="J35" s="223">
        <v>45601</v>
      </c>
      <c r="K35" s="223">
        <v>45961</v>
      </c>
      <c r="L35" s="223">
        <v>45601</v>
      </c>
      <c r="M35" s="223"/>
      <c r="N35" s="215">
        <v>0</v>
      </c>
      <c r="O35" s="222">
        <v>0</v>
      </c>
      <c r="P35" s="222">
        <v>0</v>
      </c>
    </row>
    <row r="36" spans="1:16" ht="15.5" x14ac:dyDescent="0.35">
      <c r="A36" s="214" t="s">
        <v>795</v>
      </c>
      <c r="B36" s="214" t="s">
        <v>745</v>
      </c>
      <c r="C36" s="222">
        <v>650</v>
      </c>
      <c r="D36" s="214" t="s">
        <v>796</v>
      </c>
      <c r="E36" s="214" t="s">
        <v>750</v>
      </c>
      <c r="F36" s="214" t="s">
        <v>289</v>
      </c>
      <c r="G36" s="215">
        <v>1029</v>
      </c>
      <c r="H36" s="215">
        <v>999</v>
      </c>
      <c r="I36" s="215">
        <v>141.5</v>
      </c>
      <c r="J36" s="223">
        <v>45630</v>
      </c>
      <c r="K36" s="223">
        <v>46359</v>
      </c>
      <c r="L36" s="223">
        <v>45630</v>
      </c>
      <c r="M36" s="223"/>
      <c r="N36" s="215">
        <v>0</v>
      </c>
      <c r="O36" s="222">
        <v>0</v>
      </c>
      <c r="P36" s="222">
        <v>0</v>
      </c>
    </row>
    <row r="37" spans="1:16" ht="15.5" x14ac:dyDescent="0.35">
      <c r="A37" s="214" t="s">
        <v>797</v>
      </c>
      <c r="B37" s="214" t="s">
        <v>798</v>
      </c>
      <c r="C37" s="222">
        <v>800</v>
      </c>
      <c r="D37" s="214" t="s">
        <v>799</v>
      </c>
      <c r="E37" s="214" t="s">
        <v>750</v>
      </c>
      <c r="F37" s="214" t="s">
        <v>289</v>
      </c>
      <c r="G37" s="215">
        <v>1049</v>
      </c>
      <c r="H37" s="215">
        <v>999</v>
      </c>
      <c r="I37" s="215">
        <v>106</v>
      </c>
      <c r="J37" s="223">
        <v>45899</v>
      </c>
      <c r="K37" s="223">
        <v>46263</v>
      </c>
      <c r="L37" s="223">
        <v>45899</v>
      </c>
      <c r="M37" s="223"/>
      <c r="N37" s="215">
        <v>0</v>
      </c>
      <c r="O37" s="222">
        <v>0</v>
      </c>
      <c r="P37" s="222">
        <v>0</v>
      </c>
    </row>
    <row r="38" spans="1:16" ht="15.5" x14ac:dyDescent="0.35">
      <c r="A38" s="214" t="s">
        <v>800</v>
      </c>
      <c r="B38" s="214" t="s">
        <v>745</v>
      </c>
      <c r="C38" s="222">
        <v>650</v>
      </c>
      <c r="D38" s="214" t="s">
        <v>801</v>
      </c>
      <c r="E38" s="214" t="s">
        <v>750</v>
      </c>
      <c r="F38" s="214" t="s">
        <v>289</v>
      </c>
      <c r="G38" s="215">
        <v>1029</v>
      </c>
      <c r="H38" s="215">
        <v>999</v>
      </c>
      <c r="I38" s="215">
        <v>113.5</v>
      </c>
      <c r="J38" s="223">
        <v>45772</v>
      </c>
      <c r="K38" s="223">
        <v>46142</v>
      </c>
      <c r="L38" s="223">
        <v>45772</v>
      </c>
      <c r="M38" s="223"/>
      <c r="N38" s="215">
        <v>0</v>
      </c>
      <c r="O38" s="222">
        <v>0</v>
      </c>
      <c r="P38" s="222">
        <v>0</v>
      </c>
    </row>
    <row r="39" spans="1:16" ht="15.5" x14ac:dyDescent="0.35">
      <c r="A39" s="214" t="s">
        <v>802</v>
      </c>
      <c r="B39" s="214" t="s">
        <v>745</v>
      </c>
      <c r="C39" s="222">
        <v>650</v>
      </c>
      <c r="D39" s="214" t="s">
        <v>803</v>
      </c>
      <c r="E39" s="214" t="s">
        <v>750</v>
      </c>
      <c r="F39" s="214" t="s">
        <v>289</v>
      </c>
      <c r="G39" s="215">
        <v>1029</v>
      </c>
      <c r="H39" s="215">
        <v>999</v>
      </c>
      <c r="I39" s="215">
        <v>105.5</v>
      </c>
      <c r="J39" s="223">
        <v>45710</v>
      </c>
      <c r="K39" s="223">
        <v>46074</v>
      </c>
      <c r="L39" s="223">
        <v>45710</v>
      </c>
      <c r="M39" s="223"/>
      <c r="N39" s="215">
        <v>0</v>
      </c>
      <c r="O39" s="222">
        <v>2</v>
      </c>
      <c r="P39" s="222">
        <v>1</v>
      </c>
    </row>
    <row r="40" spans="1:16" ht="15.5" x14ac:dyDescent="0.35">
      <c r="A40" s="214" t="s">
        <v>804</v>
      </c>
      <c r="B40" s="214" t="s">
        <v>745</v>
      </c>
      <c r="C40" s="222">
        <v>650</v>
      </c>
      <c r="D40" s="214" t="s">
        <v>805</v>
      </c>
      <c r="E40" s="214" t="s">
        <v>750</v>
      </c>
      <c r="F40" s="214" t="s">
        <v>289</v>
      </c>
      <c r="G40" s="215">
        <v>1029</v>
      </c>
      <c r="H40" s="215">
        <v>999</v>
      </c>
      <c r="I40" s="215">
        <v>118</v>
      </c>
      <c r="J40" s="223">
        <v>44228</v>
      </c>
      <c r="K40" s="223">
        <v>46053</v>
      </c>
      <c r="L40" s="223">
        <v>44228</v>
      </c>
      <c r="M40" s="223"/>
      <c r="N40" s="215">
        <v>0</v>
      </c>
      <c r="O40" s="222">
        <v>0</v>
      </c>
      <c r="P40" s="222">
        <v>0</v>
      </c>
    </row>
    <row r="41" spans="1:16" ht="15.5" x14ac:dyDescent="0.35">
      <c r="A41" s="214" t="s">
        <v>806</v>
      </c>
      <c r="B41" s="214" t="s">
        <v>745</v>
      </c>
      <c r="C41" s="222">
        <v>650</v>
      </c>
      <c r="D41" s="214" t="s">
        <v>1039</v>
      </c>
      <c r="E41" s="214" t="s">
        <v>750</v>
      </c>
      <c r="F41" s="214" t="s">
        <v>289</v>
      </c>
      <c r="G41" s="215">
        <v>1029</v>
      </c>
      <c r="H41" s="215">
        <v>999</v>
      </c>
      <c r="I41" s="215">
        <v>141.5</v>
      </c>
      <c r="J41" s="223">
        <v>45659</v>
      </c>
      <c r="K41" s="223">
        <v>46023</v>
      </c>
      <c r="L41" s="223">
        <v>45659</v>
      </c>
      <c r="M41" s="223"/>
      <c r="N41" s="215">
        <v>0</v>
      </c>
      <c r="O41" s="222">
        <v>0</v>
      </c>
      <c r="P41" s="222">
        <v>2</v>
      </c>
    </row>
    <row r="42" spans="1:16" ht="15.5" x14ac:dyDescent="0.35">
      <c r="A42" s="214" t="s">
        <v>808</v>
      </c>
      <c r="B42" s="214" t="s">
        <v>745</v>
      </c>
      <c r="C42" s="222">
        <v>650</v>
      </c>
      <c r="D42" s="214" t="s">
        <v>809</v>
      </c>
      <c r="E42" s="214" t="s">
        <v>750</v>
      </c>
      <c r="F42" s="214" t="s">
        <v>289</v>
      </c>
      <c r="G42" s="215">
        <v>1029</v>
      </c>
      <c r="H42" s="215">
        <v>999</v>
      </c>
      <c r="I42" s="215">
        <v>111.5</v>
      </c>
      <c r="J42" s="223">
        <v>45582</v>
      </c>
      <c r="K42" s="223">
        <v>46295</v>
      </c>
      <c r="L42" s="223">
        <v>45582</v>
      </c>
      <c r="M42" s="223"/>
      <c r="N42" s="215">
        <v>1721</v>
      </c>
      <c r="O42" s="222">
        <v>0</v>
      </c>
      <c r="P42" s="222">
        <v>4</v>
      </c>
    </row>
    <row r="43" spans="1:16" ht="15.5" x14ac:dyDescent="0.35">
      <c r="A43" s="214" t="s">
        <v>810</v>
      </c>
      <c r="B43" s="214" t="s">
        <v>745</v>
      </c>
      <c r="C43" s="222">
        <v>650</v>
      </c>
      <c r="D43" s="214" t="s">
        <v>811</v>
      </c>
      <c r="E43" s="214" t="s">
        <v>750</v>
      </c>
      <c r="F43" s="214" t="s">
        <v>289</v>
      </c>
      <c r="G43" s="215">
        <v>1029</v>
      </c>
      <c r="H43" s="215">
        <v>999</v>
      </c>
      <c r="I43" s="215">
        <v>96.5</v>
      </c>
      <c r="J43" s="223"/>
      <c r="K43" s="223">
        <v>46326</v>
      </c>
      <c r="L43" s="223">
        <v>41979</v>
      </c>
      <c r="M43" s="223"/>
      <c r="N43" s="215">
        <v>0</v>
      </c>
      <c r="O43" s="222">
        <v>0</v>
      </c>
      <c r="P43" s="222">
        <v>1</v>
      </c>
    </row>
    <row r="44" spans="1:16" ht="15.5" x14ac:dyDescent="0.35">
      <c r="A44" s="214" t="s">
        <v>814</v>
      </c>
      <c r="B44" s="214" t="s">
        <v>745</v>
      </c>
      <c r="C44" s="222">
        <v>650</v>
      </c>
      <c r="D44" s="214" t="s">
        <v>815</v>
      </c>
      <c r="E44" s="214" t="s">
        <v>750</v>
      </c>
      <c r="F44" s="214" t="s">
        <v>289</v>
      </c>
      <c r="G44" s="215">
        <v>1029</v>
      </c>
      <c r="H44" s="215">
        <v>999</v>
      </c>
      <c r="I44" s="215">
        <v>113.5</v>
      </c>
      <c r="J44" s="223">
        <v>45778</v>
      </c>
      <c r="K44" s="223">
        <v>46142</v>
      </c>
      <c r="L44" s="223">
        <v>45778</v>
      </c>
      <c r="M44" s="223"/>
      <c r="N44" s="215">
        <v>0</v>
      </c>
      <c r="O44" s="222">
        <v>0</v>
      </c>
      <c r="P44" s="222">
        <v>0</v>
      </c>
    </row>
    <row r="45" spans="1:16" ht="15.5" x14ac:dyDescent="0.35">
      <c r="A45" s="214" t="s">
        <v>816</v>
      </c>
      <c r="B45" s="214" t="s">
        <v>745</v>
      </c>
      <c r="C45" s="222">
        <v>650</v>
      </c>
      <c r="D45" s="214" t="s">
        <v>817</v>
      </c>
      <c r="E45" s="214" t="s">
        <v>750</v>
      </c>
      <c r="F45" s="214" t="s">
        <v>289</v>
      </c>
      <c r="G45" s="215">
        <v>1029</v>
      </c>
      <c r="H45" s="215">
        <v>999</v>
      </c>
      <c r="I45" s="215">
        <v>113.5</v>
      </c>
      <c r="J45" s="223">
        <v>45383</v>
      </c>
      <c r="K45" s="223">
        <v>46112</v>
      </c>
      <c r="L45" s="223">
        <v>45383</v>
      </c>
      <c r="M45" s="223"/>
      <c r="N45" s="215">
        <v>0</v>
      </c>
      <c r="O45" s="222">
        <v>0</v>
      </c>
      <c r="P45" s="222">
        <v>0</v>
      </c>
    </row>
    <row r="46" spans="1:16" ht="15.5" x14ac:dyDescent="0.35">
      <c r="A46" s="214" t="s">
        <v>818</v>
      </c>
      <c r="B46" s="214" t="s">
        <v>798</v>
      </c>
      <c r="C46" s="222">
        <v>800</v>
      </c>
      <c r="D46" s="214" t="s">
        <v>819</v>
      </c>
      <c r="E46" s="214" t="s">
        <v>750</v>
      </c>
      <c r="F46" s="214" t="s">
        <v>289</v>
      </c>
      <c r="G46" s="215">
        <v>1049</v>
      </c>
      <c r="H46" s="215">
        <v>999</v>
      </c>
      <c r="I46" s="215"/>
      <c r="J46" s="223">
        <v>45900</v>
      </c>
      <c r="K46" s="223">
        <v>46264</v>
      </c>
      <c r="L46" s="223">
        <v>45900</v>
      </c>
      <c r="M46" s="223"/>
      <c r="N46" s="215">
        <v>0</v>
      </c>
      <c r="O46" s="222">
        <v>0</v>
      </c>
      <c r="P46" s="222">
        <v>1</v>
      </c>
    </row>
    <row r="47" spans="1:16" ht="15.5" x14ac:dyDescent="0.35">
      <c r="A47" s="214" t="s">
        <v>820</v>
      </c>
      <c r="B47" s="214" t="s">
        <v>798</v>
      </c>
      <c r="C47" s="222">
        <v>800</v>
      </c>
      <c r="D47" s="214" t="s">
        <v>821</v>
      </c>
      <c r="E47" s="214" t="s">
        <v>750</v>
      </c>
      <c r="F47" s="214" t="s">
        <v>289</v>
      </c>
      <c r="G47" s="215">
        <v>1049</v>
      </c>
      <c r="H47" s="215">
        <v>999</v>
      </c>
      <c r="I47" s="215">
        <v>118.5</v>
      </c>
      <c r="J47" s="223">
        <v>45880</v>
      </c>
      <c r="K47" s="223">
        <v>46244</v>
      </c>
      <c r="L47" s="223">
        <v>45880</v>
      </c>
      <c r="M47" s="223"/>
      <c r="N47" s="215">
        <v>2335.9</v>
      </c>
      <c r="O47" s="222">
        <v>0</v>
      </c>
      <c r="P47" s="222">
        <v>4</v>
      </c>
    </row>
    <row r="48" spans="1:16" ht="15.5" x14ac:dyDescent="0.35">
      <c r="A48" s="214" t="s">
        <v>822</v>
      </c>
      <c r="B48" s="214" t="s">
        <v>798</v>
      </c>
      <c r="C48" s="222">
        <v>800</v>
      </c>
      <c r="D48" s="214" t="s">
        <v>823</v>
      </c>
      <c r="E48" s="214" t="s">
        <v>750</v>
      </c>
      <c r="F48" s="214" t="s">
        <v>289</v>
      </c>
      <c r="G48" s="215">
        <v>1049</v>
      </c>
      <c r="H48" s="215">
        <v>999</v>
      </c>
      <c r="I48" s="215">
        <v>122</v>
      </c>
      <c r="J48" s="223">
        <v>45891</v>
      </c>
      <c r="K48" s="223">
        <v>46265</v>
      </c>
      <c r="L48" s="223">
        <v>45891</v>
      </c>
      <c r="M48" s="223"/>
      <c r="N48" s="215">
        <v>0</v>
      </c>
      <c r="O48" s="222">
        <v>0</v>
      </c>
      <c r="P48" s="222">
        <v>0</v>
      </c>
    </row>
    <row r="49" spans="1:16" ht="15.5" x14ac:dyDescent="0.35">
      <c r="A49" s="214" t="s">
        <v>826</v>
      </c>
      <c r="B49" s="214" t="s">
        <v>798</v>
      </c>
      <c r="C49" s="222">
        <v>800</v>
      </c>
      <c r="D49" s="214" t="s">
        <v>827</v>
      </c>
      <c r="E49" s="214" t="s">
        <v>750</v>
      </c>
      <c r="F49" s="214" t="s">
        <v>289</v>
      </c>
      <c r="G49" s="215">
        <v>1049</v>
      </c>
      <c r="H49" s="215">
        <v>1000</v>
      </c>
      <c r="I49" s="215">
        <v>158.5</v>
      </c>
      <c r="J49" s="223">
        <v>45055</v>
      </c>
      <c r="K49" s="223">
        <v>45777</v>
      </c>
      <c r="L49" s="223">
        <v>45055</v>
      </c>
      <c r="M49" s="223"/>
      <c r="N49" s="215">
        <v>0</v>
      </c>
      <c r="O49" s="222">
        <v>0</v>
      </c>
      <c r="P49" s="222">
        <v>0</v>
      </c>
    </row>
    <row r="50" spans="1:16" ht="15.5" x14ac:dyDescent="0.35">
      <c r="A50" s="214" t="s">
        <v>791</v>
      </c>
      <c r="B50" s="214" t="s">
        <v>745</v>
      </c>
      <c r="C50" s="222">
        <v>650</v>
      </c>
      <c r="D50" s="214" t="s">
        <v>792</v>
      </c>
      <c r="E50" s="214" t="s">
        <v>750</v>
      </c>
      <c r="F50" s="214" t="s">
        <v>289</v>
      </c>
      <c r="G50" s="215">
        <v>1029</v>
      </c>
      <c r="H50" s="215">
        <v>1025</v>
      </c>
      <c r="I50" s="215">
        <v>111.5</v>
      </c>
      <c r="J50" s="223">
        <v>45618</v>
      </c>
      <c r="K50" s="223">
        <v>46349</v>
      </c>
      <c r="L50" s="223">
        <v>45618</v>
      </c>
      <c r="M50" s="223"/>
      <c r="N50" s="215">
        <v>-598</v>
      </c>
      <c r="O50" s="222">
        <v>0</v>
      </c>
      <c r="P50" s="222">
        <v>3</v>
      </c>
    </row>
    <row r="51" spans="1:16" ht="15.5" x14ac:dyDescent="0.35">
      <c r="A51" s="214" t="s">
        <v>812</v>
      </c>
      <c r="B51" s="214" t="s">
        <v>745</v>
      </c>
      <c r="C51" s="222">
        <v>650</v>
      </c>
      <c r="D51" s="214" t="s">
        <v>813</v>
      </c>
      <c r="E51" s="214" t="s">
        <v>750</v>
      </c>
      <c r="F51" s="214" t="s">
        <v>289</v>
      </c>
      <c r="G51" s="215">
        <v>1029</v>
      </c>
      <c r="H51" s="215">
        <v>1025</v>
      </c>
      <c r="I51" s="215">
        <v>111.5</v>
      </c>
      <c r="J51" s="223">
        <v>45595</v>
      </c>
      <c r="K51" s="223">
        <v>46326</v>
      </c>
      <c r="L51" s="223">
        <v>45595</v>
      </c>
      <c r="M51" s="223"/>
      <c r="N51" s="215">
        <v>0</v>
      </c>
      <c r="O51" s="222">
        <v>0</v>
      </c>
      <c r="P51" s="222">
        <v>3</v>
      </c>
    </row>
    <row r="52" spans="1:16" ht="15.5" x14ac:dyDescent="0.35">
      <c r="A52" s="214" t="s">
        <v>941</v>
      </c>
      <c r="B52" s="214" t="s">
        <v>740</v>
      </c>
      <c r="C52" s="222">
        <v>850</v>
      </c>
      <c r="D52" s="214" t="s">
        <v>1040</v>
      </c>
      <c r="E52" s="214" t="s">
        <v>750</v>
      </c>
      <c r="F52" s="214" t="s">
        <v>289</v>
      </c>
      <c r="G52" s="215">
        <v>1149</v>
      </c>
      <c r="H52" s="215">
        <v>1029</v>
      </c>
      <c r="I52" s="215">
        <v>121.5</v>
      </c>
      <c r="J52" s="223">
        <v>45982</v>
      </c>
      <c r="K52" s="223">
        <v>46339</v>
      </c>
      <c r="L52" s="223">
        <v>45975</v>
      </c>
      <c r="M52" s="223"/>
      <c r="N52" s="215">
        <v>40.5</v>
      </c>
      <c r="O52" s="222">
        <v>0</v>
      </c>
      <c r="P52" s="222">
        <v>0</v>
      </c>
    </row>
    <row r="53" spans="1:16" ht="15.5" x14ac:dyDescent="0.35">
      <c r="A53" s="214" t="s">
        <v>854</v>
      </c>
      <c r="B53" s="214" t="s">
        <v>798</v>
      </c>
      <c r="C53" s="222">
        <v>800</v>
      </c>
      <c r="D53" s="214" t="s">
        <v>1041</v>
      </c>
      <c r="E53" s="214" t="s">
        <v>750</v>
      </c>
      <c r="F53" s="214" t="s">
        <v>289</v>
      </c>
      <c r="G53" s="215">
        <v>1049</v>
      </c>
      <c r="H53" s="215">
        <v>1029</v>
      </c>
      <c r="I53" s="215">
        <v>121.5</v>
      </c>
      <c r="J53" s="223">
        <v>46003</v>
      </c>
      <c r="K53" s="223">
        <v>46367</v>
      </c>
      <c r="L53" s="223">
        <v>46003</v>
      </c>
      <c r="M53" s="223"/>
      <c r="N53" s="215">
        <v>0</v>
      </c>
      <c r="O53" s="222">
        <v>0</v>
      </c>
      <c r="P53" s="222">
        <v>0</v>
      </c>
    </row>
    <row r="54" spans="1:16" ht="15.5" x14ac:dyDescent="0.35">
      <c r="A54" s="214" t="s">
        <v>824</v>
      </c>
      <c r="B54" s="214" t="s">
        <v>740</v>
      </c>
      <c r="C54" s="222">
        <v>850</v>
      </c>
      <c r="D54" s="214" t="s">
        <v>825</v>
      </c>
      <c r="E54" s="214" t="s">
        <v>750</v>
      </c>
      <c r="F54" s="214" t="s">
        <v>289</v>
      </c>
      <c r="G54" s="215">
        <v>1149</v>
      </c>
      <c r="H54" s="215">
        <v>1030</v>
      </c>
      <c r="I54" s="215">
        <v>106.5</v>
      </c>
      <c r="J54" s="223">
        <v>42620</v>
      </c>
      <c r="K54" s="223">
        <v>46326</v>
      </c>
      <c r="L54" s="223">
        <v>42620</v>
      </c>
      <c r="M54" s="223"/>
      <c r="N54" s="215">
        <v>0</v>
      </c>
      <c r="O54" s="222">
        <v>0</v>
      </c>
      <c r="P54" s="222">
        <v>0</v>
      </c>
    </row>
    <row r="55" spans="1:16" ht="15.5" x14ac:dyDescent="0.35">
      <c r="A55" s="214" t="s">
        <v>828</v>
      </c>
      <c r="B55" s="214" t="s">
        <v>745</v>
      </c>
      <c r="C55" s="222">
        <v>650</v>
      </c>
      <c r="D55" s="214" t="s">
        <v>829</v>
      </c>
      <c r="E55" s="214" t="s">
        <v>750</v>
      </c>
      <c r="F55" s="214" t="s">
        <v>289</v>
      </c>
      <c r="G55" s="215">
        <v>1029</v>
      </c>
      <c r="H55" s="215">
        <v>1040</v>
      </c>
      <c r="I55" s="215">
        <v>133.5</v>
      </c>
      <c r="J55" s="223">
        <v>44968</v>
      </c>
      <c r="K55" s="223">
        <v>45747</v>
      </c>
      <c r="L55" s="223">
        <v>44968</v>
      </c>
      <c r="M55" s="223"/>
      <c r="N55" s="215">
        <v>0</v>
      </c>
      <c r="O55" s="222">
        <v>0</v>
      </c>
      <c r="P55" s="222">
        <v>2</v>
      </c>
    </row>
    <row r="56" spans="1:16" ht="15.5" x14ac:dyDescent="0.35">
      <c r="A56" s="214" t="s">
        <v>830</v>
      </c>
      <c r="B56" s="214" t="s">
        <v>745</v>
      </c>
      <c r="C56" s="222">
        <v>650</v>
      </c>
      <c r="D56" s="214" t="s">
        <v>831</v>
      </c>
      <c r="E56" s="214" t="s">
        <v>750</v>
      </c>
      <c r="F56" s="214" t="s">
        <v>289</v>
      </c>
      <c r="G56" s="215">
        <v>1029</v>
      </c>
      <c r="H56" s="215">
        <v>1045</v>
      </c>
      <c r="I56" s="215">
        <v>153</v>
      </c>
      <c r="J56" s="223">
        <v>45313</v>
      </c>
      <c r="K56" s="223">
        <v>46053</v>
      </c>
      <c r="L56" s="223">
        <v>45313</v>
      </c>
      <c r="M56" s="223"/>
      <c r="N56" s="215">
        <v>0</v>
      </c>
      <c r="O56" s="222">
        <v>0</v>
      </c>
      <c r="P56" s="222">
        <v>2</v>
      </c>
    </row>
    <row r="57" spans="1:16" ht="15.5" x14ac:dyDescent="0.35">
      <c r="A57" s="214" t="s">
        <v>977</v>
      </c>
      <c r="B57" s="214" t="s">
        <v>740</v>
      </c>
      <c r="C57" s="222">
        <v>850</v>
      </c>
      <c r="D57" s="214" t="s">
        <v>1042</v>
      </c>
      <c r="E57" s="214" t="s">
        <v>750</v>
      </c>
      <c r="F57" s="214" t="s">
        <v>289</v>
      </c>
      <c r="G57" s="215">
        <v>1199</v>
      </c>
      <c r="H57" s="215">
        <v>1049</v>
      </c>
      <c r="I57" s="215">
        <v>121.5</v>
      </c>
      <c r="J57" s="223">
        <v>45992</v>
      </c>
      <c r="K57" s="223">
        <v>46356</v>
      </c>
      <c r="L57" s="223">
        <v>45992</v>
      </c>
      <c r="M57" s="223"/>
      <c r="N57" s="215">
        <v>0</v>
      </c>
      <c r="O57" s="222">
        <v>0</v>
      </c>
      <c r="P57" s="222">
        <v>0</v>
      </c>
    </row>
    <row r="58" spans="1:16" ht="15.5" x14ac:dyDescent="0.35">
      <c r="A58" s="214" t="s">
        <v>832</v>
      </c>
      <c r="B58" s="214" t="s">
        <v>740</v>
      </c>
      <c r="C58" s="222">
        <v>850</v>
      </c>
      <c r="D58" s="214" t="s">
        <v>833</v>
      </c>
      <c r="E58" s="214" t="s">
        <v>750</v>
      </c>
      <c r="F58" s="214" t="s">
        <v>289</v>
      </c>
      <c r="G58" s="215">
        <v>1149</v>
      </c>
      <c r="H58" s="215">
        <v>1049</v>
      </c>
      <c r="I58" s="215">
        <v>121.5</v>
      </c>
      <c r="J58" s="223">
        <v>45930</v>
      </c>
      <c r="K58" s="223">
        <v>46295</v>
      </c>
      <c r="L58" s="223">
        <v>45930</v>
      </c>
      <c r="M58" s="223"/>
      <c r="N58" s="215">
        <v>1342.95</v>
      </c>
      <c r="O58" s="222">
        <v>0</v>
      </c>
      <c r="P58" s="222">
        <v>1</v>
      </c>
    </row>
    <row r="59" spans="1:16" ht="15.5" x14ac:dyDescent="0.35">
      <c r="A59" s="214" t="s">
        <v>834</v>
      </c>
      <c r="B59" s="214" t="s">
        <v>740</v>
      </c>
      <c r="C59" s="222">
        <v>850</v>
      </c>
      <c r="D59" s="214" t="s">
        <v>835</v>
      </c>
      <c r="E59" s="214" t="s">
        <v>750</v>
      </c>
      <c r="F59" s="214" t="s">
        <v>289</v>
      </c>
      <c r="G59" s="215">
        <v>1149</v>
      </c>
      <c r="H59" s="215">
        <v>1049</v>
      </c>
      <c r="I59" s="215">
        <v>121.5</v>
      </c>
      <c r="J59" s="223">
        <v>45947</v>
      </c>
      <c r="K59" s="223">
        <v>46326</v>
      </c>
      <c r="L59" s="223">
        <v>45947</v>
      </c>
      <c r="M59" s="223"/>
      <c r="N59" s="215">
        <v>0</v>
      </c>
      <c r="O59" s="222">
        <v>0</v>
      </c>
      <c r="P59" s="222">
        <v>1</v>
      </c>
    </row>
    <row r="60" spans="1:16" ht="15.5" x14ac:dyDescent="0.35">
      <c r="A60" s="214" t="s">
        <v>836</v>
      </c>
      <c r="B60" s="214" t="s">
        <v>740</v>
      </c>
      <c r="C60" s="222">
        <v>850</v>
      </c>
      <c r="D60" s="214" t="s">
        <v>837</v>
      </c>
      <c r="E60" s="214" t="s">
        <v>750</v>
      </c>
      <c r="F60" s="214" t="s">
        <v>289</v>
      </c>
      <c r="G60" s="215">
        <v>1149</v>
      </c>
      <c r="H60" s="215">
        <v>1049</v>
      </c>
      <c r="I60" s="215">
        <v>121.5</v>
      </c>
      <c r="J60" s="223">
        <v>45902</v>
      </c>
      <c r="K60" s="223">
        <v>46266</v>
      </c>
      <c r="L60" s="223">
        <v>45902</v>
      </c>
      <c r="M60" s="223"/>
      <c r="N60" s="215">
        <v>0</v>
      </c>
      <c r="O60" s="222">
        <v>0</v>
      </c>
      <c r="P60" s="222">
        <v>0</v>
      </c>
    </row>
    <row r="61" spans="1:16" ht="15.5" x14ac:dyDescent="0.35">
      <c r="A61" s="214" t="s">
        <v>838</v>
      </c>
      <c r="B61" s="214" t="s">
        <v>798</v>
      </c>
      <c r="C61" s="222">
        <v>800</v>
      </c>
      <c r="D61" s="214" t="s">
        <v>839</v>
      </c>
      <c r="E61" s="214" t="s">
        <v>750</v>
      </c>
      <c r="F61" s="214" t="s">
        <v>289</v>
      </c>
      <c r="G61" s="215">
        <v>1049</v>
      </c>
      <c r="H61" s="215">
        <v>1049</v>
      </c>
      <c r="I61" s="215">
        <v>121.5</v>
      </c>
      <c r="J61" s="223">
        <v>45899</v>
      </c>
      <c r="K61" s="223">
        <v>46263</v>
      </c>
      <c r="L61" s="223">
        <v>45899</v>
      </c>
      <c r="M61" s="223"/>
      <c r="N61" s="215">
        <v>0</v>
      </c>
      <c r="O61" s="222">
        <v>0</v>
      </c>
      <c r="P61" s="222">
        <v>1</v>
      </c>
    </row>
    <row r="62" spans="1:16" ht="15.5" x14ac:dyDescent="0.35">
      <c r="A62" s="214" t="s">
        <v>840</v>
      </c>
      <c r="B62" s="214" t="s">
        <v>745</v>
      </c>
      <c r="C62" s="222">
        <v>650</v>
      </c>
      <c r="D62" s="214" t="s">
        <v>841</v>
      </c>
      <c r="E62" s="214" t="s">
        <v>750</v>
      </c>
      <c r="F62" s="214" t="s">
        <v>289</v>
      </c>
      <c r="G62" s="215">
        <v>1029</v>
      </c>
      <c r="H62" s="215">
        <v>1049</v>
      </c>
      <c r="I62" s="215">
        <v>133.5</v>
      </c>
      <c r="J62" s="223">
        <v>45065</v>
      </c>
      <c r="K62" s="223">
        <v>45748</v>
      </c>
      <c r="L62" s="223">
        <v>45065</v>
      </c>
      <c r="M62" s="223"/>
      <c r="N62" s="215">
        <v>1182.5</v>
      </c>
      <c r="O62" s="222">
        <v>0</v>
      </c>
      <c r="P62" s="222">
        <v>2</v>
      </c>
    </row>
    <row r="63" spans="1:16" ht="15.5" x14ac:dyDescent="0.35">
      <c r="A63" s="214" t="s">
        <v>842</v>
      </c>
      <c r="B63" s="214" t="s">
        <v>740</v>
      </c>
      <c r="C63" s="222">
        <v>850</v>
      </c>
      <c r="D63" s="214" t="s">
        <v>843</v>
      </c>
      <c r="E63" s="214" t="s">
        <v>750</v>
      </c>
      <c r="F63" s="214" t="s">
        <v>289</v>
      </c>
      <c r="G63" s="215">
        <v>1149</v>
      </c>
      <c r="H63" s="215">
        <v>1049</v>
      </c>
      <c r="I63" s="215">
        <v>121.5</v>
      </c>
      <c r="J63" s="223">
        <v>45897</v>
      </c>
      <c r="K63" s="223">
        <v>46261</v>
      </c>
      <c r="L63" s="223">
        <v>45897</v>
      </c>
      <c r="M63" s="223"/>
      <c r="N63" s="215">
        <v>1540.5</v>
      </c>
      <c r="O63" s="222">
        <v>0</v>
      </c>
      <c r="P63" s="222">
        <v>1</v>
      </c>
    </row>
    <row r="64" spans="1:16" ht="15.5" x14ac:dyDescent="0.35">
      <c r="A64" s="214" t="s">
        <v>844</v>
      </c>
      <c r="B64" s="214" t="s">
        <v>740</v>
      </c>
      <c r="C64" s="222">
        <v>850</v>
      </c>
      <c r="D64" s="214" t="s">
        <v>845</v>
      </c>
      <c r="E64" s="214" t="s">
        <v>750</v>
      </c>
      <c r="F64" s="214" t="s">
        <v>289</v>
      </c>
      <c r="G64" s="215">
        <v>1149</v>
      </c>
      <c r="H64" s="215">
        <v>1049</v>
      </c>
      <c r="I64" s="215">
        <v>121.5</v>
      </c>
      <c r="J64" s="223">
        <v>45897</v>
      </c>
      <c r="K64" s="223">
        <v>46265</v>
      </c>
      <c r="L64" s="223">
        <v>45897</v>
      </c>
      <c r="M64" s="223"/>
      <c r="N64" s="215">
        <v>-92</v>
      </c>
      <c r="O64" s="222">
        <v>0</v>
      </c>
      <c r="P64" s="222">
        <v>1</v>
      </c>
    </row>
    <row r="65" spans="1:16" ht="15.5" x14ac:dyDescent="0.35">
      <c r="A65" s="214" t="s">
        <v>846</v>
      </c>
      <c r="B65" s="214" t="s">
        <v>740</v>
      </c>
      <c r="C65" s="222">
        <v>850</v>
      </c>
      <c r="D65" s="214" t="s">
        <v>847</v>
      </c>
      <c r="E65" s="214" t="s">
        <v>750</v>
      </c>
      <c r="F65" s="214" t="s">
        <v>289</v>
      </c>
      <c r="G65" s="215">
        <v>1149</v>
      </c>
      <c r="H65" s="215">
        <v>1049</v>
      </c>
      <c r="I65" s="215">
        <v>106.5</v>
      </c>
      <c r="J65" s="223">
        <v>45931</v>
      </c>
      <c r="K65" s="223">
        <v>46295</v>
      </c>
      <c r="L65" s="223">
        <v>41508</v>
      </c>
      <c r="M65" s="223"/>
      <c r="N65" s="215">
        <v>0</v>
      </c>
      <c r="O65" s="222">
        <v>0</v>
      </c>
      <c r="P65" s="222">
        <v>0</v>
      </c>
    </row>
    <row r="66" spans="1:16" ht="15.5" x14ac:dyDescent="0.35">
      <c r="A66" s="214" t="s">
        <v>848</v>
      </c>
      <c r="B66" s="214" t="s">
        <v>740</v>
      </c>
      <c r="C66" s="222">
        <v>850</v>
      </c>
      <c r="D66" s="214" t="s">
        <v>849</v>
      </c>
      <c r="E66" s="214" t="s">
        <v>750</v>
      </c>
      <c r="F66" s="214" t="s">
        <v>289</v>
      </c>
      <c r="G66" s="215">
        <v>1149</v>
      </c>
      <c r="H66" s="215">
        <v>1049</v>
      </c>
      <c r="I66" s="215">
        <v>-378.5</v>
      </c>
      <c r="J66" s="223">
        <v>45931</v>
      </c>
      <c r="K66" s="223">
        <v>46295</v>
      </c>
      <c r="L66" s="223">
        <v>45931</v>
      </c>
      <c r="M66" s="223"/>
      <c r="N66" s="215">
        <v>0</v>
      </c>
      <c r="O66" s="222">
        <v>0</v>
      </c>
      <c r="P66" s="222">
        <v>0</v>
      </c>
    </row>
    <row r="67" spans="1:16" ht="15.5" x14ac:dyDescent="0.35">
      <c r="A67" s="214" t="s">
        <v>850</v>
      </c>
      <c r="B67" s="214" t="s">
        <v>740</v>
      </c>
      <c r="C67" s="222">
        <v>850</v>
      </c>
      <c r="D67" s="214" t="s">
        <v>851</v>
      </c>
      <c r="E67" s="214" t="s">
        <v>750</v>
      </c>
      <c r="F67" s="214" t="s">
        <v>289</v>
      </c>
      <c r="G67" s="215">
        <v>1149</v>
      </c>
      <c r="H67" s="215">
        <v>1049</v>
      </c>
      <c r="I67" s="215">
        <v>121.5</v>
      </c>
      <c r="J67" s="223">
        <v>45926</v>
      </c>
      <c r="K67" s="223">
        <v>46295</v>
      </c>
      <c r="L67" s="223">
        <v>45926</v>
      </c>
      <c r="M67" s="223"/>
      <c r="N67" s="215">
        <v>0</v>
      </c>
      <c r="O67" s="222">
        <v>0</v>
      </c>
      <c r="P67" s="222">
        <v>1</v>
      </c>
    </row>
    <row r="68" spans="1:16" ht="15.5" x14ac:dyDescent="0.35">
      <c r="A68" s="214" t="s">
        <v>852</v>
      </c>
      <c r="B68" s="214" t="s">
        <v>740</v>
      </c>
      <c r="C68" s="222">
        <v>850</v>
      </c>
      <c r="D68" s="214" t="s">
        <v>853</v>
      </c>
      <c r="E68" s="214" t="s">
        <v>750</v>
      </c>
      <c r="F68" s="214" t="s">
        <v>289</v>
      </c>
      <c r="G68" s="215">
        <v>1149</v>
      </c>
      <c r="H68" s="215">
        <v>1049</v>
      </c>
      <c r="I68" s="215">
        <v>121.5</v>
      </c>
      <c r="J68" s="223">
        <v>45920</v>
      </c>
      <c r="K68" s="223">
        <v>46295</v>
      </c>
      <c r="L68" s="223">
        <v>45920</v>
      </c>
      <c r="M68" s="223"/>
      <c r="N68" s="215">
        <v>0</v>
      </c>
      <c r="O68" s="222">
        <v>0</v>
      </c>
      <c r="P68" s="222">
        <v>0</v>
      </c>
    </row>
    <row r="69" spans="1:16" ht="15.5" x14ac:dyDescent="0.35">
      <c r="A69" s="214" t="s">
        <v>856</v>
      </c>
      <c r="B69" s="214" t="s">
        <v>798</v>
      </c>
      <c r="C69" s="222">
        <v>800</v>
      </c>
      <c r="D69" s="214" t="s">
        <v>857</v>
      </c>
      <c r="E69" s="214" t="s">
        <v>750</v>
      </c>
      <c r="F69" s="214" t="s">
        <v>289</v>
      </c>
      <c r="G69" s="215">
        <v>1049</v>
      </c>
      <c r="H69" s="215">
        <v>1050</v>
      </c>
      <c r="I69" s="215">
        <v>153.5</v>
      </c>
      <c r="J69" s="223">
        <v>45708</v>
      </c>
      <c r="K69" s="223">
        <v>46072</v>
      </c>
      <c r="L69" s="223">
        <v>45708</v>
      </c>
      <c r="M69" s="223"/>
      <c r="N69" s="215">
        <v>0</v>
      </c>
      <c r="O69" s="222">
        <v>1</v>
      </c>
      <c r="P69" s="222">
        <v>1</v>
      </c>
    </row>
    <row r="70" spans="1:16" ht="15.5" x14ac:dyDescent="0.35">
      <c r="A70" s="214" t="s">
        <v>858</v>
      </c>
      <c r="B70" s="214" t="s">
        <v>798</v>
      </c>
      <c r="C70" s="222">
        <v>800</v>
      </c>
      <c r="D70" s="214" t="s">
        <v>859</v>
      </c>
      <c r="E70" s="214" t="s">
        <v>750</v>
      </c>
      <c r="F70" s="214" t="s">
        <v>289</v>
      </c>
      <c r="G70" s="215">
        <v>1049</v>
      </c>
      <c r="H70" s="215">
        <v>1050</v>
      </c>
      <c r="I70" s="215">
        <v>123.5</v>
      </c>
      <c r="J70" s="223">
        <v>45778</v>
      </c>
      <c r="K70" s="223">
        <v>46142</v>
      </c>
      <c r="L70" s="223">
        <v>45778</v>
      </c>
      <c r="M70" s="223"/>
      <c r="N70" s="215">
        <v>1423.5</v>
      </c>
      <c r="O70" s="222">
        <v>0</v>
      </c>
      <c r="P70" s="222">
        <v>1</v>
      </c>
    </row>
    <row r="71" spans="1:16" ht="15.5" x14ac:dyDescent="0.35">
      <c r="A71" s="214" t="s">
        <v>860</v>
      </c>
      <c r="B71" s="214" t="s">
        <v>798</v>
      </c>
      <c r="C71" s="222">
        <v>800</v>
      </c>
      <c r="D71" s="214" t="s">
        <v>861</v>
      </c>
      <c r="E71" s="214" t="s">
        <v>750</v>
      </c>
      <c r="F71" s="214" t="s">
        <v>289</v>
      </c>
      <c r="G71" s="215">
        <v>1049</v>
      </c>
      <c r="H71" s="215">
        <v>1050</v>
      </c>
      <c r="I71" s="215">
        <v>123.5</v>
      </c>
      <c r="J71" s="223">
        <v>45839</v>
      </c>
      <c r="K71" s="223">
        <v>46203</v>
      </c>
      <c r="L71" s="223">
        <v>45839</v>
      </c>
      <c r="M71" s="223"/>
      <c r="N71" s="215">
        <v>0</v>
      </c>
      <c r="O71" s="222">
        <v>0</v>
      </c>
      <c r="P71" s="222">
        <v>0</v>
      </c>
    </row>
    <row r="72" spans="1:16" ht="15.5" x14ac:dyDescent="0.35">
      <c r="A72" s="214" t="s">
        <v>864</v>
      </c>
      <c r="B72" s="214" t="s">
        <v>798</v>
      </c>
      <c r="C72" s="222">
        <v>800</v>
      </c>
      <c r="D72" s="214" t="s">
        <v>865</v>
      </c>
      <c r="E72" s="214" t="s">
        <v>750</v>
      </c>
      <c r="F72" s="214" t="s">
        <v>289</v>
      </c>
      <c r="G72" s="215">
        <v>1049</v>
      </c>
      <c r="H72" s="215">
        <v>1050</v>
      </c>
      <c r="I72" s="215">
        <v>106.5</v>
      </c>
      <c r="J72" s="223">
        <v>42987</v>
      </c>
      <c r="K72" s="223">
        <v>46295</v>
      </c>
      <c r="L72" s="223">
        <v>42987</v>
      </c>
      <c r="M72" s="223"/>
      <c r="N72" s="215">
        <v>2813</v>
      </c>
      <c r="O72" s="222">
        <v>0</v>
      </c>
      <c r="P72" s="222">
        <v>4</v>
      </c>
    </row>
    <row r="73" spans="1:16" ht="15.5" x14ac:dyDescent="0.35">
      <c r="A73" s="214" t="s">
        <v>866</v>
      </c>
      <c r="B73" s="214" t="s">
        <v>798</v>
      </c>
      <c r="C73" s="222">
        <v>800</v>
      </c>
      <c r="D73" s="214" t="s">
        <v>867</v>
      </c>
      <c r="E73" s="214" t="s">
        <v>750</v>
      </c>
      <c r="F73" s="214" t="s">
        <v>289</v>
      </c>
      <c r="G73" s="215">
        <v>1049</v>
      </c>
      <c r="H73" s="215">
        <v>1050</v>
      </c>
      <c r="I73" s="215">
        <v>121.5</v>
      </c>
      <c r="J73" s="223">
        <v>45536</v>
      </c>
      <c r="K73" s="223">
        <v>46264</v>
      </c>
      <c r="L73" s="223">
        <v>45536</v>
      </c>
      <c r="M73" s="223"/>
      <c r="N73" s="215">
        <v>0</v>
      </c>
      <c r="O73" s="222">
        <v>0</v>
      </c>
      <c r="P73" s="222">
        <v>0</v>
      </c>
    </row>
    <row r="74" spans="1:16" ht="15.5" x14ac:dyDescent="0.35">
      <c r="A74" s="214" t="s">
        <v>868</v>
      </c>
      <c r="B74" s="214" t="s">
        <v>798</v>
      </c>
      <c r="C74" s="222">
        <v>800</v>
      </c>
      <c r="D74" s="214" t="s">
        <v>869</v>
      </c>
      <c r="E74" s="214" t="s">
        <v>750</v>
      </c>
      <c r="F74" s="214" t="s">
        <v>289</v>
      </c>
      <c r="G74" s="215">
        <v>1049</v>
      </c>
      <c r="H74" s="215">
        <v>1050</v>
      </c>
      <c r="I74" s="215">
        <v>-158.5</v>
      </c>
      <c r="J74" s="223">
        <v>45383</v>
      </c>
      <c r="K74" s="223">
        <v>46142</v>
      </c>
      <c r="L74" s="223">
        <v>45383</v>
      </c>
      <c r="M74" s="223"/>
      <c r="N74" s="215">
        <v>0</v>
      </c>
      <c r="O74" s="222">
        <v>0</v>
      </c>
      <c r="P74" s="222">
        <v>0</v>
      </c>
    </row>
    <row r="75" spans="1:16" ht="15.5" x14ac:dyDescent="0.35">
      <c r="A75" s="214" t="s">
        <v>870</v>
      </c>
      <c r="B75" s="214" t="s">
        <v>798</v>
      </c>
      <c r="C75" s="222">
        <v>800</v>
      </c>
      <c r="D75" s="214" t="s">
        <v>871</v>
      </c>
      <c r="E75" s="214" t="s">
        <v>750</v>
      </c>
      <c r="F75" s="214" t="s">
        <v>289</v>
      </c>
      <c r="G75" s="215">
        <v>1049</v>
      </c>
      <c r="H75" s="215">
        <v>1050</v>
      </c>
      <c r="I75" s="215">
        <v>114</v>
      </c>
      <c r="J75" s="223">
        <v>44550</v>
      </c>
      <c r="K75" s="223">
        <v>46022</v>
      </c>
      <c r="L75" s="223">
        <v>44550</v>
      </c>
      <c r="M75" s="223"/>
      <c r="N75" s="215">
        <v>-1164</v>
      </c>
      <c r="O75" s="222">
        <v>0</v>
      </c>
      <c r="P75" s="222">
        <v>0</v>
      </c>
    </row>
    <row r="76" spans="1:16" ht="15.5" x14ac:dyDescent="0.35">
      <c r="A76" s="214" t="s">
        <v>874</v>
      </c>
      <c r="B76" s="214" t="s">
        <v>798</v>
      </c>
      <c r="C76" s="222">
        <v>800</v>
      </c>
      <c r="D76" s="214" t="s">
        <v>875</v>
      </c>
      <c r="E76" s="214" t="s">
        <v>750</v>
      </c>
      <c r="F76" s="214" t="s">
        <v>289</v>
      </c>
      <c r="G76" s="215">
        <v>1049</v>
      </c>
      <c r="H76" s="215">
        <v>1074</v>
      </c>
      <c r="I76" s="215">
        <v>121.5</v>
      </c>
      <c r="J76" s="223">
        <v>45391</v>
      </c>
      <c r="K76" s="223">
        <v>46112</v>
      </c>
      <c r="L76" s="223">
        <v>45391</v>
      </c>
      <c r="M76" s="223"/>
      <c r="N76" s="215">
        <v>0</v>
      </c>
      <c r="O76" s="222">
        <v>1</v>
      </c>
      <c r="P76" s="222">
        <v>5</v>
      </c>
    </row>
    <row r="77" spans="1:16" ht="15.5" x14ac:dyDescent="0.35">
      <c r="A77" s="214" t="s">
        <v>876</v>
      </c>
      <c r="B77" s="214" t="s">
        <v>798</v>
      </c>
      <c r="C77" s="222">
        <v>800</v>
      </c>
      <c r="D77" s="214" t="s">
        <v>877</v>
      </c>
      <c r="E77" s="214" t="s">
        <v>750</v>
      </c>
      <c r="F77" s="214" t="s">
        <v>289</v>
      </c>
      <c r="G77" s="215">
        <v>1049</v>
      </c>
      <c r="H77" s="215">
        <v>1075</v>
      </c>
      <c r="I77" s="215">
        <v>149.5</v>
      </c>
      <c r="J77" s="223">
        <v>45124</v>
      </c>
      <c r="K77" s="223">
        <v>46326</v>
      </c>
      <c r="L77" s="223">
        <v>45124</v>
      </c>
      <c r="M77" s="223"/>
      <c r="N77" s="215">
        <v>0</v>
      </c>
      <c r="O77" s="222">
        <v>0</v>
      </c>
      <c r="P77" s="222">
        <v>0</v>
      </c>
    </row>
    <row r="78" spans="1:16" ht="15.5" x14ac:dyDescent="0.35">
      <c r="A78" s="214" t="s">
        <v>862</v>
      </c>
      <c r="B78" s="214" t="s">
        <v>740</v>
      </c>
      <c r="C78" s="222">
        <v>850</v>
      </c>
      <c r="D78" s="214" t="s">
        <v>863</v>
      </c>
      <c r="E78" s="214" t="s">
        <v>750</v>
      </c>
      <c r="F78" s="214" t="s">
        <v>289</v>
      </c>
      <c r="G78" s="215">
        <v>1149</v>
      </c>
      <c r="H78" s="215">
        <v>1075</v>
      </c>
      <c r="I78" s="215">
        <v>134.5</v>
      </c>
      <c r="J78" s="223">
        <v>44510</v>
      </c>
      <c r="K78" s="223">
        <v>46356</v>
      </c>
      <c r="L78" s="223">
        <v>44510</v>
      </c>
      <c r="M78" s="223"/>
      <c r="N78" s="215">
        <v>0</v>
      </c>
      <c r="O78" s="222">
        <v>0</v>
      </c>
      <c r="P78" s="222">
        <v>0</v>
      </c>
    </row>
    <row r="79" spans="1:16" ht="15.5" x14ac:dyDescent="0.35">
      <c r="A79" s="214" t="s">
        <v>878</v>
      </c>
      <c r="B79" s="214" t="s">
        <v>798</v>
      </c>
      <c r="C79" s="222">
        <v>800</v>
      </c>
      <c r="D79" s="214" t="s">
        <v>879</v>
      </c>
      <c r="E79" s="214" t="s">
        <v>750</v>
      </c>
      <c r="F79" s="214" t="s">
        <v>289</v>
      </c>
      <c r="G79" s="215">
        <v>1049</v>
      </c>
      <c r="H79" s="215">
        <v>1075</v>
      </c>
      <c r="I79" s="215">
        <v>158.5</v>
      </c>
      <c r="J79" s="223">
        <v>45064</v>
      </c>
      <c r="K79" s="223">
        <v>46203</v>
      </c>
      <c r="L79" s="223">
        <v>45064</v>
      </c>
      <c r="M79" s="223"/>
      <c r="N79" s="215">
        <v>0</v>
      </c>
      <c r="O79" s="222">
        <v>0</v>
      </c>
      <c r="P79" s="222">
        <v>1</v>
      </c>
    </row>
    <row r="80" spans="1:16" ht="15.5" x14ac:dyDescent="0.35">
      <c r="A80" s="214" t="s">
        <v>979</v>
      </c>
      <c r="B80" s="214" t="s">
        <v>740</v>
      </c>
      <c r="C80" s="222">
        <v>850</v>
      </c>
      <c r="D80" s="214" t="s">
        <v>1043</v>
      </c>
      <c r="E80" s="214" t="s">
        <v>750</v>
      </c>
      <c r="F80" s="214" t="s">
        <v>289</v>
      </c>
      <c r="G80" s="215">
        <v>1199</v>
      </c>
      <c r="H80" s="215">
        <v>1079</v>
      </c>
      <c r="I80" s="215">
        <v>121.5</v>
      </c>
      <c r="J80" s="223">
        <v>46001</v>
      </c>
      <c r="K80" s="223">
        <v>46365</v>
      </c>
      <c r="L80" s="223">
        <v>46001</v>
      </c>
      <c r="M80" s="223"/>
      <c r="N80" s="215">
        <v>0</v>
      </c>
      <c r="O80" s="222">
        <v>0</v>
      </c>
      <c r="P80" s="222">
        <v>0</v>
      </c>
    </row>
    <row r="81" spans="1:16" ht="15.5" x14ac:dyDescent="0.35">
      <c r="A81" s="214" t="s">
        <v>967</v>
      </c>
      <c r="B81" s="214" t="s">
        <v>740</v>
      </c>
      <c r="C81" s="222">
        <v>850</v>
      </c>
      <c r="D81" s="214" t="s">
        <v>1044</v>
      </c>
      <c r="E81" s="214" t="s">
        <v>750</v>
      </c>
      <c r="F81" s="214" t="s">
        <v>289</v>
      </c>
      <c r="G81" s="215">
        <v>1199</v>
      </c>
      <c r="H81" s="215">
        <v>1079</v>
      </c>
      <c r="I81" s="215">
        <v>106</v>
      </c>
      <c r="J81" s="223">
        <v>45995</v>
      </c>
      <c r="K81" s="223">
        <v>46359</v>
      </c>
      <c r="L81" s="223">
        <v>45995</v>
      </c>
      <c r="M81" s="223"/>
      <c r="N81" s="215">
        <v>-122.9</v>
      </c>
      <c r="O81" s="222">
        <v>0</v>
      </c>
      <c r="P81" s="222">
        <v>0</v>
      </c>
    </row>
    <row r="82" spans="1:16" ht="15.5" x14ac:dyDescent="0.35">
      <c r="A82" s="214" t="s">
        <v>880</v>
      </c>
      <c r="B82" s="214" t="s">
        <v>740</v>
      </c>
      <c r="C82" s="222">
        <v>850</v>
      </c>
      <c r="D82" s="214" t="s">
        <v>881</v>
      </c>
      <c r="E82" s="214" t="s">
        <v>750</v>
      </c>
      <c r="F82" s="214" t="s">
        <v>289</v>
      </c>
      <c r="G82" s="215">
        <v>1149</v>
      </c>
      <c r="H82" s="215">
        <v>1085</v>
      </c>
      <c r="I82" s="215">
        <v>91</v>
      </c>
      <c r="J82" s="223">
        <v>42765</v>
      </c>
      <c r="K82" s="223">
        <v>46387</v>
      </c>
      <c r="L82" s="223">
        <v>42765</v>
      </c>
      <c r="M82" s="223"/>
      <c r="N82" s="215">
        <v>0</v>
      </c>
      <c r="O82" s="222">
        <v>0</v>
      </c>
      <c r="P82" s="222">
        <v>0</v>
      </c>
    </row>
    <row r="83" spans="1:16" ht="15.5" x14ac:dyDescent="0.35">
      <c r="A83" s="214" t="s">
        <v>872</v>
      </c>
      <c r="B83" s="214" t="s">
        <v>740</v>
      </c>
      <c r="C83" s="222">
        <v>850</v>
      </c>
      <c r="D83" s="214" t="s">
        <v>873</v>
      </c>
      <c r="E83" s="214" t="s">
        <v>750</v>
      </c>
      <c r="F83" s="214" t="s">
        <v>289</v>
      </c>
      <c r="G83" s="215">
        <v>1149</v>
      </c>
      <c r="H83" s="215">
        <v>1090</v>
      </c>
      <c r="I83" s="215">
        <v>106.5</v>
      </c>
      <c r="J83" s="223">
        <v>43859</v>
      </c>
      <c r="K83" s="223">
        <v>46326</v>
      </c>
      <c r="L83" s="223">
        <v>43859</v>
      </c>
      <c r="M83" s="223"/>
      <c r="N83" s="215">
        <v>0</v>
      </c>
      <c r="O83" s="222">
        <v>0</v>
      </c>
      <c r="P83" s="222">
        <v>4</v>
      </c>
    </row>
    <row r="84" spans="1:16" ht="15.5" x14ac:dyDescent="0.35">
      <c r="A84" s="214" t="s">
        <v>882</v>
      </c>
      <c r="B84" s="214" t="s">
        <v>740</v>
      </c>
      <c r="C84" s="222">
        <v>850</v>
      </c>
      <c r="D84" s="214" t="s">
        <v>883</v>
      </c>
      <c r="E84" s="214" t="s">
        <v>750</v>
      </c>
      <c r="F84" s="214" t="s">
        <v>289</v>
      </c>
      <c r="G84" s="215">
        <v>1199</v>
      </c>
      <c r="H84" s="215">
        <v>1099</v>
      </c>
      <c r="I84" s="215">
        <v>121.5</v>
      </c>
      <c r="J84" s="223">
        <v>45899</v>
      </c>
      <c r="K84" s="223">
        <v>46265</v>
      </c>
      <c r="L84" s="223">
        <v>45899</v>
      </c>
      <c r="M84" s="223"/>
      <c r="N84" s="215">
        <v>0</v>
      </c>
      <c r="O84" s="222">
        <v>0</v>
      </c>
      <c r="P84" s="222">
        <v>0</v>
      </c>
    </row>
    <row r="85" spans="1:16" ht="15.5" x14ac:dyDescent="0.35">
      <c r="A85" s="214" t="s">
        <v>884</v>
      </c>
      <c r="B85" s="214" t="s">
        <v>740</v>
      </c>
      <c r="C85" s="222">
        <v>850</v>
      </c>
      <c r="D85" s="214" t="s">
        <v>885</v>
      </c>
      <c r="E85" s="214" t="s">
        <v>750</v>
      </c>
      <c r="F85" s="214" t="s">
        <v>289</v>
      </c>
      <c r="G85" s="215">
        <v>1149</v>
      </c>
      <c r="H85" s="215">
        <v>1099</v>
      </c>
      <c r="I85" s="215">
        <v>121.5</v>
      </c>
      <c r="J85" s="223">
        <v>45943</v>
      </c>
      <c r="K85" s="223">
        <v>46326</v>
      </c>
      <c r="L85" s="223">
        <v>45943</v>
      </c>
      <c r="M85" s="223"/>
      <c r="N85" s="215">
        <v>0</v>
      </c>
      <c r="O85" s="222">
        <v>0</v>
      </c>
      <c r="P85" s="222">
        <v>2</v>
      </c>
    </row>
    <row r="86" spans="1:16" ht="15.5" x14ac:dyDescent="0.35">
      <c r="A86" s="214" t="s">
        <v>886</v>
      </c>
      <c r="B86" s="214" t="s">
        <v>740</v>
      </c>
      <c r="C86" s="222">
        <v>850</v>
      </c>
      <c r="D86" s="214" t="s">
        <v>887</v>
      </c>
      <c r="E86" s="214" t="s">
        <v>750</v>
      </c>
      <c r="F86" s="214" t="s">
        <v>289</v>
      </c>
      <c r="G86" s="215">
        <v>1199</v>
      </c>
      <c r="H86" s="215">
        <v>1099</v>
      </c>
      <c r="I86" s="215">
        <v>121.5</v>
      </c>
      <c r="J86" s="223">
        <v>45898</v>
      </c>
      <c r="K86" s="223">
        <v>46262</v>
      </c>
      <c r="L86" s="223">
        <v>45898</v>
      </c>
      <c r="M86" s="223"/>
      <c r="N86" s="215">
        <v>0</v>
      </c>
      <c r="O86" s="222">
        <v>0</v>
      </c>
      <c r="P86" s="222">
        <v>0</v>
      </c>
    </row>
    <row r="87" spans="1:16" ht="15.5" x14ac:dyDescent="0.35">
      <c r="A87" s="214" t="s">
        <v>888</v>
      </c>
      <c r="B87" s="214" t="s">
        <v>740</v>
      </c>
      <c r="C87" s="222">
        <v>850</v>
      </c>
      <c r="D87" s="214" t="s">
        <v>889</v>
      </c>
      <c r="E87" s="214" t="s">
        <v>750</v>
      </c>
      <c r="F87" s="214" t="s">
        <v>289</v>
      </c>
      <c r="G87" s="215">
        <v>1149</v>
      </c>
      <c r="H87" s="215">
        <v>1099</v>
      </c>
      <c r="I87" s="215">
        <v>121.5</v>
      </c>
      <c r="J87" s="223">
        <v>45938</v>
      </c>
      <c r="K87" s="223">
        <v>46326</v>
      </c>
      <c r="L87" s="223">
        <v>45938</v>
      </c>
      <c r="M87" s="223"/>
      <c r="N87" s="215">
        <v>-754.5</v>
      </c>
      <c r="O87" s="222">
        <v>0</v>
      </c>
      <c r="P87" s="222">
        <v>0</v>
      </c>
    </row>
    <row r="88" spans="1:16" ht="15.5" x14ac:dyDescent="0.35">
      <c r="A88" s="214" t="s">
        <v>890</v>
      </c>
      <c r="B88" s="214" t="s">
        <v>740</v>
      </c>
      <c r="C88" s="222">
        <v>850</v>
      </c>
      <c r="D88" s="214" t="s">
        <v>891</v>
      </c>
      <c r="E88" s="214" t="s">
        <v>750</v>
      </c>
      <c r="F88" s="214" t="s">
        <v>289</v>
      </c>
      <c r="G88" s="215">
        <v>1199</v>
      </c>
      <c r="H88" s="215">
        <v>1099</v>
      </c>
      <c r="I88" s="215">
        <v>121.5</v>
      </c>
      <c r="J88" s="223">
        <v>45898</v>
      </c>
      <c r="K88" s="223">
        <v>46263</v>
      </c>
      <c r="L88" s="223">
        <v>45898</v>
      </c>
      <c r="M88" s="223"/>
      <c r="N88" s="215">
        <v>0</v>
      </c>
      <c r="O88" s="222">
        <v>1</v>
      </c>
      <c r="P88" s="222">
        <v>0</v>
      </c>
    </row>
    <row r="89" spans="1:16" ht="15.5" x14ac:dyDescent="0.35">
      <c r="A89" s="214" t="s">
        <v>892</v>
      </c>
      <c r="B89" s="214" t="s">
        <v>740</v>
      </c>
      <c r="C89" s="222">
        <v>850</v>
      </c>
      <c r="D89" s="214" t="s">
        <v>893</v>
      </c>
      <c r="E89" s="214" t="s">
        <v>750</v>
      </c>
      <c r="F89" s="214" t="s">
        <v>289</v>
      </c>
      <c r="G89" s="215">
        <v>1199</v>
      </c>
      <c r="H89" s="215">
        <v>1099</v>
      </c>
      <c r="I89" s="215">
        <v>121.5</v>
      </c>
      <c r="J89" s="223">
        <v>45889</v>
      </c>
      <c r="K89" s="223">
        <v>46255</v>
      </c>
      <c r="L89" s="223">
        <v>45889</v>
      </c>
      <c r="M89" s="223"/>
      <c r="N89" s="215">
        <v>-1220</v>
      </c>
      <c r="O89" s="222">
        <v>0</v>
      </c>
      <c r="P89" s="222">
        <v>0</v>
      </c>
    </row>
    <row r="90" spans="1:16" ht="15.5" x14ac:dyDescent="0.35">
      <c r="A90" s="214" t="s">
        <v>894</v>
      </c>
      <c r="B90" s="214" t="s">
        <v>740</v>
      </c>
      <c r="C90" s="222">
        <v>850</v>
      </c>
      <c r="D90" s="214" t="s">
        <v>895</v>
      </c>
      <c r="E90" s="214" t="s">
        <v>750</v>
      </c>
      <c r="F90" s="214" t="s">
        <v>289</v>
      </c>
      <c r="G90" s="215">
        <v>1199</v>
      </c>
      <c r="H90" s="215">
        <v>1099</v>
      </c>
      <c r="I90" s="215">
        <v>121.5</v>
      </c>
      <c r="J90" s="223">
        <v>45920</v>
      </c>
      <c r="K90" s="223">
        <v>46295</v>
      </c>
      <c r="L90" s="223">
        <v>45920</v>
      </c>
      <c r="M90" s="223"/>
      <c r="N90" s="215">
        <v>0</v>
      </c>
      <c r="O90" s="222">
        <v>0</v>
      </c>
      <c r="P90" s="222">
        <v>0</v>
      </c>
    </row>
    <row r="91" spans="1:16" ht="15.5" x14ac:dyDescent="0.35">
      <c r="A91" s="214" t="s">
        <v>896</v>
      </c>
      <c r="B91" s="214" t="s">
        <v>798</v>
      </c>
      <c r="C91" s="222">
        <v>800</v>
      </c>
      <c r="D91" s="214" t="s">
        <v>897</v>
      </c>
      <c r="E91" s="214" t="s">
        <v>750</v>
      </c>
      <c r="F91" s="214" t="s">
        <v>289</v>
      </c>
      <c r="G91" s="215">
        <v>1049</v>
      </c>
      <c r="H91" s="215">
        <v>1099</v>
      </c>
      <c r="I91" s="215">
        <v>124</v>
      </c>
      <c r="J91" s="223">
        <v>45516</v>
      </c>
      <c r="K91" s="223">
        <v>46245</v>
      </c>
      <c r="L91" s="223">
        <v>45516</v>
      </c>
      <c r="M91" s="223"/>
      <c r="N91" s="215">
        <v>0</v>
      </c>
      <c r="O91" s="222">
        <v>0</v>
      </c>
      <c r="P91" s="222">
        <v>0</v>
      </c>
    </row>
    <row r="92" spans="1:16" ht="15.5" x14ac:dyDescent="0.35">
      <c r="A92" s="214" t="s">
        <v>898</v>
      </c>
      <c r="B92" s="214" t="s">
        <v>740</v>
      </c>
      <c r="C92" s="222">
        <v>850</v>
      </c>
      <c r="D92" s="214" t="s">
        <v>899</v>
      </c>
      <c r="E92" s="214" t="s">
        <v>750</v>
      </c>
      <c r="F92" s="214" t="s">
        <v>289</v>
      </c>
      <c r="G92" s="215">
        <v>1199</v>
      </c>
      <c r="H92" s="215">
        <v>1099</v>
      </c>
      <c r="I92" s="215">
        <v>121.5</v>
      </c>
      <c r="J92" s="223">
        <v>45891</v>
      </c>
      <c r="K92" s="223">
        <v>46265</v>
      </c>
      <c r="L92" s="223">
        <v>45891</v>
      </c>
      <c r="M92" s="223"/>
      <c r="N92" s="215">
        <v>0</v>
      </c>
      <c r="O92" s="222">
        <v>0</v>
      </c>
      <c r="P92" s="222">
        <v>1</v>
      </c>
    </row>
    <row r="93" spans="1:16" ht="15.5" x14ac:dyDescent="0.35">
      <c r="A93" s="214" t="s">
        <v>900</v>
      </c>
      <c r="B93" s="214" t="s">
        <v>740</v>
      </c>
      <c r="C93" s="222">
        <v>850</v>
      </c>
      <c r="D93" s="214" t="s">
        <v>901</v>
      </c>
      <c r="E93" s="214" t="s">
        <v>750</v>
      </c>
      <c r="F93" s="214" t="s">
        <v>289</v>
      </c>
      <c r="G93" s="215">
        <v>1199</v>
      </c>
      <c r="H93" s="215">
        <v>1099</v>
      </c>
      <c r="I93" s="215">
        <v>121.5</v>
      </c>
      <c r="J93" s="223">
        <v>45897</v>
      </c>
      <c r="K93" s="223">
        <v>46261</v>
      </c>
      <c r="L93" s="223">
        <v>45897</v>
      </c>
      <c r="M93" s="223"/>
      <c r="N93" s="215">
        <v>0</v>
      </c>
      <c r="O93" s="222">
        <v>0</v>
      </c>
      <c r="P93" s="222">
        <v>0</v>
      </c>
    </row>
    <row r="94" spans="1:16" ht="15.5" x14ac:dyDescent="0.35">
      <c r="A94" s="214" t="s">
        <v>902</v>
      </c>
      <c r="B94" s="214" t="s">
        <v>740</v>
      </c>
      <c r="C94" s="222">
        <v>850</v>
      </c>
      <c r="D94" s="214" t="s">
        <v>903</v>
      </c>
      <c r="E94" s="214" t="s">
        <v>750</v>
      </c>
      <c r="F94" s="214" t="s">
        <v>289</v>
      </c>
      <c r="G94" s="215">
        <v>1199</v>
      </c>
      <c r="H94" s="215">
        <v>1099</v>
      </c>
      <c r="I94" s="215">
        <v>121.5</v>
      </c>
      <c r="J94" s="223">
        <v>45899</v>
      </c>
      <c r="K94" s="223">
        <v>46265</v>
      </c>
      <c r="L94" s="223">
        <v>45899</v>
      </c>
      <c r="M94" s="223"/>
      <c r="N94" s="215">
        <v>2980.14</v>
      </c>
      <c r="O94" s="222">
        <v>4</v>
      </c>
      <c r="P94" s="222">
        <v>1</v>
      </c>
    </row>
    <row r="95" spans="1:16" ht="15.5" x14ac:dyDescent="0.35">
      <c r="A95" s="214" t="s">
        <v>904</v>
      </c>
      <c r="B95" s="214" t="s">
        <v>740</v>
      </c>
      <c r="C95" s="222">
        <v>850</v>
      </c>
      <c r="D95" s="214" t="s">
        <v>905</v>
      </c>
      <c r="E95" s="214" t="s">
        <v>750</v>
      </c>
      <c r="F95" s="214" t="s">
        <v>289</v>
      </c>
      <c r="G95" s="215">
        <v>1199</v>
      </c>
      <c r="H95" s="215">
        <v>1099</v>
      </c>
      <c r="I95" s="215">
        <v>121.5</v>
      </c>
      <c r="J95" s="223">
        <v>45898</v>
      </c>
      <c r="K95" s="223">
        <v>46262</v>
      </c>
      <c r="L95" s="223">
        <v>45898</v>
      </c>
      <c r="M95" s="223"/>
      <c r="N95" s="215">
        <v>0</v>
      </c>
      <c r="O95" s="222">
        <v>0</v>
      </c>
      <c r="P95" s="222">
        <v>0</v>
      </c>
    </row>
    <row r="96" spans="1:16" ht="15.5" x14ac:dyDescent="0.35">
      <c r="A96" s="214" t="s">
        <v>906</v>
      </c>
      <c r="B96" s="214" t="s">
        <v>740</v>
      </c>
      <c r="C96" s="222">
        <v>850</v>
      </c>
      <c r="D96" s="214" t="s">
        <v>907</v>
      </c>
      <c r="E96" s="214" t="s">
        <v>750</v>
      </c>
      <c r="F96" s="214" t="s">
        <v>289</v>
      </c>
      <c r="G96" s="215">
        <v>1199</v>
      </c>
      <c r="H96" s="215">
        <v>1099</v>
      </c>
      <c r="I96" s="215">
        <v>121.5</v>
      </c>
      <c r="J96" s="223">
        <v>45910</v>
      </c>
      <c r="K96" s="223">
        <v>46295</v>
      </c>
      <c r="L96" s="223">
        <v>45919</v>
      </c>
      <c r="M96" s="223"/>
      <c r="N96" s="215">
        <v>0</v>
      </c>
      <c r="O96" s="222">
        <v>0</v>
      </c>
      <c r="P96" s="222">
        <v>0</v>
      </c>
    </row>
    <row r="97" spans="1:16" ht="15.5" x14ac:dyDescent="0.35">
      <c r="A97" s="214" t="s">
        <v>908</v>
      </c>
      <c r="B97" s="214" t="s">
        <v>740</v>
      </c>
      <c r="C97" s="222">
        <v>850</v>
      </c>
      <c r="D97" s="214" t="s">
        <v>909</v>
      </c>
      <c r="E97" s="214" t="s">
        <v>750</v>
      </c>
      <c r="F97" s="214" t="s">
        <v>289</v>
      </c>
      <c r="G97" s="215">
        <v>1149</v>
      </c>
      <c r="H97" s="215">
        <v>1100</v>
      </c>
      <c r="I97" s="215">
        <v>130.5</v>
      </c>
      <c r="J97" s="223">
        <v>45383</v>
      </c>
      <c r="K97" s="223">
        <v>45737</v>
      </c>
      <c r="L97" s="223">
        <v>45383</v>
      </c>
      <c r="M97" s="223"/>
      <c r="N97" s="215">
        <v>0</v>
      </c>
      <c r="O97" s="222">
        <v>0</v>
      </c>
      <c r="P97" s="222">
        <v>0</v>
      </c>
    </row>
    <row r="98" spans="1:16" ht="15.5" x14ac:dyDescent="0.35">
      <c r="A98" s="214" t="s">
        <v>910</v>
      </c>
      <c r="B98" s="214" t="s">
        <v>740</v>
      </c>
      <c r="C98" s="222">
        <v>850</v>
      </c>
      <c r="D98" s="214" t="s">
        <v>911</v>
      </c>
      <c r="E98" s="214" t="s">
        <v>912</v>
      </c>
      <c r="F98" s="214" t="s">
        <v>289</v>
      </c>
      <c r="G98" s="215">
        <v>1149</v>
      </c>
      <c r="H98" s="215">
        <v>1100</v>
      </c>
      <c r="I98" s="215">
        <v>119</v>
      </c>
      <c r="J98" s="223">
        <v>45272</v>
      </c>
      <c r="K98" s="223">
        <v>46022</v>
      </c>
      <c r="L98" s="223">
        <v>45272</v>
      </c>
      <c r="M98" s="223">
        <v>46022</v>
      </c>
      <c r="N98" s="215">
        <v>0</v>
      </c>
      <c r="O98" s="222">
        <v>0</v>
      </c>
      <c r="P98" s="222">
        <v>0</v>
      </c>
    </row>
    <row r="99" spans="1:16" ht="15.5" x14ac:dyDescent="0.35">
      <c r="A99" s="214" t="s">
        <v>913</v>
      </c>
      <c r="B99" s="214" t="s">
        <v>745</v>
      </c>
      <c r="C99" s="222">
        <v>650</v>
      </c>
      <c r="D99" s="214" t="s">
        <v>914</v>
      </c>
      <c r="E99" s="214" t="s">
        <v>750</v>
      </c>
      <c r="F99" s="214" t="s">
        <v>289</v>
      </c>
      <c r="G99" s="215">
        <v>1029</v>
      </c>
      <c r="H99" s="215">
        <v>1101</v>
      </c>
      <c r="I99" s="215">
        <v>91</v>
      </c>
      <c r="J99" s="223">
        <v>43686</v>
      </c>
      <c r="K99" s="223">
        <v>46265</v>
      </c>
      <c r="L99" s="223">
        <v>43686</v>
      </c>
      <c r="M99" s="223"/>
      <c r="N99" s="215">
        <v>0</v>
      </c>
      <c r="O99" s="222">
        <v>0</v>
      </c>
      <c r="P99" s="222">
        <v>0</v>
      </c>
    </row>
    <row r="100" spans="1:16" ht="15.5" x14ac:dyDescent="0.35">
      <c r="A100" s="214" t="s">
        <v>915</v>
      </c>
      <c r="B100" s="214" t="s">
        <v>745</v>
      </c>
      <c r="C100" s="222">
        <v>650</v>
      </c>
      <c r="D100" s="214" t="s">
        <v>916</v>
      </c>
      <c r="E100" s="214" t="s">
        <v>750</v>
      </c>
      <c r="F100" s="214" t="s">
        <v>289</v>
      </c>
      <c r="G100" s="215">
        <v>1029</v>
      </c>
      <c r="H100" s="215">
        <v>1108</v>
      </c>
      <c r="I100" s="215">
        <v>-1</v>
      </c>
      <c r="J100" s="223">
        <v>45809</v>
      </c>
      <c r="K100" s="223">
        <v>46173</v>
      </c>
      <c r="L100" s="223">
        <v>45809</v>
      </c>
      <c r="M100" s="223"/>
      <c r="N100" s="215">
        <v>0</v>
      </c>
      <c r="O100" s="222">
        <v>0</v>
      </c>
      <c r="P100" s="222">
        <v>2</v>
      </c>
    </row>
    <row r="101" spans="1:16" ht="15.5" x14ac:dyDescent="0.35">
      <c r="A101" s="214" t="s">
        <v>917</v>
      </c>
      <c r="B101" s="214" t="s">
        <v>740</v>
      </c>
      <c r="C101" s="222">
        <v>850</v>
      </c>
      <c r="D101" s="214" t="s">
        <v>918</v>
      </c>
      <c r="E101" s="214" t="s">
        <v>750</v>
      </c>
      <c r="F101" s="214" t="s">
        <v>289</v>
      </c>
      <c r="G101" s="215">
        <v>1149</v>
      </c>
      <c r="H101" s="215">
        <v>1128</v>
      </c>
      <c r="I101" s="215">
        <v>98.5</v>
      </c>
      <c r="J101" s="223">
        <v>40634</v>
      </c>
      <c r="K101" s="223">
        <v>46044</v>
      </c>
      <c r="L101" s="223">
        <v>40634</v>
      </c>
      <c r="M101" s="223"/>
      <c r="N101" s="215">
        <v>0</v>
      </c>
      <c r="O101" s="222">
        <v>0</v>
      </c>
      <c r="P101" s="222">
        <v>0</v>
      </c>
    </row>
    <row r="102" spans="1:16" ht="15.5" x14ac:dyDescent="0.35">
      <c r="A102" s="214" t="s">
        <v>919</v>
      </c>
      <c r="B102" s="214" t="s">
        <v>740</v>
      </c>
      <c r="C102" s="222">
        <v>850</v>
      </c>
      <c r="D102" s="214" t="s">
        <v>920</v>
      </c>
      <c r="E102" s="214" t="s">
        <v>750</v>
      </c>
      <c r="F102" s="214" t="s">
        <v>289</v>
      </c>
      <c r="G102" s="215">
        <v>1149</v>
      </c>
      <c r="H102" s="215">
        <v>1130</v>
      </c>
      <c r="I102" s="215">
        <v>139.5</v>
      </c>
      <c r="J102" s="223">
        <v>45931</v>
      </c>
      <c r="K102" s="223">
        <v>46295</v>
      </c>
      <c r="L102" s="223">
        <v>45110</v>
      </c>
      <c r="M102" s="223"/>
      <c r="N102" s="215">
        <v>0</v>
      </c>
      <c r="O102" s="222">
        <v>0</v>
      </c>
      <c r="P102" s="222">
        <v>0</v>
      </c>
    </row>
    <row r="103" spans="1:16" ht="15.5" x14ac:dyDescent="0.35">
      <c r="A103" s="214" t="s">
        <v>921</v>
      </c>
      <c r="B103" s="214" t="s">
        <v>740</v>
      </c>
      <c r="C103" s="222">
        <v>850</v>
      </c>
      <c r="D103" s="214" t="s">
        <v>922</v>
      </c>
      <c r="E103" s="214" t="s">
        <v>750</v>
      </c>
      <c r="F103" s="214" t="s">
        <v>289</v>
      </c>
      <c r="G103" s="215">
        <v>1199</v>
      </c>
      <c r="H103" s="215">
        <v>1149</v>
      </c>
      <c r="I103" s="215">
        <v>121.5</v>
      </c>
      <c r="J103" s="223">
        <v>45930</v>
      </c>
      <c r="K103" s="223">
        <v>46295</v>
      </c>
      <c r="L103" s="223">
        <v>45930</v>
      </c>
      <c r="M103" s="223"/>
      <c r="N103" s="215">
        <v>1640.5</v>
      </c>
      <c r="O103" s="222">
        <v>0</v>
      </c>
      <c r="P103" s="222">
        <v>1</v>
      </c>
    </row>
    <row r="104" spans="1:16" ht="15.5" x14ac:dyDescent="0.35">
      <c r="A104" s="214" t="s">
        <v>923</v>
      </c>
      <c r="B104" s="214" t="s">
        <v>740</v>
      </c>
      <c r="C104" s="222">
        <v>850</v>
      </c>
      <c r="D104" s="214" t="s">
        <v>924</v>
      </c>
      <c r="E104" s="214" t="s">
        <v>750</v>
      </c>
      <c r="F104" s="214" t="s">
        <v>289</v>
      </c>
      <c r="G104" s="215">
        <v>1199</v>
      </c>
      <c r="H104" s="215">
        <v>1149</v>
      </c>
      <c r="I104" s="215">
        <v>121.5</v>
      </c>
      <c r="J104" s="223">
        <v>45941</v>
      </c>
      <c r="K104" s="223">
        <v>46305</v>
      </c>
      <c r="L104" s="223">
        <v>45941</v>
      </c>
      <c r="M104" s="223"/>
      <c r="N104" s="215">
        <v>-10.050000000000001</v>
      </c>
      <c r="O104" s="222">
        <v>0</v>
      </c>
      <c r="P104" s="222">
        <v>1</v>
      </c>
    </row>
    <row r="105" spans="1:16" ht="15.5" x14ac:dyDescent="0.35">
      <c r="A105" s="214" t="s">
        <v>925</v>
      </c>
      <c r="B105" s="214" t="s">
        <v>740</v>
      </c>
      <c r="C105" s="222">
        <v>850</v>
      </c>
      <c r="D105" s="214" t="s">
        <v>926</v>
      </c>
      <c r="E105" s="214" t="s">
        <v>750</v>
      </c>
      <c r="F105" s="214" t="s">
        <v>289</v>
      </c>
      <c r="G105" s="215">
        <v>1149</v>
      </c>
      <c r="H105" s="215">
        <v>1150</v>
      </c>
      <c r="I105" s="215">
        <v>79.5</v>
      </c>
      <c r="J105" s="223">
        <v>44558</v>
      </c>
      <c r="K105" s="223">
        <v>46024</v>
      </c>
      <c r="L105" s="223">
        <v>44558</v>
      </c>
      <c r="M105" s="223"/>
      <c r="N105" s="215">
        <v>0</v>
      </c>
      <c r="O105" s="222">
        <v>0</v>
      </c>
      <c r="P105" s="222">
        <v>1</v>
      </c>
    </row>
    <row r="106" spans="1:16" ht="15.5" x14ac:dyDescent="0.35">
      <c r="A106" s="214" t="s">
        <v>927</v>
      </c>
      <c r="B106" s="214" t="s">
        <v>740</v>
      </c>
      <c r="C106" s="222">
        <v>850</v>
      </c>
      <c r="D106" s="214" t="s">
        <v>928</v>
      </c>
      <c r="E106" s="214" t="s">
        <v>750</v>
      </c>
      <c r="F106" s="214" t="s">
        <v>289</v>
      </c>
      <c r="G106" s="215">
        <v>1149</v>
      </c>
      <c r="H106" s="215">
        <v>1150</v>
      </c>
      <c r="I106" s="215">
        <v>134.5</v>
      </c>
      <c r="J106" s="223">
        <v>45164</v>
      </c>
      <c r="K106" s="223">
        <v>46259</v>
      </c>
      <c r="L106" s="223">
        <v>45164</v>
      </c>
      <c r="M106" s="223"/>
      <c r="N106" s="215">
        <v>0</v>
      </c>
      <c r="O106" s="222">
        <v>0</v>
      </c>
      <c r="P106" s="222">
        <v>0</v>
      </c>
    </row>
    <row r="107" spans="1:16" ht="15.5" x14ac:dyDescent="0.35">
      <c r="A107" s="214" t="s">
        <v>929</v>
      </c>
      <c r="B107" s="214" t="s">
        <v>740</v>
      </c>
      <c r="C107" s="222">
        <v>850</v>
      </c>
      <c r="D107" s="214" t="s">
        <v>930</v>
      </c>
      <c r="E107" s="214" t="s">
        <v>750</v>
      </c>
      <c r="F107" s="214" t="s">
        <v>289</v>
      </c>
      <c r="G107" s="215">
        <v>1149</v>
      </c>
      <c r="H107" s="215">
        <v>1150</v>
      </c>
      <c r="I107" s="215">
        <v>179.5</v>
      </c>
      <c r="J107" s="223">
        <v>45113</v>
      </c>
      <c r="K107" s="223">
        <v>45869</v>
      </c>
      <c r="L107" s="223">
        <v>45113</v>
      </c>
      <c r="M107" s="223"/>
      <c r="N107" s="215">
        <v>0</v>
      </c>
      <c r="O107" s="222">
        <v>0</v>
      </c>
      <c r="P107" s="222">
        <v>0</v>
      </c>
    </row>
    <row r="108" spans="1:16" ht="15.5" x14ac:dyDescent="0.35">
      <c r="A108" s="214" t="s">
        <v>931</v>
      </c>
      <c r="B108" s="214" t="s">
        <v>740</v>
      </c>
      <c r="C108" s="222">
        <v>850</v>
      </c>
      <c r="D108" s="214" t="s">
        <v>932</v>
      </c>
      <c r="E108" s="214" t="s">
        <v>750</v>
      </c>
      <c r="F108" s="214" t="s">
        <v>289</v>
      </c>
      <c r="G108" s="215">
        <v>1149</v>
      </c>
      <c r="H108" s="215">
        <v>1150</v>
      </c>
      <c r="I108" s="215">
        <v>134.5</v>
      </c>
      <c r="J108" s="223">
        <v>45243</v>
      </c>
      <c r="K108" s="223">
        <v>46356</v>
      </c>
      <c r="L108" s="223">
        <v>45243</v>
      </c>
      <c r="M108" s="223"/>
      <c r="N108" s="215">
        <v>0</v>
      </c>
      <c r="O108" s="222">
        <v>0</v>
      </c>
      <c r="P108" s="222">
        <v>0</v>
      </c>
    </row>
    <row r="109" spans="1:16" ht="15.5" x14ac:dyDescent="0.35">
      <c r="A109" s="214" t="s">
        <v>933</v>
      </c>
      <c r="B109" s="214" t="s">
        <v>798</v>
      </c>
      <c r="C109" s="222">
        <v>800</v>
      </c>
      <c r="D109" s="214" t="s">
        <v>934</v>
      </c>
      <c r="E109" s="214" t="s">
        <v>750</v>
      </c>
      <c r="F109" s="214" t="s">
        <v>289</v>
      </c>
      <c r="G109" s="215">
        <v>1049</v>
      </c>
      <c r="H109" s="215">
        <v>1150</v>
      </c>
      <c r="I109" s="215">
        <v>149.5</v>
      </c>
      <c r="J109" s="223">
        <v>45288</v>
      </c>
      <c r="K109" s="223">
        <v>46018</v>
      </c>
      <c r="L109" s="223">
        <v>45288</v>
      </c>
      <c r="M109" s="223"/>
      <c r="N109" s="215">
        <v>-50.5</v>
      </c>
      <c r="O109" s="222">
        <v>0</v>
      </c>
      <c r="P109" s="222">
        <v>0</v>
      </c>
    </row>
    <row r="110" spans="1:16" ht="15.5" x14ac:dyDescent="0.35">
      <c r="A110" s="214" t="s">
        <v>935</v>
      </c>
      <c r="B110" s="214" t="s">
        <v>740</v>
      </c>
      <c r="C110" s="222">
        <v>850</v>
      </c>
      <c r="D110" s="214" t="s">
        <v>936</v>
      </c>
      <c r="E110" s="214" t="s">
        <v>750</v>
      </c>
      <c r="F110" s="214" t="s">
        <v>289</v>
      </c>
      <c r="G110" s="215">
        <v>1149</v>
      </c>
      <c r="H110" s="215">
        <v>1157</v>
      </c>
      <c r="I110" s="215">
        <v>142.5</v>
      </c>
      <c r="J110" s="223">
        <v>44938</v>
      </c>
      <c r="K110" s="223">
        <v>46033</v>
      </c>
      <c r="L110" s="223">
        <v>44938</v>
      </c>
      <c r="M110" s="223"/>
      <c r="N110" s="215">
        <v>0</v>
      </c>
      <c r="O110" s="222">
        <v>0</v>
      </c>
      <c r="P110" s="222">
        <v>0</v>
      </c>
    </row>
    <row r="111" spans="1:16" ht="15.5" x14ac:dyDescent="0.35">
      <c r="A111" s="214" t="s">
        <v>937</v>
      </c>
      <c r="B111" s="214" t="s">
        <v>740</v>
      </c>
      <c r="C111" s="222">
        <v>850</v>
      </c>
      <c r="D111" s="214" t="s">
        <v>938</v>
      </c>
      <c r="E111" s="214" t="s">
        <v>747</v>
      </c>
      <c r="F111" s="214" t="s">
        <v>290</v>
      </c>
      <c r="G111" s="215">
        <v>1149</v>
      </c>
      <c r="H111" s="215">
        <v>1175</v>
      </c>
      <c r="I111" s="215">
        <v>134.5</v>
      </c>
      <c r="J111" s="223">
        <v>45084</v>
      </c>
      <c r="K111" s="223">
        <v>46234</v>
      </c>
      <c r="L111" s="223">
        <v>45084</v>
      </c>
      <c r="M111" s="223"/>
      <c r="N111" s="215">
        <v>4678.5</v>
      </c>
      <c r="O111" s="222">
        <v>0</v>
      </c>
      <c r="P111" s="222">
        <v>4</v>
      </c>
    </row>
    <row r="112" spans="1:16" ht="15.5" x14ac:dyDescent="0.35">
      <c r="A112" s="214" t="s">
        <v>939</v>
      </c>
      <c r="B112" s="214" t="s">
        <v>740</v>
      </c>
      <c r="C112" s="222">
        <v>850</v>
      </c>
      <c r="D112" s="214" t="s">
        <v>940</v>
      </c>
      <c r="E112" s="214" t="s">
        <v>750</v>
      </c>
      <c r="F112" s="214" t="s">
        <v>289</v>
      </c>
      <c r="G112" s="215">
        <v>1149</v>
      </c>
      <c r="H112" s="215">
        <v>1199</v>
      </c>
      <c r="I112" s="215">
        <v>151.5</v>
      </c>
      <c r="J112" s="223">
        <v>45017</v>
      </c>
      <c r="K112" s="223">
        <v>45747</v>
      </c>
      <c r="L112" s="223">
        <v>45017</v>
      </c>
      <c r="M112" s="223"/>
      <c r="N112" s="215">
        <v>0</v>
      </c>
      <c r="O112" s="222">
        <v>0</v>
      </c>
      <c r="P112" s="222">
        <v>0</v>
      </c>
    </row>
    <row r="113" spans="1:16" ht="15.5" x14ac:dyDescent="0.35">
      <c r="A113" s="214" t="s">
        <v>943</v>
      </c>
      <c r="B113" s="214" t="s">
        <v>798</v>
      </c>
      <c r="C113" s="222">
        <v>800</v>
      </c>
      <c r="D113" s="214" t="s">
        <v>944</v>
      </c>
      <c r="E113" s="214" t="s">
        <v>750</v>
      </c>
      <c r="F113" s="214" t="s">
        <v>289</v>
      </c>
      <c r="G113" s="215">
        <v>1049</v>
      </c>
      <c r="H113" s="215">
        <v>1199</v>
      </c>
      <c r="I113" s="215">
        <v>131.5</v>
      </c>
      <c r="J113" s="223">
        <v>45562</v>
      </c>
      <c r="K113" s="223">
        <v>46295</v>
      </c>
      <c r="L113" s="223">
        <v>45562</v>
      </c>
      <c r="M113" s="223"/>
      <c r="N113" s="215">
        <v>0</v>
      </c>
      <c r="O113" s="222">
        <v>0</v>
      </c>
      <c r="P113" s="222">
        <v>3</v>
      </c>
    </row>
    <row r="114" spans="1:16" ht="15.5" x14ac:dyDescent="0.35">
      <c r="A114" s="214" t="s">
        <v>945</v>
      </c>
      <c r="B114" s="214" t="s">
        <v>740</v>
      </c>
      <c r="C114" s="222">
        <v>850</v>
      </c>
      <c r="D114" s="214" t="s">
        <v>946</v>
      </c>
      <c r="E114" s="214" t="s">
        <v>750</v>
      </c>
      <c r="F114" s="214" t="s">
        <v>289</v>
      </c>
      <c r="G114" s="215">
        <v>1149</v>
      </c>
      <c r="H114" s="215">
        <v>1199</v>
      </c>
      <c r="I114" s="215">
        <v>142.5</v>
      </c>
      <c r="J114" s="223">
        <v>42749</v>
      </c>
      <c r="K114" s="223">
        <v>46297</v>
      </c>
      <c r="L114" s="223">
        <v>42749</v>
      </c>
      <c r="M114" s="223"/>
      <c r="N114" s="215">
        <v>0</v>
      </c>
      <c r="O114" s="222">
        <v>0</v>
      </c>
      <c r="P114" s="222">
        <v>0</v>
      </c>
    </row>
    <row r="115" spans="1:16" ht="15.5" x14ac:dyDescent="0.35">
      <c r="A115" s="214" t="s">
        <v>742</v>
      </c>
      <c r="B115" s="214" t="s">
        <v>743</v>
      </c>
      <c r="C115" s="222">
        <v>1150</v>
      </c>
      <c r="D115" s="214" t="s">
        <v>1045</v>
      </c>
      <c r="E115" s="214" t="s">
        <v>750</v>
      </c>
      <c r="F115" s="214" t="s">
        <v>289</v>
      </c>
      <c r="G115" s="215">
        <v>1399</v>
      </c>
      <c r="H115" s="215">
        <v>1199</v>
      </c>
      <c r="I115" s="215">
        <v>121.5</v>
      </c>
      <c r="J115" s="223">
        <v>45971</v>
      </c>
      <c r="K115" s="223">
        <v>46335</v>
      </c>
      <c r="L115" s="223">
        <v>45971</v>
      </c>
      <c r="M115" s="223"/>
      <c r="N115" s="215">
        <v>0</v>
      </c>
      <c r="O115" s="222">
        <v>0</v>
      </c>
      <c r="P115" s="222">
        <v>0</v>
      </c>
    </row>
    <row r="116" spans="1:16" ht="15.5" x14ac:dyDescent="0.35">
      <c r="A116" s="214" t="s">
        <v>947</v>
      </c>
      <c r="B116" s="214" t="s">
        <v>740</v>
      </c>
      <c r="C116" s="222">
        <v>850</v>
      </c>
      <c r="D116" s="214" t="s">
        <v>948</v>
      </c>
      <c r="E116" s="214" t="s">
        <v>750</v>
      </c>
      <c r="F116" s="214" t="s">
        <v>289</v>
      </c>
      <c r="G116" s="215">
        <v>1149</v>
      </c>
      <c r="H116" s="215">
        <v>1199</v>
      </c>
      <c r="I116" s="215">
        <v>158.5</v>
      </c>
      <c r="J116" s="223">
        <v>44778</v>
      </c>
      <c r="K116" s="223">
        <v>45754</v>
      </c>
      <c r="L116" s="223">
        <v>44778</v>
      </c>
      <c r="M116" s="223"/>
      <c r="N116" s="215">
        <v>0</v>
      </c>
      <c r="O116" s="222">
        <v>0</v>
      </c>
      <c r="P116" s="222">
        <v>0</v>
      </c>
    </row>
    <row r="117" spans="1:16" ht="15.5" x14ac:dyDescent="0.35">
      <c r="A117" s="214" t="s">
        <v>949</v>
      </c>
      <c r="B117" s="214" t="s">
        <v>740</v>
      </c>
      <c r="C117" s="222">
        <v>850</v>
      </c>
      <c r="D117" s="214" t="s">
        <v>950</v>
      </c>
      <c r="E117" s="214" t="s">
        <v>750</v>
      </c>
      <c r="F117" s="214" t="s">
        <v>289</v>
      </c>
      <c r="G117" s="215">
        <v>1149</v>
      </c>
      <c r="H117" s="215">
        <v>1199</v>
      </c>
      <c r="I117" s="215">
        <v>121.5</v>
      </c>
      <c r="J117" s="223">
        <v>45536</v>
      </c>
      <c r="K117" s="223">
        <v>46263</v>
      </c>
      <c r="L117" s="223">
        <v>45534</v>
      </c>
      <c r="M117" s="223"/>
      <c r="N117" s="215">
        <v>0</v>
      </c>
      <c r="O117" s="222">
        <v>0</v>
      </c>
      <c r="P117" s="222">
        <v>0</v>
      </c>
    </row>
    <row r="118" spans="1:16" ht="15.5" x14ac:dyDescent="0.35">
      <c r="A118" s="214" t="s">
        <v>953</v>
      </c>
      <c r="B118" s="214" t="s">
        <v>740</v>
      </c>
      <c r="C118" s="222">
        <v>850</v>
      </c>
      <c r="D118" s="214" t="s">
        <v>954</v>
      </c>
      <c r="E118" s="214" t="s">
        <v>750</v>
      </c>
      <c r="F118" s="214" t="s">
        <v>289</v>
      </c>
      <c r="G118" s="215">
        <v>1199</v>
      </c>
      <c r="H118" s="215">
        <v>1200</v>
      </c>
      <c r="I118" s="215">
        <v>121.5</v>
      </c>
      <c r="J118" s="223">
        <v>45579</v>
      </c>
      <c r="K118" s="223">
        <v>45961</v>
      </c>
      <c r="L118" s="223">
        <v>45579</v>
      </c>
      <c r="M118" s="223"/>
      <c r="N118" s="215">
        <v>0</v>
      </c>
      <c r="O118" s="222">
        <v>0</v>
      </c>
      <c r="P118" s="222">
        <v>0</v>
      </c>
    </row>
    <row r="119" spans="1:16" ht="15.5" x14ac:dyDescent="0.35">
      <c r="A119" s="214" t="s">
        <v>955</v>
      </c>
      <c r="B119" s="214" t="s">
        <v>740</v>
      </c>
      <c r="C119" s="222">
        <v>850</v>
      </c>
      <c r="D119" s="214" t="s">
        <v>956</v>
      </c>
      <c r="E119" s="214" t="s">
        <v>750</v>
      </c>
      <c r="F119" s="214" t="s">
        <v>289</v>
      </c>
      <c r="G119" s="215">
        <v>1149</v>
      </c>
      <c r="H119" s="215">
        <v>1200</v>
      </c>
      <c r="I119" s="215">
        <v>121.5</v>
      </c>
      <c r="J119" s="223">
        <v>45630</v>
      </c>
      <c r="K119" s="223">
        <v>46359</v>
      </c>
      <c r="L119" s="223">
        <v>45630</v>
      </c>
      <c r="M119" s="223"/>
      <c r="N119" s="215">
        <v>0</v>
      </c>
      <c r="O119" s="222">
        <v>0</v>
      </c>
      <c r="P119" s="222">
        <v>0</v>
      </c>
    </row>
    <row r="120" spans="1:16" ht="15.5" x14ac:dyDescent="0.35">
      <c r="A120" s="214" t="s">
        <v>959</v>
      </c>
      <c r="B120" s="214" t="s">
        <v>740</v>
      </c>
      <c r="C120" s="222">
        <v>850</v>
      </c>
      <c r="D120" s="214" t="s">
        <v>960</v>
      </c>
      <c r="E120" s="214" t="s">
        <v>750</v>
      </c>
      <c r="F120" s="214" t="s">
        <v>289</v>
      </c>
      <c r="G120" s="215">
        <v>1199</v>
      </c>
      <c r="H120" s="215">
        <v>1200</v>
      </c>
      <c r="I120" s="215">
        <v>121.5</v>
      </c>
      <c r="J120" s="223">
        <v>45638</v>
      </c>
      <c r="K120" s="223">
        <v>46002</v>
      </c>
      <c r="L120" s="223">
        <v>45638</v>
      </c>
      <c r="M120" s="223"/>
      <c r="N120" s="215">
        <v>1571.5</v>
      </c>
      <c r="O120" s="222">
        <v>0</v>
      </c>
      <c r="P120" s="222">
        <v>1</v>
      </c>
    </row>
    <row r="121" spans="1:16" ht="15.5" x14ac:dyDescent="0.35">
      <c r="A121" s="214" t="s">
        <v>961</v>
      </c>
      <c r="B121" s="214" t="s">
        <v>740</v>
      </c>
      <c r="C121" s="222">
        <v>850</v>
      </c>
      <c r="D121" s="214" t="s">
        <v>962</v>
      </c>
      <c r="E121" s="214" t="s">
        <v>750</v>
      </c>
      <c r="F121" s="214" t="s">
        <v>289</v>
      </c>
      <c r="G121" s="215">
        <v>1199</v>
      </c>
      <c r="H121" s="215">
        <v>1200</v>
      </c>
      <c r="I121" s="215">
        <v>108.5</v>
      </c>
      <c r="J121" s="223">
        <v>45681</v>
      </c>
      <c r="K121" s="223">
        <v>46045</v>
      </c>
      <c r="L121" s="223">
        <v>45681</v>
      </c>
      <c r="M121" s="223"/>
      <c r="N121" s="215">
        <v>0</v>
      </c>
      <c r="O121" s="222">
        <v>0</v>
      </c>
      <c r="P121" s="222">
        <v>0</v>
      </c>
    </row>
    <row r="122" spans="1:16" ht="15.5" x14ac:dyDescent="0.35">
      <c r="A122" s="214" t="s">
        <v>963</v>
      </c>
      <c r="B122" s="214" t="s">
        <v>740</v>
      </c>
      <c r="C122" s="222">
        <v>850</v>
      </c>
      <c r="D122" s="214" t="s">
        <v>964</v>
      </c>
      <c r="E122" s="214" t="s">
        <v>750</v>
      </c>
      <c r="F122" s="214" t="s">
        <v>289</v>
      </c>
      <c r="G122" s="215">
        <v>1199</v>
      </c>
      <c r="H122" s="215">
        <v>1200</v>
      </c>
      <c r="I122" s="215">
        <v>138.5</v>
      </c>
      <c r="J122" s="223">
        <v>45677</v>
      </c>
      <c r="K122" s="223">
        <v>46041</v>
      </c>
      <c r="L122" s="223">
        <v>45673</v>
      </c>
      <c r="M122" s="223"/>
      <c r="N122" s="215">
        <v>0</v>
      </c>
      <c r="O122" s="222">
        <v>0</v>
      </c>
      <c r="P122" s="222">
        <v>0</v>
      </c>
    </row>
    <row r="123" spans="1:16" ht="15.5" x14ac:dyDescent="0.35">
      <c r="A123" s="214" t="s">
        <v>965</v>
      </c>
      <c r="B123" s="214" t="s">
        <v>740</v>
      </c>
      <c r="C123" s="222">
        <v>850</v>
      </c>
      <c r="D123" s="214" t="s">
        <v>966</v>
      </c>
      <c r="E123" s="214" t="s">
        <v>750</v>
      </c>
      <c r="F123" s="214" t="s">
        <v>289</v>
      </c>
      <c r="G123" s="215">
        <v>1199</v>
      </c>
      <c r="H123" s="215">
        <v>1200</v>
      </c>
      <c r="I123" s="215">
        <v>121.5</v>
      </c>
      <c r="J123" s="223">
        <v>45663</v>
      </c>
      <c r="K123" s="223">
        <v>46392</v>
      </c>
      <c r="L123" s="223">
        <v>45663</v>
      </c>
      <c r="M123" s="223"/>
      <c r="N123" s="215">
        <v>636</v>
      </c>
      <c r="O123" s="222">
        <v>0</v>
      </c>
      <c r="P123" s="222">
        <v>3</v>
      </c>
    </row>
    <row r="124" spans="1:16" ht="15.5" x14ac:dyDescent="0.35">
      <c r="A124" s="214" t="s">
        <v>969</v>
      </c>
      <c r="B124" s="214" t="s">
        <v>740</v>
      </c>
      <c r="C124" s="222">
        <v>850</v>
      </c>
      <c r="D124" s="214" t="s">
        <v>970</v>
      </c>
      <c r="E124" s="214" t="s">
        <v>750</v>
      </c>
      <c r="F124" s="214" t="s">
        <v>289</v>
      </c>
      <c r="G124" s="215">
        <v>1149</v>
      </c>
      <c r="H124" s="215">
        <v>1200</v>
      </c>
      <c r="I124" s="215">
        <v>106</v>
      </c>
      <c r="J124" s="223">
        <v>45643</v>
      </c>
      <c r="K124" s="223">
        <v>46372</v>
      </c>
      <c r="L124" s="223">
        <v>45643</v>
      </c>
      <c r="M124" s="223"/>
      <c r="N124" s="215">
        <v>-6.5</v>
      </c>
      <c r="O124" s="222">
        <v>0</v>
      </c>
      <c r="P124" s="222">
        <v>0</v>
      </c>
    </row>
    <row r="125" spans="1:16" ht="15.5" x14ac:dyDescent="0.35">
      <c r="A125" s="214" t="s">
        <v>971</v>
      </c>
      <c r="B125" s="214" t="s">
        <v>740</v>
      </c>
      <c r="C125" s="222">
        <v>850</v>
      </c>
      <c r="D125" s="214" t="s">
        <v>972</v>
      </c>
      <c r="E125" s="214" t="s">
        <v>750</v>
      </c>
      <c r="F125" s="214" t="s">
        <v>289</v>
      </c>
      <c r="G125" s="215">
        <v>1199</v>
      </c>
      <c r="H125" s="215">
        <v>1225</v>
      </c>
      <c r="I125" s="215">
        <v>121.5</v>
      </c>
      <c r="J125" s="223">
        <v>45584</v>
      </c>
      <c r="K125" s="223">
        <v>46325</v>
      </c>
      <c r="L125" s="223">
        <v>45584</v>
      </c>
      <c r="M125" s="223"/>
      <c r="N125" s="215">
        <v>1596.5</v>
      </c>
      <c r="O125" s="222">
        <v>0</v>
      </c>
      <c r="P125" s="222">
        <v>5</v>
      </c>
    </row>
    <row r="126" spans="1:16" ht="15.5" x14ac:dyDescent="0.35">
      <c r="A126" s="214" t="s">
        <v>951</v>
      </c>
      <c r="B126" s="214" t="s">
        <v>740</v>
      </c>
      <c r="C126" s="222">
        <v>850</v>
      </c>
      <c r="D126" s="214" t="s">
        <v>952</v>
      </c>
      <c r="E126" s="214" t="s">
        <v>750</v>
      </c>
      <c r="F126" s="214" t="s">
        <v>289</v>
      </c>
      <c r="G126" s="215">
        <v>1199</v>
      </c>
      <c r="H126" s="215">
        <v>1225</v>
      </c>
      <c r="I126" s="215">
        <v>106</v>
      </c>
      <c r="J126" s="223">
        <v>45956</v>
      </c>
      <c r="K126" s="223">
        <v>46320</v>
      </c>
      <c r="L126" s="223">
        <v>45591</v>
      </c>
      <c r="M126" s="223"/>
      <c r="N126" s="215">
        <v>0</v>
      </c>
      <c r="O126" s="222">
        <v>0</v>
      </c>
      <c r="P126" s="222">
        <v>0</v>
      </c>
    </row>
    <row r="127" spans="1:16" ht="15.5" x14ac:dyDescent="0.35">
      <c r="A127" s="214" t="s">
        <v>973</v>
      </c>
      <c r="B127" s="214" t="s">
        <v>743</v>
      </c>
      <c r="C127" s="222">
        <v>1150</v>
      </c>
      <c r="D127" s="214" t="s">
        <v>1046</v>
      </c>
      <c r="E127" s="214" t="s">
        <v>750</v>
      </c>
      <c r="F127" s="214" t="s">
        <v>289</v>
      </c>
      <c r="G127" s="215">
        <v>1399</v>
      </c>
      <c r="H127" s="215">
        <v>1280</v>
      </c>
      <c r="I127" s="215">
        <v>149.5</v>
      </c>
      <c r="J127" s="223">
        <v>43206</v>
      </c>
      <c r="K127" s="223">
        <v>46372</v>
      </c>
      <c r="L127" s="223">
        <v>43206</v>
      </c>
      <c r="M127" s="223"/>
      <c r="N127" s="215">
        <v>0</v>
      </c>
      <c r="O127" s="222">
        <v>0</v>
      </c>
      <c r="P127" s="222">
        <v>0</v>
      </c>
    </row>
    <row r="128" spans="1:16" ht="15.5" x14ac:dyDescent="0.35">
      <c r="A128" s="214" t="s">
        <v>975</v>
      </c>
      <c r="B128" s="214" t="s">
        <v>743</v>
      </c>
      <c r="C128" s="222">
        <v>1150</v>
      </c>
      <c r="D128" s="214" t="s">
        <v>976</v>
      </c>
      <c r="E128" s="214" t="s">
        <v>750</v>
      </c>
      <c r="F128" s="214" t="s">
        <v>289</v>
      </c>
      <c r="G128" s="215">
        <v>1399</v>
      </c>
      <c r="H128" s="215">
        <v>1290</v>
      </c>
      <c r="I128" s="215">
        <v>118.5</v>
      </c>
      <c r="J128" s="223">
        <v>44136</v>
      </c>
      <c r="K128" s="223">
        <v>46053</v>
      </c>
      <c r="L128" s="223">
        <v>44136</v>
      </c>
      <c r="M128" s="223"/>
      <c r="N128" s="215">
        <v>0</v>
      </c>
      <c r="O128" s="222">
        <v>0</v>
      </c>
      <c r="P128" s="222">
        <v>0</v>
      </c>
    </row>
    <row r="129" spans="1:16" ht="15.5" x14ac:dyDescent="0.35">
      <c r="A129" s="214" t="s">
        <v>995</v>
      </c>
      <c r="B129" s="214" t="s">
        <v>743</v>
      </c>
      <c r="C129" s="222">
        <v>1150</v>
      </c>
      <c r="D129" s="214" t="s">
        <v>1047</v>
      </c>
      <c r="E129" s="214" t="s">
        <v>750</v>
      </c>
      <c r="F129" s="214" t="s">
        <v>289</v>
      </c>
      <c r="G129" s="215">
        <v>1399</v>
      </c>
      <c r="H129" s="215">
        <v>1299</v>
      </c>
      <c r="I129" s="215">
        <v>121.5</v>
      </c>
      <c r="J129" s="223">
        <v>46003</v>
      </c>
      <c r="K129" s="223">
        <v>46367</v>
      </c>
      <c r="L129" s="223">
        <v>46003</v>
      </c>
      <c r="M129" s="223"/>
      <c r="N129" s="215">
        <v>931.46</v>
      </c>
      <c r="O129" s="222">
        <v>0</v>
      </c>
      <c r="P129" s="222">
        <v>0</v>
      </c>
    </row>
    <row r="130" spans="1:16" ht="15.5" x14ac:dyDescent="0.35">
      <c r="A130" s="214" t="s">
        <v>981</v>
      </c>
      <c r="B130" s="214" t="s">
        <v>740</v>
      </c>
      <c r="C130" s="222">
        <v>850</v>
      </c>
      <c r="D130" s="214" t="s">
        <v>982</v>
      </c>
      <c r="E130" s="214" t="s">
        <v>750</v>
      </c>
      <c r="F130" s="214" t="s">
        <v>289</v>
      </c>
      <c r="G130" s="215">
        <v>1199</v>
      </c>
      <c r="H130" s="215">
        <v>1300</v>
      </c>
      <c r="I130" s="215">
        <v>123.5</v>
      </c>
      <c r="J130" s="223">
        <v>45749</v>
      </c>
      <c r="K130" s="223">
        <v>46113</v>
      </c>
      <c r="L130" s="223">
        <v>45749</v>
      </c>
      <c r="M130" s="223"/>
      <c r="N130" s="215">
        <v>0</v>
      </c>
      <c r="O130" s="222">
        <v>0</v>
      </c>
      <c r="P130" s="222">
        <v>0</v>
      </c>
    </row>
    <row r="131" spans="1:16" ht="15.5" x14ac:dyDescent="0.35">
      <c r="A131" s="214" t="s">
        <v>983</v>
      </c>
      <c r="B131" s="214" t="s">
        <v>740</v>
      </c>
      <c r="C131" s="222">
        <v>850</v>
      </c>
      <c r="D131" s="214" t="s">
        <v>984</v>
      </c>
      <c r="E131" s="214" t="s">
        <v>750</v>
      </c>
      <c r="F131" s="214" t="s">
        <v>289</v>
      </c>
      <c r="G131" s="215">
        <v>1199</v>
      </c>
      <c r="H131" s="215">
        <v>1300</v>
      </c>
      <c r="I131" s="215">
        <v>121.5</v>
      </c>
      <c r="J131" s="223">
        <v>45505</v>
      </c>
      <c r="K131" s="223">
        <v>46295</v>
      </c>
      <c r="L131" s="223">
        <v>45505</v>
      </c>
      <c r="M131" s="223"/>
      <c r="N131" s="215">
        <v>0</v>
      </c>
      <c r="O131" s="222">
        <v>0</v>
      </c>
      <c r="P131" s="222">
        <v>0</v>
      </c>
    </row>
    <row r="132" spans="1:16" ht="15.5" x14ac:dyDescent="0.35">
      <c r="A132" s="214" t="s">
        <v>985</v>
      </c>
      <c r="B132" s="214" t="s">
        <v>740</v>
      </c>
      <c r="C132" s="222">
        <v>850</v>
      </c>
      <c r="D132" s="214" t="s">
        <v>986</v>
      </c>
      <c r="E132" s="214" t="s">
        <v>750</v>
      </c>
      <c r="F132" s="214" t="s">
        <v>289</v>
      </c>
      <c r="G132" s="215">
        <v>1199</v>
      </c>
      <c r="H132" s="215">
        <v>1300</v>
      </c>
      <c r="I132" s="215">
        <v>123.5</v>
      </c>
      <c r="J132" s="223">
        <v>45721</v>
      </c>
      <c r="K132" s="223">
        <v>46116</v>
      </c>
      <c r="L132" s="223">
        <v>45721</v>
      </c>
      <c r="M132" s="223"/>
      <c r="N132" s="215">
        <v>0</v>
      </c>
      <c r="O132" s="222">
        <v>0</v>
      </c>
      <c r="P132" s="222">
        <v>1</v>
      </c>
    </row>
    <row r="133" spans="1:16" ht="15.5" x14ac:dyDescent="0.35">
      <c r="A133" s="214" t="s">
        <v>987</v>
      </c>
      <c r="B133" s="214" t="s">
        <v>740</v>
      </c>
      <c r="C133" s="222">
        <v>850</v>
      </c>
      <c r="D133" s="214" t="s">
        <v>988</v>
      </c>
      <c r="E133" s="214" t="s">
        <v>750</v>
      </c>
      <c r="F133" s="214" t="s">
        <v>289</v>
      </c>
      <c r="G133" s="215">
        <v>1199</v>
      </c>
      <c r="H133" s="215">
        <v>1300</v>
      </c>
      <c r="I133" s="215">
        <v>113.5</v>
      </c>
      <c r="J133" s="223">
        <v>45717</v>
      </c>
      <c r="K133" s="223">
        <v>46081</v>
      </c>
      <c r="L133" s="223">
        <v>45717</v>
      </c>
      <c r="M133" s="223"/>
      <c r="N133" s="215">
        <v>653.5</v>
      </c>
      <c r="O133" s="222">
        <v>2</v>
      </c>
      <c r="P133" s="222">
        <v>4</v>
      </c>
    </row>
    <row r="134" spans="1:16" ht="15.5" x14ac:dyDescent="0.35">
      <c r="A134" s="214" t="s">
        <v>989</v>
      </c>
      <c r="B134" s="214" t="s">
        <v>740</v>
      </c>
      <c r="C134" s="222">
        <v>850</v>
      </c>
      <c r="D134" s="214" t="s">
        <v>990</v>
      </c>
      <c r="E134" s="214" t="s">
        <v>750</v>
      </c>
      <c r="F134" s="214" t="s">
        <v>289</v>
      </c>
      <c r="G134" s="215">
        <v>1199</v>
      </c>
      <c r="H134" s="215">
        <v>1300</v>
      </c>
      <c r="I134" s="215">
        <v>168.5</v>
      </c>
      <c r="J134" s="223">
        <v>45772</v>
      </c>
      <c r="K134" s="223">
        <v>46142</v>
      </c>
      <c r="L134" s="223">
        <v>45772</v>
      </c>
      <c r="M134" s="223"/>
      <c r="N134" s="215">
        <v>0</v>
      </c>
      <c r="O134" s="222">
        <v>0</v>
      </c>
      <c r="P134" s="222">
        <v>0</v>
      </c>
    </row>
    <row r="135" spans="1:16" ht="15.5" x14ac:dyDescent="0.35">
      <c r="A135" s="214" t="s">
        <v>991</v>
      </c>
      <c r="B135" s="214" t="s">
        <v>740</v>
      </c>
      <c r="C135" s="222">
        <v>850</v>
      </c>
      <c r="D135" s="214" t="s">
        <v>992</v>
      </c>
      <c r="E135" s="214" t="s">
        <v>750</v>
      </c>
      <c r="F135" s="214" t="s">
        <v>289</v>
      </c>
      <c r="G135" s="215">
        <v>1199</v>
      </c>
      <c r="H135" s="215">
        <v>1300</v>
      </c>
      <c r="I135" s="215">
        <v>123.5</v>
      </c>
      <c r="J135" s="223">
        <v>45717</v>
      </c>
      <c r="K135" s="223">
        <v>46142</v>
      </c>
      <c r="L135" s="223">
        <v>45717</v>
      </c>
      <c r="M135" s="223"/>
      <c r="N135" s="215">
        <v>2967.5</v>
      </c>
      <c r="O135" s="222">
        <v>0</v>
      </c>
      <c r="P135" s="222">
        <v>5</v>
      </c>
    </row>
    <row r="136" spans="1:16" ht="15.5" x14ac:dyDescent="0.35">
      <c r="A136" s="214" t="s">
        <v>993</v>
      </c>
      <c r="B136" s="214" t="s">
        <v>743</v>
      </c>
      <c r="C136" s="222">
        <v>1150</v>
      </c>
      <c r="D136" s="214" t="s">
        <v>994</v>
      </c>
      <c r="E136" s="214" t="s">
        <v>750</v>
      </c>
      <c r="F136" s="214" t="s">
        <v>289</v>
      </c>
      <c r="G136" s="215">
        <v>1399</v>
      </c>
      <c r="H136" s="215">
        <v>1399</v>
      </c>
      <c r="I136" s="215">
        <v>121.5</v>
      </c>
      <c r="J136" s="223">
        <v>45930</v>
      </c>
      <c r="K136" s="223">
        <v>46295</v>
      </c>
      <c r="L136" s="223">
        <v>45930</v>
      </c>
      <c r="M136" s="223"/>
      <c r="N136" s="215">
        <v>0</v>
      </c>
      <c r="O136" s="222">
        <v>0</v>
      </c>
      <c r="P136" s="222">
        <v>0</v>
      </c>
    </row>
    <row r="137" spans="1:16" ht="15.5" x14ac:dyDescent="0.35">
      <c r="A137" s="214" t="s">
        <v>997</v>
      </c>
      <c r="B137" s="214" t="s">
        <v>743</v>
      </c>
      <c r="C137" s="222">
        <v>1150</v>
      </c>
      <c r="D137" s="214" t="s">
        <v>998</v>
      </c>
      <c r="E137" s="214" t="s">
        <v>750</v>
      </c>
      <c r="F137" s="214" t="s">
        <v>289</v>
      </c>
      <c r="G137" s="215">
        <v>1399</v>
      </c>
      <c r="H137" s="215">
        <v>1425</v>
      </c>
      <c r="I137" s="215">
        <v>121.5</v>
      </c>
      <c r="J137" s="223">
        <v>45551</v>
      </c>
      <c r="K137" s="223">
        <v>46332</v>
      </c>
      <c r="L137" s="223">
        <v>45551</v>
      </c>
      <c r="M137" s="223"/>
      <c r="N137" s="215">
        <v>107</v>
      </c>
      <c r="O137" s="222">
        <v>0</v>
      </c>
      <c r="P137" s="222">
        <v>2</v>
      </c>
    </row>
    <row r="138" spans="1:16" ht="15.5" x14ac:dyDescent="0.35">
      <c r="A138" s="212" t="s">
        <v>999</v>
      </c>
      <c r="B138" s="212"/>
      <c r="C138" s="224">
        <v>100950</v>
      </c>
      <c r="D138" s="212"/>
      <c r="E138" s="212" t="s">
        <v>1048</v>
      </c>
      <c r="F138" s="212"/>
      <c r="G138" s="213">
        <v>142193</v>
      </c>
      <c r="H138" s="213">
        <v>134193</v>
      </c>
      <c r="I138" s="213">
        <v>14221</v>
      </c>
      <c r="J138" s="225"/>
      <c r="K138" s="225"/>
      <c r="L138" s="225"/>
      <c r="M138" s="225"/>
      <c r="N138" s="213">
        <v>34219.599999999999</v>
      </c>
      <c r="O138" s="224">
        <v>16</v>
      </c>
      <c r="P138" s="224">
        <v>101</v>
      </c>
    </row>
    <row r="140" spans="1:16" ht="15.5" x14ac:dyDescent="0.35">
      <c r="A140" s="212" t="s">
        <v>1001</v>
      </c>
      <c r="B140" s="212"/>
      <c r="C140" s="224">
        <v>100950</v>
      </c>
      <c r="D140" s="212"/>
      <c r="E140" s="212" t="s">
        <v>1048</v>
      </c>
      <c r="F140" s="212"/>
      <c r="G140" s="213">
        <v>142193</v>
      </c>
      <c r="H140" s="213">
        <v>134193</v>
      </c>
      <c r="I140" s="213">
        <v>14221</v>
      </c>
      <c r="J140" s="225"/>
      <c r="K140" s="225"/>
      <c r="L140" s="225"/>
      <c r="M140" s="225"/>
      <c r="N140" s="213">
        <v>34219.599999999999</v>
      </c>
      <c r="O140" s="224">
        <v>16</v>
      </c>
      <c r="P140" s="224">
        <v>101</v>
      </c>
    </row>
    <row r="147" spans="6:11" x14ac:dyDescent="0.3">
      <c r="F147" s="228" t="s">
        <v>1002</v>
      </c>
    </row>
    <row r="149" spans="6:11" ht="14.5" thickBot="1" x14ac:dyDescent="0.35">
      <c r="F149" s="233" t="s">
        <v>298</v>
      </c>
      <c r="G149" s="233" t="s">
        <v>418</v>
      </c>
      <c r="H149" s="233" t="s">
        <v>1005</v>
      </c>
      <c r="I149" s="233" t="s">
        <v>450</v>
      </c>
      <c r="J149" s="233" t="s">
        <v>452</v>
      </c>
      <c r="K149" s="233" t="s">
        <v>493</v>
      </c>
    </row>
    <row r="150" spans="6:11" x14ac:dyDescent="0.3">
      <c r="F150" s="210" t="s">
        <v>289</v>
      </c>
      <c r="G150" s="226">
        <f>+COUNTIFS($F$11:$F$137,$F150)</f>
        <v>122</v>
      </c>
      <c r="H150" s="234">
        <f>+G150/$G$152</f>
        <v>0.96062992125984248</v>
      </c>
      <c r="I150" s="227">
        <f>+SUMIFS(G$11:G$137,$F$11:$F$137,$F150)</f>
        <v>136638</v>
      </c>
      <c r="J150" s="232">
        <f>+SUMIFS(H$11:H$137,$F$11:$F$137,$F150)</f>
        <v>132398</v>
      </c>
      <c r="K150" s="227">
        <f>+J150</f>
        <v>132398</v>
      </c>
    </row>
    <row r="151" spans="6:11" x14ac:dyDescent="0.3">
      <c r="F151" s="210" t="s">
        <v>290</v>
      </c>
      <c r="G151" s="226">
        <f t="shared" ref="G151" si="0">+COUNTIFS($F$11:$F$137,$F151)</f>
        <v>5</v>
      </c>
      <c r="H151" s="234">
        <f t="shared" ref="H151:H152" si="1">+G151/$G$152</f>
        <v>3.937007874015748E-2</v>
      </c>
      <c r="I151" s="232">
        <f>+SUMIFS(G$11:G$137,$F$11:$F$137,$F151)</f>
        <v>5555</v>
      </c>
      <c r="J151" s="227">
        <f>+SUMIFS(H$11:H$137,$F$11:$F$137,$F151)</f>
        <v>1795</v>
      </c>
      <c r="K151" s="227">
        <f>+I151</f>
        <v>5555</v>
      </c>
    </row>
    <row r="152" spans="6:11" x14ac:dyDescent="0.3">
      <c r="F152" s="229" t="s">
        <v>3</v>
      </c>
      <c r="G152" s="230">
        <f>+SUM(G150:G151)</f>
        <v>127</v>
      </c>
      <c r="H152" s="235">
        <f t="shared" si="1"/>
        <v>1</v>
      </c>
      <c r="I152" s="231">
        <f>+SUM(I150:I151)</f>
        <v>142193</v>
      </c>
      <c r="J152" s="231">
        <f>+SUM(J150:J151)</f>
        <v>134193</v>
      </c>
      <c r="K152" s="231">
        <f>+SUM(K150:K151)</f>
        <v>137953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177D6-7E68-4A37-97BB-029BD895F810}">
  <dimension ref="A1:P152"/>
  <sheetViews>
    <sheetView showWhiteSpace="0" topLeftCell="C88" zoomScale="70" zoomScaleNormal="70" workbookViewId="0">
      <selection activeCell="F147" sqref="F147:K152"/>
    </sheetView>
  </sheetViews>
  <sheetFormatPr defaultColWidth="8.7265625" defaultRowHeight="14" x14ac:dyDescent="0.3"/>
  <cols>
    <col min="1" max="1" width="39.26953125" style="210" bestFit="1" customWidth="1"/>
    <col min="2" max="2" width="17" style="210" bestFit="1" customWidth="1"/>
    <col min="3" max="3" width="17.54296875" style="210" bestFit="1" customWidth="1"/>
    <col min="4" max="4" width="43.1796875" style="210" bestFit="1" customWidth="1"/>
    <col min="5" max="5" width="33.453125" style="210" bestFit="1" customWidth="1"/>
    <col min="6" max="6" width="33.453125" style="210" customWidth="1"/>
    <col min="7" max="7" width="29.81640625" style="210" bestFit="1" customWidth="1"/>
    <col min="8" max="8" width="21.54296875" style="210" bestFit="1" customWidth="1"/>
    <col min="9" max="9" width="42.54296875" style="210" bestFit="1" customWidth="1"/>
    <col min="10" max="10" width="27.54296875" style="210" bestFit="1" customWidth="1"/>
    <col min="11" max="11" width="23.453125" style="210" bestFit="1" customWidth="1"/>
    <col min="12" max="12" width="21.26953125" style="210" bestFit="1" customWidth="1"/>
    <col min="13" max="13" width="23.453125" style="210" bestFit="1" customWidth="1"/>
    <col min="14" max="14" width="23.54296875" style="210" bestFit="1" customWidth="1"/>
    <col min="15" max="15" width="25.54296875" style="210" bestFit="1" customWidth="1"/>
    <col min="16" max="16" width="27.54296875" style="210" bestFit="1" customWidth="1"/>
    <col min="17" max="16384" width="8.7265625" style="210"/>
  </cols>
  <sheetData>
    <row r="1" spans="1:16" ht="23" x14ac:dyDescent="0.5">
      <c r="A1" s="218" t="s">
        <v>492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</row>
    <row r="2" spans="1:16" x14ac:dyDescent="0.3">
      <c r="A2" s="219" t="s">
        <v>720</v>
      </c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</row>
    <row r="3" spans="1:16" x14ac:dyDescent="0.3">
      <c r="A3" s="219"/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</row>
    <row r="4" spans="1:16" ht="16.5" x14ac:dyDescent="0.3">
      <c r="A4" s="220" t="s">
        <v>721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</row>
    <row r="5" spans="1:16" ht="16.5" x14ac:dyDescent="0.3">
      <c r="A5" s="220" t="s">
        <v>722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</row>
    <row r="6" spans="1:16" ht="16.5" x14ac:dyDescent="0.3">
      <c r="A6" s="220" t="s">
        <v>723</v>
      </c>
      <c r="B6" s="220"/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</row>
    <row r="7" spans="1:16" ht="16.5" x14ac:dyDescent="0.3">
      <c r="A7" s="220" t="s">
        <v>724</v>
      </c>
      <c r="B7" s="220"/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</row>
    <row r="8" spans="1:16" x14ac:dyDescent="0.3">
      <c r="A8" s="219"/>
      <c r="B8" s="219"/>
      <c r="C8" s="219"/>
      <c r="D8" s="219"/>
      <c r="E8" s="219"/>
      <c r="F8" s="219"/>
      <c r="G8" s="219"/>
      <c r="H8" s="219"/>
      <c r="I8" s="219"/>
      <c r="J8" s="219"/>
      <c r="K8" s="219"/>
      <c r="L8" s="219"/>
      <c r="M8" s="219"/>
      <c r="N8" s="219"/>
      <c r="O8" s="219"/>
      <c r="P8" s="219"/>
    </row>
    <row r="9" spans="1:16" ht="16.5" x14ac:dyDescent="0.35">
      <c r="A9" s="211" t="s">
        <v>725</v>
      </c>
      <c r="B9" s="211" t="s">
        <v>726</v>
      </c>
      <c r="C9" s="211" t="s">
        <v>727</v>
      </c>
      <c r="D9" s="211" t="s">
        <v>728</v>
      </c>
      <c r="E9" s="211" t="s">
        <v>298</v>
      </c>
      <c r="F9" s="211"/>
      <c r="G9" s="211" t="s">
        <v>450</v>
      </c>
      <c r="H9" s="211" t="s">
        <v>299</v>
      </c>
      <c r="I9" s="211" t="s">
        <v>729</v>
      </c>
      <c r="J9" s="211" t="s">
        <v>730</v>
      </c>
      <c r="K9" s="211" t="s">
        <v>731</v>
      </c>
      <c r="L9" s="211" t="s">
        <v>732</v>
      </c>
      <c r="M9" s="211" t="s">
        <v>733</v>
      </c>
      <c r="N9" s="211" t="s">
        <v>734</v>
      </c>
      <c r="O9" s="211" t="s">
        <v>735</v>
      </c>
      <c r="P9" s="211" t="s">
        <v>736</v>
      </c>
    </row>
    <row r="10" spans="1:16" ht="15.5" x14ac:dyDescent="0.35">
      <c r="A10" s="221" t="s">
        <v>737</v>
      </c>
      <c r="B10" s="221"/>
      <c r="C10" s="221"/>
      <c r="D10" s="221"/>
      <c r="E10" s="221" t="s">
        <v>738</v>
      </c>
      <c r="F10" s="221"/>
      <c r="G10" s="221" t="s">
        <v>738</v>
      </c>
      <c r="H10" s="221" t="s">
        <v>738</v>
      </c>
      <c r="I10" s="221" t="s">
        <v>738</v>
      </c>
      <c r="J10" s="221" t="s">
        <v>738</v>
      </c>
      <c r="K10" s="221" t="s">
        <v>738</v>
      </c>
      <c r="L10" s="221" t="s">
        <v>738</v>
      </c>
      <c r="M10" s="221" t="s">
        <v>738</v>
      </c>
      <c r="N10" s="221" t="s">
        <v>738</v>
      </c>
      <c r="O10" s="221" t="s">
        <v>738</v>
      </c>
      <c r="P10" s="221" t="s">
        <v>738</v>
      </c>
    </row>
    <row r="11" spans="1:16" ht="15.5" x14ac:dyDescent="0.35">
      <c r="A11" s="214" t="s">
        <v>739</v>
      </c>
      <c r="B11" s="214" t="s">
        <v>740</v>
      </c>
      <c r="C11" s="222">
        <v>850</v>
      </c>
      <c r="D11" s="214"/>
      <c r="E11" s="214" t="s">
        <v>741</v>
      </c>
      <c r="F11" s="214" t="s">
        <v>290</v>
      </c>
      <c r="G11" s="215">
        <v>1199</v>
      </c>
      <c r="H11" s="215"/>
      <c r="I11" s="215">
        <v>0</v>
      </c>
      <c r="J11" s="223"/>
      <c r="K11" s="223"/>
      <c r="L11" s="223"/>
      <c r="M11" s="223"/>
      <c r="N11" s="215"/>
      <c r="O11" s="222"/>
      <c r="P11" s="222"/>
    </row>
    <row r="12" spans="1:16" ht="15.5" x14ac:dyDescent="0.35">
      <c r="A12" s="214" t="s">
        <v>742</v>
      </c>
      <c r="B12" s="214" t="s">
        <v>743</v>
      </c>
      <c r="C12" s="222">
        <v>1150</v>
      </c>
      <c r="D12" s="214"/>
      <c r="E12" s="214" t="s">
        <v>741</v>
      </c>
      <c r="F12" s="214" t="s">
        <v>290</v>
      </c>
      <c r="G12" s="215">
        <v>1399</v>
      </c>
      <c r="H12" s="215"/>
      <c r="I12" s="215">
        <v>0</v>
      </c>
      <c r="J12" s="223"/>
      <c r="K12" s="223"/>
      <c r="L12" s="223"/>
      <c r="M12" s="223"/>
      <c r="N12" s="215"/>
      <c r="O12" s="222"/>
      <c r="P12" s="222"/>
    </row>
    <row r="13" spans="1:16" ht="15.5" x14ac:dyDescent="0.35">
      <c r="A13" s="214" t="s">
        <v>744</v>
      </c>
      <c r="B13" s="214" t="s">
        <v>745</v>
      </c>
      <c r="C13" s="222">
        <v>650</v>
      </c>
      <c r="D13" s="214" t="s">
        <v>746</v>
      </c>
      <c r="E13" s="214" t="s">
        <v>747</v>
      </c>
      <c r="F13" s="214" t="s">
        <v>290</v>
      </c>
      <c r="G13" s="215">
        <v>1029</v>
      </c>
      <c r="H13" s="215">
        <v>620</v>
      </c>
      <c r="I13" s="215">
        <v>120.5</v>
      </c>
      <c r="J13" s="223">
        <v>41694</v>
      </c>
      <c r="K13" s="223">
        <v>45838</v>
      </c>
      <c r="L13" s="223">
        <v>41694</v>
      </c>
      <c r="M13" s="223"/>
      <c r="N13" s="215">
        <v>2839.1</v>
      </c>
      <c r="O13" s="222">
        <v>0</v>
      </c>
      <c r="P13" s="222">
        <v>5</v>
      </c>
    </row>
    <row r="14" spans="1:16" ht="15.5" x14ac:dyDescent="0.35">
      <c r="A14" s="214" t="s">
        <v>748</v>
      </c>
      <c r="B14" s="214" t="s">
        <v>745</v>
      </c>
      <c r="C14" s="222">
        <v>650</v>
      </c>
      <c r="D14" s="214" t="s">
        <v>749</v>
      </c>
      <c r="E14" s="214" t="s">
        <v>750</v>
      </c>
      <c r="F14" s="214" t="s">
        <v>289</v>
      </c>
      <c r="G14" s="215">
        <v>1029</v>
      </c>
      <c r="H14" s="215">
        <v>632</v>
      </c>
      <c r="I14" s="215">
        <v>45</v>
      </c>
      <c r="J14" s="223">
        <v>42307</v>
      </c>
      <c r="K14" s="223">
        <v>45470</v>
      </c>
      <c r="L14" s="223">
        <v>42307</v>
      </c>
      <c r="M14" s="223"/>
      <c r="N14" s="215">
        <v>733</v>
      </c>
      <c r="O14" s="222">
        <v>0</v>
      </c>
      <c r="P14" s="222">
        <v>2</v>
      </c>
    </row>
    <row r="15" spans="1:16" ht="15.5" x14ac:dyDescent="0.35">
      <c r="A15" s="214" t="s">
        <v>751</v>
      </c>
      <c r="B15" s="214" t="s">
        <v>745</v>
      </c>
      <c r="C15" s="222">
        <v>650</v>
      </c>
      <c r="D15" s="214" t="s">
        <v>752</v>
      </c>
      <c r="E15" s="214" t="s">
        <v>750</v>
      </c>
      <c r="F15" s="214" t="s">
        <v>289</v>
      </c>
      <c r="G15" s="215">
        <v>1029</v>
      </c>
      <c r="H15" s="215">
        <v>900</v>
      </c>
      <c r="I15" s="215">
        <v>96.5</v>
      </c>
      <c r="J15" s="223">
        <v>43203</v>
      </c>
      <c r="K15" s="223">
        <v>45991</v>
      </c>
      <c r="L15" s="223">
        <v>43203</v>
      </c>
      <c r="M15" s="223"/>
      <c r="N15" s="215">
        <v>-996.5</v>
      </c>
      <c r="O15" s="222">
        <v>0</v>
      </c>
      <c r="P15" s="222">
        <v>0</v>
      </c>
    </row>
    <row r="16" spans="1:16" ht="15.5" x14ac:dyDescent="0.35">
      <c r="A16" s="214" t="s">
        <v>753</v>
      </c>
      <c r="B16" s="214" t="s">
        <v>745</v>
      </c>
      <c r="C16" s="222">
        <v>650</v>
      </c>
      <c r="D16" s="214" t="s">
        <v>754</v>
      </c>
      <c r="E16" s="214" t="s">
        <v>750</v>
      </c>
      <c r="F16" s="214" t="s">
        <v>289</v>
      </c>
      <c r="G16" s="215">
        <v>1029</v>
      </c>
      <c r="H16" s="215">
        <v>905</v>
      </c>
      <c r="I16" s="215">
        <v>139.5</v>
      </c>
      <c r="J16" s="223">
        <v>43483</v>
      </c>
      <c r="K16" s="223">
        <v>45912</v>
      </c>
      <c r="L16" s="223">
        <v>43483</v>
      </c>
      <c r="M16" s="223"/>
      <c r="N16" s="215">
        <v>0</v>
      </c>
      <c r="O16" s="222">
        <v>0</v>
      </c>
      <c r="P16" s="222">
        <v>0</v>
      </c>
    </row>
    <row r="17" spans="1:16" ht="15.5" x14ac:dyDescent="0.35">
      <c r="A17" s="214" t="s">
        <v>755</v>
      </c>
      <c r="B17" s="214" t="s">
        <v>745</v>
      </c>
      <c r="C17" s="222">
        <v>650</v>
      </c>
      <c r="D17" s="214" t="s">
        <v>756</v>
      </c>
      <c r="E17" s="214" t="s">
        <v>750</v>
      </c>
      <c r="F17" s="214" t="s">
        <v>289</v>
      </c>
      <c r="G17" s="215">
        <v>1029</v>
      </c>
      <c r="H17" s="215">
        <v>943</v>
      </c>
      <c r="I17" s="215">
        <v>113.5</v>
      </c>
      <c r="J17" s="223">
        <v>40764</v>
      </c>
      <c r="K17" s="223">
        <v>46147</v>
      </c>
      <c r="L17" s="223">
        <v>40764</v>
      </c>
      <c r="M17" s="223"/>
      <c r="N17" s="215">
        <v>1511.5</v>
      </c>
      <c r="O17" s="222">
        <v>0</v>
      </c>
      <c r="P17" s="222">
        <v>2</v>
      </c>
    </row>
    <row r="18" spans="1:16" ht="15.5" x14ac:dyDescent="0.35">
      <c r="A18" s="214" t="s">
        <v>757</v>
      </c>
      <c r="B18" s="214" t="s">
        <v>745</v>
      </c>
      <c r="C18" s="222">
        <v>650</v>
      </c>
      <c r="D18" s="214" t="s">
        <v>758</v>
      </c>
      <c r="E18" s="214" t="s">
        <v>750</v>
      </c>
      <c r="F18" s="214" t="s">
        <v>289</v>
      </c>
      <c r="G18" s="215">
        <v>1029</v>
      </c>
      <c r="H18" s="215">
        <v>945</v>
      </c>
      <c r="I18" s="215">
        <v>124.5</v>
      </c>
      <c r="J18" s="223">
        <v>44883</v>
      </c>
      <c r="K18" s="223">
        <v>45991</v>
      </c>
      <c r="L18" s="223">
        <v>44883</v>
      </c>
      <c r="M18" s="223"/>
      <c r="N18" s="215">
        <v>-1069.5</v>
      </c>
      <c r="O18" s="222">
        <v>0</v>
      </c>
      <c r="P18" s="222">
        <v>1</v>
      </c>
    </row>
    <row r="19" spans="1:16" ht="15.5" x14ac:dyDescent="0.35">
      <c r="A19" s="214" t="s">
        <v>759</v>
      </c>
      <c r="B19" s="214" t="s">
        <v>745</v>
      </c>
      <c r="C19" s="222">
        <v>650</v>
      </c>
      <c r="D19" s="214" t="s">
        <v>760</v>
      </c>
      <c r="E19" s="214" t="s">
        <v>750</v>
      </c>
      <c r="F19" s="214" t="s">
        <v>289</v>
      </c>
      <c r="G19" s="215">
        <v>1029</v>
      </c>
      <c r="H19" s="215">
        <v>949</v>
      </c>
      <c r="I19" s="215">
        <v>-949</v>
      </c>
      <c r="J19" s="223">
        <v>45930</v>
      </c>
      <c r="K19" s="223">
        <v>46294</v>
      </c>
      <c r="L19" s="223">
        <v>45930</v>
      </c>
      <c r="M19" s="223"/>
      <c r="N19" s="215">
        <v>-570.5</v>
      </c>
      <c r="O19" s="222">
        <v>0</v>
      </c>
      <c r="P19" s="222">
        <v>0</v>
      </c>
    </row>
    <row r="20" spans="1:16" ht="15.5" x14ac:dyDescent="0.35">
      <c r="A20" s="214" t="s">
        <v>761</v>
      </c>
      <c r="B20" s="214" t="s">
        <v>745</v>
      </c>
      <c r="C20" s="222">
        <v>650</v>
      </c>
      <c r="D20" s="214" t="s">
        <v>762</v>
      </c>
      <c r="E20" s="214" t="s">
        <v>750</v>
      </c>
      <c r="F20" s="214" t="s">
        <v>289</v>
      </c>
      <c r="G20" s="215">
        <v>1029</v>
      </c>
      <c r="H20" s="215">
        <v>949</v>
      </c>
      <c r="I20" s="215">
        <v>-378.5</v>
      </c>
      <c r="J20" s="223">
        <v>45891</v>
      </c>
      <c r="K20" s="223">
        <v>46265</v>
      </c>
      <c r="L20" s="223">
        <v>45891</v>
      </c>
      <c r="M20" s="223"/>
      <c r="N20" s="215">
        <v>-25.31</v>
      </c>
      <c r="O20" s="222">
        <v>0</v>
      </c>
      <c r="P20" s="222">
        <v>0</v>
      </c>
    </row>
    <row r="21" spans="1:16" ht="15.5" x14ac:dyDescent="0.35">
      <c r="A21" s="214" t="s">
        <v>763</v>
      </c>
      <c r="B21" s="214" t="s">
        <v>745</v>
      </c>
      <c r="C21" s="222">
        <v>650</v>
      </c>
      <c r="D21" s="214" t="s">
        <v>764</v>
      </c>
      <c r="E21" s="214" t="s">
        <v>750</v>
      </c>
      <c r="F21" s="214" t="s">
        <v>289</v>
      </c>
      <c r="G21" s="215">
        <v>1029</v>
      </c>
      <c r="H21" s="215">
        <v>949</v>
      </c>
      <c r="I21" s="215">
        <v>121.5</v>
      </c>
      <c r="J21" s="223">
        <v>45899</v>
      </c>
      <c r="K21" s="223">
        <v>46265</v>
      </c>
      <c r="L21" s="223">
        <v>45899</v>
      </c>
      <c r="M21" s="223"/>
      <c r="N21" s="215">
        <v>-8</v>
      </c>
      <c r="O21" s="222">
        <v>0</v>
      </c>
      <c r="P21" s="222">
        <v>0</v>
      </c>
    </row>
    <row r="22" spans="1:16" ht="15.5" x14ac:dyDescent="0.35">
      <c r="A22" s="214" t="s">
        <v>765</v>
      </c>
      <c r="B22" s="214" t="s">
        <v>745</v>
      </c>
      <c r="C22" s="222">
        <v>650</v>
      </c>
      <c r="D22" s="214" t="s">
        <v>766</v>
      </c>
      <c r="E22" s="214" t="s">
        <v>750</v>
      </c>
      <c r="F22" s="214" t="s">
        <v>289</v>
      </c>
      <c r="G22" s="215">
        <v>1029</v>
      </c>
      <c r="H22" s="215">
        <v>949</v>
      </c>
      <c r="I22" s="215">
        <v>-949</v>
      </c>
      <c r="J22" s="223">
        <v>45910</v>
      </c>
      <c r="K22" s="223">
        <v>46295</v>
      </c>
      <c r="L22" s="223">
        <v>45910</v>
      </c>
      <c r="M22" s="223"/>
      <c r="N22" s="215">
        <v>-570.5</v>
      </c>
      <c r="O22" s="222">
        <v>0</v>
      </c>
      <c r="P22" s="222">
        <v>0</v>
      </c>
    </row>
    <row r="23" spans="1:16" ht="15.5" x14ac:dyDescent="0.35">
      <c r="A23" s="214" t="s">
        <v>767</v>
      </c>
      <c r="B23" s="214" t="s">
        <v>745</v>
      </c>
      <c r="C23" s="222">
        <v>650</v>
      </c>
      <c r="D23" s="214" t="s">
        <v>768</v>
      </c>
      <c r="E23" s="214" t="s">
        <v>750</v>
      </c>
      <c r="F23" s="214" t="s">
        <v>289</v>
      </c>
      <c r="G23" s="215">
        <v>1029</v>
      </c>
      <c r="H23" s="215">
        <v>949</v>
      </c>
      <c r="I23" s="215">
        <v>-964.5</v>
      </c>
      <c r="J23" s="223">
        <v>45930</v>
      </c>
      <c r="K23" s="223">
        <v>46294</v>
      </c>
      <c r="L23" s="223">
        <v>45930</v>
      </c>
      <c r="M23" s="223"/>
      <c r="N23" s="215">
        <v>0</v>
      </c>
      <c r="O23" s="222">
        <v>0</v>
      </c>
      <c r="P23" s="222">
        <v>0</v>
      </c>
    </row>
    <row r="24" spans="1:16" ht="15.5" x14ac:dyDescent="0.35">
      <c r="A24" s="214" t="s">
        <v>769</v>
      </c>
      <c r="B24" s="214" t="s">
        <v>745</v>
      </c>
      <c r="C24" s="222">
        <v>650</v>
      </c>
      <c r="D24" s="214" t="s">
        <v>770</v>
      </c>
      <c r="E24" s="214" t="s">
        <v>750</v>
      </c>
      <c r="F24" s="214" t="s">
        <v>289</v>
      </c>
      <c r="G24" s="215">
        <v>1029</v>
      </c>
      <c r="H24" s="215">
        <v>949</v>
      </c>
      <c r="I24" s="215">
        <v>-949</v>
      </c>
      <c r="J24" s="223">
        <v>45910</v>
      </c>
      <c r="K24" s="223">
        <v>46274</v>
      </c>
      <c r="L24" s="223">
        <v>45910</v>
      </c>
      <c r="M24" s="223"/>
      <c r="N24" s="215">
        <v>-570.5</v>
      </c>
      <c r="O24" s="222">
        <v>0</v>
      </c>
      <c r="P24" s="222">
        <v>0</v>
      </c>
    </row>
    <row r="25" spans="1:16" ht="15.5" x14ac:dyDescent="0.35">
      <c r="A25" s="214" t="s">
        <v>771</v>
      </c>
      <c r="B25" s="214" t="s">
        <v>745</v>
      </c>
      <c r="C25" s="222">
        <v>650</v>
      </c>
      <c r="D25" s="214" t="s">
        <v>772</v>
      </c>
      <c r="E25" s="214" t="s">
        <v>750</v>
      </c>
      <c r="F25" s="214" t="s">
        <v>289</v>
      </c>
      <c r="G25" s="215">
        <v>1029</v>
      </c>
      <c r="H25" s="215">
        <v>949</v>
      </c>
      <c r="I25" s="215">
        <v>-949</v>
      </c>
      <c r="J25" s="223">
        <v>45912</v>
      </c>
      <c r="K25" s="223">
        <v>46276</v>
      </c>
      <c r="L25" s="223">
        <v>45912</v>
      </c>
      <c r="M25" s="223"/>
      <c r="N25" s="215">
        <v>0</v>
      </c>
      <c r="O25" s="222">
        <v>0</v>
      </c>
      <c r="P25" s="222">
        <v>0</v>
      </c>
    </row>
    <row r="26" spans="1:16" ht="15.5" x14ac:dyDescent="0.35">
      <c r="A26" s="214" t="s">
        <v>773</v>
      </c>
      <c r="B26" s="214" t="s">
        <v>745</v>
      </c>
      <c r="C26" s="222">
        <v>650</v>
      </c>
      <c r="D26" s="214" t="s">
        <v>774</v>
      </c>
      <c r="E26" s="214" t="s">
        <v>750</v>
      </c>
      <c r="F26" s="214" t="s">
        <v>289</v>
      </c>
      <c r="G26" s="215">
        <v>1029</v>
      </c>
      <c r="H26" s="215">
        <v>950</v>
      </c>
      <c r="I26" s="215">
        <v>124.5</v>
      </c>
      <c r="J26" s="223">
        <v>44901</v>
      </c>
      <c r="K26" s="223">
        <v>46022</v>
      </c>
      <c r="L26" s="223">
        <v>44901</v>
      </c>
      <c r="M26" s="223"/>
      <c r="N26" s="215">
        <v>-1074.5</v>
      </c>
      <c r="O26" s="222">
        <v>0</v>
      </c>
      <c r="P26" s="222">
        <v>0</v>
      </c>
    </row>
    <row r="27" spans="1:16" ht="15.5" x14ac:dyDescent="0.35">
      <c r="A27" s="214" t="s">
        <v>775</v>
      </c>
      <c r="B27" s="214" t="s">
        <v>745</v>
      </c>
      <c r="C27" s="222">
        <v>650</v>
      </c>
      <c r="D27" s="214" t="s">
        <v>776</v>
      </c>
      <c r="E27" s="214" t="s">
        <v>750</v>
      </c>
      <c r="F27" s="214" t="s">
        <v>289</v>
      </c>
      <c r="G27" s="215">
        <v>1029</v>
      </c>
      <c r="H27" s="215">
        <v>975</v>
      </c>
      <c r="I27" s="215">
        <v>76</v>
      </c>
      <c r="J27" s="223">
        <v>40185</v>
      </c>
      <c r="K27" s="223">
        <v>46067</v>
      </c>
      <c r="L27" s="223">
        <v>40185</v>
      </c>
      <c r="M27" s="223"/>
      <c r="N27" s="215">
        <v>0</v>
      </c>
      <c r="O27" s="222">
        <v>1</v>
      </c>
      <c r="P27" s="222">
        <v>2</v>
      </c>
    </row>
    <row r="28" spans="1:16" ht="15.5" x14ac:dyDescent="0.35">
      <c r="A28" s="214" t="s">
        <v>777</v>
      </c>
      <c r="B28" s="214" t="s">
        <v>745</v>
      </c>
      <c r="C28" s="222">
        <v>650</v>
      </c>
      <c r="D28" s="214" t="s">
        <v>778</v>
      </c>
      <c r="E28" s="214" t="s">
        <v>750</v>
      </c>
      <c r="F28" s="214" t="s">
        <v>289</v>
      </c>
      <c r="G28" s="215">
        <v>1029</v>
      </c>
      <c r="H28" s="215">
        <v>975</v>
      </c>
      <c r="I28" s="215">
        <v>123.5</v>
      </c>
      <c r="J28" s="223">
        <v>43615</v>
      </c>
      <c r="K28" s="223">
        <v>46142</v>
      </c>
      <c r="L28" s="223">
        <v>43615</v>
      </c>
      <c r="M28" s="223"/>
      <c r="N28" s="215">
        <v>0</v>
      </c>
      <c r="O28" s="222">
        <v>0</v>
      </c>
      <c r="P28" s="222">
        <v>0</v>
      </c>
    </row>
    <row r="29" spans="1:16" ht="15.5" x14ac:dyDescent="0.35">
      <c r="A29" s="214" t="s">
        <v>779</v>
      </c>
      <c r="B29" s="214" t="s">
        <v>745</v>
      </c>
      <c r="C29" s="222">
        <v>650</v>
      </c>
      <c r="D29" s="214" t="s">
        <v>780</v>
      </c>
      <c r="E29" s="214" t="s">
        <v>750</v>
      </c>
      <c r="F29" s="214" t="s">
        <v>289</v>
      </c>
      <c r="G29" s="215">
        <v>1029</v>
      </c>
      <c r="H29" s="215">
        <v>999</v>
      </c>
      <c r="I29" s="215">
        <v>113.5</v>
      </c>
      <c r="J29" s="223">
        <v>45744</v>
      </c>
      <c r="K29" s="223">
        <v>46139</v>
      </c>
      <c r="L29" s="223">
        <v>45744</v>
      </c>
      <c r="M29" s="223"/>
      <c r="N29" s="215">
        <v>0</v>
      </c>
      <c r="O29" s="222">
        <v>4</v>
      </c>
      <c r="P29" s="222">
        <v>2</v>
      </c>
    </row>
    <row r="30" spans="1:16" ht="15.5" x14ac:dyDescent="0.35">
      <c r="A30" s="214" t="s">
        <v>781</v>
      </c>
      <c r="B30" s="214" t="s">
        <v>745</v>
      </c>
      <c r="C30" s="222">
        <v>650</v>
      </c>
      <c r="D30" s="214" t="s">
        <v>782</v>
      </c>
      <c r="E30" s="214" t="s">
        <v>747</v>
      </c>
      <c r="F30" s="214" t="s">
        <v>290</v>
      </c>
      <c r="G30" s="215">
        <v>1029</v>
      </c>
      <c r="H30" s="215">
        <v>999</v>
      </c>
      <c r="I30" s="215">
        <v>124.5</v>
      </c>
      <c r="J30" s="223">
        <v>45152</v>
      </c>
      <c r="K30" s="223">
        <v>45900</v>
      </c>
      <c r="L30" s="223">
        <v>45152</v>
      </c>
      <c r="M30" s="223">
        <v>45964</v>
      </c>
      <c r="N30" s="215">
        <v>2742</v>
      </c>
      <c r="O30" s="222">
        <v>0</v>
      </c>
      <c r="P30" s="222">
        <v>5</v>
      </c>
    </row>
    <row r="31" spans="1:16" ht="15.5" x14ac:dyDescent="0.35">
      <c r="A31" s="214" t="s">
        <v>783</v>
      </c>
      <c r="B31" s="214" t="s">
        <v>745</v>
      </c>
      <c r="C31" s="222">
        <v>650</v>
      </c>
      <c r="D31" s="214" t="s">
        <v>784</v>
      </c>
      <c r="E31" s="214" t="s">
        <v>750</v>
      </c>
      <c r="F31" s="214" t="s">
        <v>289</v>
      </c>
      <c r="G31" s="215">
        <v>1029</v>
      </c>
      <c r="H31" s="215">
        <v>999</v>
      </c>
      <c r="I31" s="215">
        <v>133.5</v>
      </c>
      <c r="J31" s="223">
        <v>45666</v>
      </c>
      <c r="K31" s="223">
        <v>46030</v>
      </c>
      <c r="L31" s="223">
        <v>45666</v>
      </c>
      <c r="M31" s="223"/>
      <c r="N31" s="215">
        <v>-1132.5</v>
      </c>
      <c r="O31" s="222">
        <v>0</v>
      </c>
      <c r="P31" s="222">
        <v>0</v>
      </c>
    </row>
    <row r="32" spans="1:16" ht="15.5" x14ac:dyDescent="0.35">
      <c r="A32" s="214" t="s">
        <v>785</v>
      </c>
      <c r="B32" s="214" t="s">
        <v>745</v>
      </c>
      <c r="C32" s="222">
        <v>650</v>
      </c>
      <c r="D32" s="214" t="s">
        <v>786</v>
      </c>
      <c r="E32" s="214" t="s">
        <v>750</v>
      </c>
      <c r="F32" s="214" t="s">
        <v>289</v>
      </c>
      <c r="G32" s="215">
        <v>1029</v>
      </c>
      <c r="H32" s="215">
        <v>999</v>
      </c>
      <c r="I32" s="215">
        <v>109</v>
      </c>
      <c r="J32" s="223">
        <v>43511</v>
      </c>
      <c r="K32" s="223">
        <v>46234</v>
      </c>
      <c r="L32" s="223">
        <v>43511</v>
      </c>
      <c r="M32" s="223"/>
      <c r="N32" s="215">
        <v>0</v>
      </c>
      <c r="O32" s="222">
        <v>0</v>
      </c>
      <c r="P32" s="222">
        <v>0</v>
      </c>
    </row>
    <row r="33" spans="1:16" ht="15.5" x14ac:dyDescent="0.35">
      <c r="A33" s="214" t="s">
        <v>787</v>
      </c>
      <c r="B33" s="214" t="s">
        <v>745</v>
      </c>
      <c r="C33" s="222">
        <v>650</v>
      </c>
      <c r="D33" s="214" t="s">
        <v>788</v>
      </c>
      <c r="E33" s="214" t="s">
        <v>750</v>
      </c>
      <c r="F33" s="214" t="s">
        <v>289</v>
      </c>
      <c r="G33" s="215">
        <v>1029</v>
      </c>
      <c r="H33" s="215">
        <v>999</v>
      </c>
      <c r="I33" s="215">
        <v>129.5</v>
      </c>
      <c r="J33" s="223">
        <v>45061</v>
      </c>
      <c r="K33" s="223">
        <v>46234</v>
      </c>
      <c r="L33" s="223">
        <v>45061</v>
      </c>
      <c r="M33" s="223"/>
      <c r="N33" s="215">
        <v>-1128.5</v>
      </c>
      <c r="O33" s="222">
        <v>0</v>
      </c>
      <c r="P33" s="222">
        <v>0</v>
      </c>
    </row>
    <row r="34" spans="1:16" ht="15.5" x14ac:dyDescent="0.35">
      <c r="A34" s="214" t="s">
        <v>789</v>
      </c>
      <c r="B34" s="214" t="s">
        <v>745</v>
      </c>
      <c r="C34" s="222">
        <v>650</v>
      </c>
      <c r="D34" s="214" t="s">
        <v>790</v>
      </c>
      <c r="E34" s="214" t="s">
        <v>750</v>
      </c>
      <c r="F34" s="214" t="s">
        <v>289</v>
      </c>
      <c r="G34" s="215">
        <v>1029</v>
      </c>
      <c r="H34" s="215">
        <v>999</v>
      </c>
      <c r="I34" s="215">
        <v>121.5</v>
      </c>
      <c r="J34" s="223">
        <v>45867</v>
      </c>
      <c r="K34" s="223">
        <v>46234</v>
      </c>
      <c r="L34" s="223">
        <v>45867</v>
      </c>
      <c r="M34" s="223"/>
      <c r="N34" s="215">
        <v>0</v>
      </c>
      <c r="O34" s="222">
        <v>0</v>
      </c>
      <c r="P34" s="222">
        <v>0</v>
      </c>
    </row>
    <row r="35" spans="1:16" ht="15.5" x14ac:dyDescent="0.35">
      <c r="A35" s="214" t="s">
        <v>791</v>
      </c>
      <c r="B35" s="214" t="s">
        <v>745</v>
      </c>
      <c r="C35" s="222">
        <v>650</v>
      </c>
      <c r="D35" s="214" t="s">
        <v>792</v>
      </c>
      <c r="E35" s="214" t="s">
        <v>750</v>
      </c>
      <c r="F35" s="214" t="s">
        <v>289</v>
      </c>
      <c r="G35" s="215">
        <v>1029</v>
      </c>
      <c r="H35" s="215">
        <v>999</v>
      </c>
      <c r="I35" s="215">
        <v>111.5</v>
      </c>
      <c r="J35" s="223">
        <v>45618</v>
      </c>
      <c r="K35" s="223">
        <v>45982</v>
      </c>
      <c r="L35" s="223">
        <v>45618</v>
      </c>
      <c r="M35" s="223"/>
      <c r="N35" s="215">
        <v>-1629</v>
      </c>
      <c r="O35" s="222">
        <v>0</v>
      </c>
      <c r="P35" s="222">
        <v>3</v>
      </c>
    </row>
    <row r="36" spans="1:16" ht="15.5" x14ac:dyDescent="0.35">
      <c r="A36" s="214" t="s">
        <v>793</v>
      </c>
      <c r="B36" s="214" t="s">
        <v>745</v>
      </c>
      <c r="C36" s="222">
        <v>650</v>
      </c>
      <c r="D36" s="214" t="s">
        <v>794</v>
      </c>
      <c r="E36" s="214" t="s">
        <v>750</v>
      </c>
      <c r="F36" s="214" t="s">
        <v>289</v>
      </c>
      <c r="G36" s="215">
        <v>1029</v>
      </c>
      <c r="H36" s="215">
        <v>999</v>
      </c>
      <c r="I36" s="215">
        <v>111.5</v>
      </c>
      <c r="J36" s="223">
        <v>45601</v>
      </c>
      <c r="K36" s="223">
        <v>45961</v>
      </c>
      <c r="L36" s="223">
        <v>45601</v>
      </c>
      <c r="M36" s="223"/>
      <c r="N36" s="215">
        <v>-1110.5</v>
      </c>
      <c r="O36" s="222">
        <v>0</v>
      </c>
      <c r="P36" s="222">
        <v>0</v>
      </c>
    </row>
    <row r="37" spans="1:16" ht="15.5" x14ac:dyDescent="0.35">
      <c r="A37" s="214" t="s">
        <v>795</v>
      </c>
      <c r="B37" s="214" t="s">
        <v>745</v>
      </c>
      <c r="C37" s="222">
        <v>650</v>
      </c>
      <c r="D37" s="214" t="s">
        <v>796</v>
      </c>
      <c r="E37" s="214" t="s">
        <v>750</v>
      </c>
      <c r="F37" s="214" t="s">
        <v>289</v>
      </c>
      <c r="G37" s="215">
        <v>1029</v>
      </c>
      <c r="H37" s="215">
        <v>999</v>
      </c>
      <c r="I37" s="215">
        <v>141.5</v>
      </c>
      <c r="J37" s="223">
        <v>45630</v>
      </c>
      <c r="K37" s="223">
        <v>45994</v>
      </c>
      <c r="L37" s="223">
        <v>45630</v>
      </c>
      <c r="M37" s="223"/>
      <c r="N37" s="215">
        <v>-240.5</v>
      </c>
      <c r="O37" s="222">
        <v>0</v>
      </c>
      <c r="P37" s="222">
        <v>0</v>
      </c>
    </row>
    <row r="38" spans="1:16" ht="15.5" x14ac:dyDescent="0.35">
      <c r="A38" s="214" t="s">
        <v>797</v>
      </c>
      <c r="B38" s="214" t="s">
        <v>798</v>
      </c>
      <c r="C38" s="222">
        <v>800</v>
      </c>
      <c r="D38" s="214" t="s">
        <v>799</v>
      </c>
      <c r="E38" s="214" t="s">
        <v>750</v>
      </c>
      <c r="F38" s="214" t="s">
        <v>289</v>
      </c>
      <c r="G38" s="215">
        <v>1049</v>
      </c>
      <c r="H38" s="215">
        <v>999</v>
      </c>
      <c r="I38" s="215">
        <v>-378.5</v>
      </c>
      <c r="J38" s="223">
        <v>45899</v>
      </c>
      <c r="K38" s="223">
        <v>46263</v>
      </c>
      <c r="L38" s="223">
        <v>45899</v>
      </c>
      <c r="M38" s="223"/>
      <c r="N38" s="215">
        <v>-1105</v>
      </c>
      <c r="O38" s="222">
        <v>0</v>
      </c>
      <c r="P38" s="222">
        <v>0</v>
      </c>
    </row>
    <row r="39" spans="1:16" ht="15.5" x14ac:dyDescent="0.35">
      <c r="A39" s="214" t="s">
        <v>800</v>
      </c>
      <c r="B39" s="214" t="s">
        <v>745</v>
      </c>
      <c r="C39" s="222">
        <v>650</v>
      </c>
      <c r="D39" s="214" t="s">
        <v>801</v>
      </c>
      <c r="E39" s="214" t="s">
        <v>750</v>
      </c>
      <c r="F39" s="214" t="s">
        <v>289</v>
      </c>
      <c r="G39" s="215">
        <v>1029</v>
      </c>
      <c r="H39" s="215">
        <v>999</v>
      </c>
      <c r="I39" s="215">
        <v>113.5</v>
      </c>
      <c r="J39" s="223">
        <v>45772</v>
      </c>
      <c r="K39" s="223">
        <v>46142</v>
      </c>
      <c r="L39" s="223">
        <v>45772</v>
      </c>
      <c r="M39" s="223"/>
      <c r="N39" s="215">
        <v>0</v>
      </c>
      <c r="O39" s="222">
        <v>0</v>
      </c>
      <c r="P39" s="222">
        <v>0</v>
      </c>
    </row>
    <row r="40" spans="1:16" ht="15.5" x14ac:dyDescent="0.35">
      <c r="A40" s="214" t="s">
        <v>802</v>
      </c>
      <c r="B40" s="214" t="s">
        <v>745</v>
      </c>
      <c r="C40" s="222">
        <v>650</v>
      </c>
      <c r="D40" s="214" t="s">
        <v>803</v>
      </c>
      <c r="E40" s="214" t="s">
        <v>750</v>
      </c>
      <c r="F40" s="214" t="s">
        <v>289</v>
      </c>
      <c r="G40" s="215">
        <v>1029</v>
      </c>
      <c r="H40" s="215">
        <v>999</v>
      </c>
      <c r="I40" s="215">
        <v>105.5</v>
      </c>
      <c r="J40" s="223">
        <v>45710</v>
      </c>
      <c r="K40" s="223">
        <v>46074</v>
      </c>
      <c r="L40" s="223">
        <v>45710</v>
      </c>
      <c r="M40" s="223"/>
      <c r="N40" s="215">
        <v>0</v>
      </c>
      <c r="O40" s="222">
        <v>2</v>
      </c>
      <c r="P40" s="222">
        <v>1</v>
      </c>
    </row>
    <row r="41" spans="1:16" ht="15.5" x14ac:dyDescent="0.35">
      <c r="A41" s="214" t="s">
        <v>804</v>
      </c>
      <c r="B41" s="214" t="s">
        <v>745</v>
      </c>
      <c r="C41" s="222">
        <v>650</v>
      </c>
      <c r="D41" s="214" t="s">
        <v>805</v>
      </c>
      <c r="E41" s="214" t="s">
        <v>750</v>
      </c>
      <c r="F41" s="214" t="s">
        <v>289</v>
      </c>
      <c r="G41" s="215">
        <v>1029</v>
      </c>
      <c r="H41" s="215">
        <v>999</v>
      </c>
      <c r="I41" s="215">
        <v>118</v>
      </c>
      <c r="J41" s="223">
        <v>44228</v>
      </c>
      <c r="K41" s="223">
        <v>46053</v>
      </c>
      <c r="L41" s="223">
        <v>44228</v>
      </c>
      <c r="M41" s="223"/>
      <c r="N41" s="215">
        <v>-1117</v>
      </c>
      <c r="O41" s="222">
        <v>0</v>
      </c>
      <c r="P41" s="222">
        <v>0</v>
      </c>
    </row>
    <row r="42" spans="1:16" ht="15.5" x14ac:dyDescent="0.35">
      <c r="A42" s="214" t="s">
        <v>806</v>
      </c>
      <c r="B42" s="214" t="s">
        <v>745</v>
      </c>
      <c r="C42" s="222">
        <v>650</v>
      </c>
      <c r="D42" s="214" t="s">
        <v>807</v>
      </c>
      <c r="E42" s="214" t="s">
        <v>750</v>
      </c>
      <c r="F42" s="214" t="s">
        <v>289</v>
      </c>
      <c r="G42" s="215">
        <v>1029</v>
      </c>
      <c r="H42" s="215">
        <v>999</v>
      </c>
      <c r="I42" s="215">
        <v>141.5</v>
      </c>
      <c r="J42" s="223">
        <v>45659</v>
      </c>
      <c r="K42" s="223">
        <v>46023</v>
      </c>
      <c r="L42" s="223">
        <v>45659</v>
      </c>
      <c r="M42" s="223"/>
      <c r="N42" s="215">
        <v>-1140.5</v>
      </c>
      <c r="O42" s="222">
        <v>0</v>
      </c>
      <c r="P42" s="222">
        <v>2</v>
      </c>
    </row>
    <row r="43" spans="1:16" ht="15.5" x14ac:dyDescent="0.35">
      <c r="A43" s="214" t="s">
        <v>808</v>
      </c>
      <c r="B43" s="214" t="s">
        <v>745</v>
      </c>
      <c r="C43" s="222">
        <v>650</v>
      </c>
      <c r="D43" s="214" t="s">
        <v>809</v>
      </c>
      <c r="E43" s="214" t="s">
        <v>750</v>
      </c>
      <c r="F43" s="214" t="s">
        <v>289</v>
      </c>
      <c r="G43" s="215">
        <v>1029</v>
      </c>
      <c r="H43" s="215">
        <v>999</v>
      </c>
      <c r="I43" s="215">
        <v>111.5</v>
      </c>
      <c r="J43" s="223">
        <v>45582</v>
      </c>
      <c r="K43" s="223">
        <v>46295</v>
      </c>
      <c r="L43" s="223">
        <v>45582</v>
      </c>
      <c r="M43" s="223"/>
      <c r="N43" s="215">
        <v>0</v>
      </c>
      <c r="O43" s="222">
        <v>0</v>
      </c>
      <c r="P43" s="222">
        <v>2</v>
      </c>
    </row>
    <row r="44" spans="1:16" ht="15.5" x14ac:dyDescent="0.35">
      <c r="A44" s="214" t="s">
        <v>810</v>
      </c>
      <c r="B44" s="214" t="s">
        <v>745</v>
      </c>
      <c r="C44" s="222">
        <v>650</v>
      </c>
      <c r="D44" s="214" t="s">
        <v>811</v>
      </c>
      <c r="E44" s="214" t="s">
        <v>750</v>
      </c>
      <c r="F44" s="214" t="s">
        <v>289</v>
      </c>
      <c r="G44" s="215">
        <v>1029</v>
      </c>
      <c r="H44" s="215">
        <v>999</v>
      </c>
      <c r="I44" s="215">
        <v>96.5</v>
      </c>
      <c r="J44" s="223"/>
      <c r="K44" s="223">
        <v>46326</v>
      </c>
      <c r="L44" s="223">
        <v>41979</v>
      </c>
      <c r="M44" s="223"/>
      <c r="N44" s="215">
        <v>-1120</v>
      </c>
      <c r="O44" s="222">
        <v>0</v>
      </c>
      <c r="P44" s="222">
        <v>1</v>
      </c>
    </row>
    <row r="45" spans="1:16" ht="15.5" x14ac:dyDescent="0.35">
      <c r="A45" s="214" t="s">
        <v>812</v>
      </c>
      <c r="B45" s="214" t="s">
        <v>745</v>
      </c>
      <c r="C45" s="222">
        <v>650</v>
      </c>
      <c r="D45" s="214" t="s">
        <v>813</v>
      </c>
      <c r="E45" s="214" t="s">
        <v>750</v>
      </c>
      <c r="F45" s="214" t="s">
        <v>289</v>
      </c>
      <c r="G45" s="215">
        <v>1029</v>
      </c>
      <c r="H45" s="215">
        <v>999</v>
      </c>
      <c r="I45" s="215">
        <v>111.5</v>
      </c>
      <c r="J45" s="223">
        <v>45595</v>
      </c>
      <c r="K45" s="223">
        <v>45959</v>
      </c>
      <c r="L45" s="223">
        <v>45595</v>
      </c>
      <c r="M45" s="223"/>
      <c r="N45" s="215">
        <v>-3</v>
      </c>
      <c r="O45" s="222">
        <v>0</v>
      </c>
      <c r="P45" s="222">
        <v>3</v>
      </c>
    </row>
    <row r="46" spans="1:16" ht="15.5" x14ac:dyDescent="0.35">
      <c r="A46" s="214" t="s">
        <v>814</v>
      </c>
      <c r="B46" s="214" t="s">
        <v>745</v>
      </c>
      <c r="C46" s="222">
        <v>650</v>
      </c>
      <c r="D46" s="214" t="s">
        <v>815</v>
      </c>
      <c r="E46" s="214" t="s">
        <v>750</v>
      </c>
      <c r="F46" s="214" t="s">
        <v>289</v>
      </c>
      <c r="G46" s="215">
        <v>1029</v>
      </c>
      <c r="H46" s="215">
        <v>999</v>
      </c>
      <c r="I46" s="215">
        <v>113.5</v>
      </c>
      <c r="J46" s="223">
        <v>45778</v>
      </c>
      <c r="K46" s="223">
        <v>46142</v>
      </c>
      <c r="L46" s="223">
        <v>45778</v>
      </c>
      <c r="M46" s="223"/>
      <c r="N46" s="215">
        <v>0</v>
      </c>
      <c r="O46" s="222">
        <v>0</v>
      </c>
      <c r="P46" s="222">
        <v>0</v>
      </c>
    </row>
    <row r="47" spans="1:16" ht="15.5" x14ac:dyDescent="0.35">
      <c r="A47" s="214" t="s">
        <v>816</v>
      </c>
      <c r="B47" s="214" t="s">
        <v>745</v>
      </c>
      <c r="C47" s="222">
        <v>650</v>
      </c>
      <c r="D47" s="214" t="s">
        <v>817</v>
      </c>
      <c r="E47" s="214" t="s">
        <v>750</v>
      </c>
      <c r="F47" s="214" t="s">
        <v>289</v>
      </c>
      <c r="G47" s="215">
        <v>1029</v>
      </c>
      <c r="H47" s="215">
        <v>999</v>
      </c>
      <c r="I47" s="215">
        <v>113.5</v>
      </c>
      <c r="J47" s="223">
        <v>45383</v>
      </c>
      <c r="K47" s="223">
        <v>46112</v>
      </c>
      <c r="L47" s="223">
        <v>45383</v>
      </c>
      <c r="M47" s="223"/>
      <c r="N47" s="215">
        <v>0</v>
      </c>
      <c r="O47" s="222">
        <v>0</v>
      </c>
      <c r="P47" s="222">
        <v>0</v>
      </c>
    </row>
    <row r="48" spans="1:16" ht="15.5" x14ac:dyDescent="0.35">
      <c r="A48" s="214" t="s">
        <v>818</v>
      </c>
      <c r="B48" s="214" t="s">
        <v>798</v>
      </c>
      <c r="C48" s="222">
        <v>800</v>
      </c>
      <c r="D48" s="214" t="s">
        <v>819</v>
      </c>
      <c r="E48" s="214" t="s">
        <v>750</v>
      </c>
      <c r="F48" s="214" t="s">
        <v>289</v>
      </c>
      <c r="G48" s="215">
        <v>1049</v>
      </c>
      <c r="H48" s="215">
        <v>999</v>
      </c>
      <c r="I48" s="215"/>
      <c r="J48" s="223">
        <v>45900</v>
      </c>
      <c r="K48" s="223">
        <v>46264</v>
      </c>
      <c r="L48" s="223">
        <v>45900</v>
      </c>
      <c r="M48" s="223"/>
      <c r="N48" s="215">
        <v>-600</v>
      </c>
      <c r="O48" s="222">
        <v>0</v>
      </c>
      <c r="P48" s="222">
        <v>0</v>
      </c>
    </row>
    <row r="49" spans="1:16" ht="15.5" x14ac:dyDescent="0.35">
      <c r="A49" s="214" t="s">
        <v>820</v>
      </c>
      <c r="B49" s="214" t="s">
        <v>798</v>
      </c>
      <c r="C49" s="222">
        <v>800</v>
      </c>
      <c r="D49" s="214" t="s">
        <v>821</v>
      </c>
      <c r="E49" s="214" t="s">
        <v>750</v>
      </c>
      <c r="F49" s="214" t="s">
        <v>289</v>
      </c>
      <c r="G49" s="215">
        <v>1049</v>
      </c>
      <c r="H49" s="215">
        <v>999</v>
      </c>
      <c r="I49" s="215">
        <v>118.5</v>
      </c>
      <c r="J49" s="223">
        <v>45880</v>
      </c>
      <c r="K49" s="223">
        <v>46244</v>
      </c>
      <c r="L49" s="223">
        <v>45880</v>
      </c>
      <c r="M49" s="223"/>
      <c r="N49" s="215">
        <v>141</v>
      </c>
      <c r="O49" s="222">
        <v>0</v>
      </c>
      <c r="P49" s="222">
        <v>2</v>
      </c>
    </row>
    <row r="50" spans="1:16" ht="15.5" x14ac:dyDescent="0.35">
      <c r="A50" s="214" t="s">
        <v>822</v>
      </c>
      <c r="B50" s="214" t="s">
        <v>798</v>
      </c>
      <c r="C50" s="222">
        <v>800</v>
      </c>
      <c r="D50" s="214" t="s">
        <v>823</v>
      </c>
      <c r="E50" s="214" t="s">
        <v>750</v>
      </c>
      <c r="F50" s="214" t="s">
        <v>289</v>
      </c>
      <c r="G50" s="215">
        <v>1049</v>
      </c>
      <c r="H50" s="215">
        <v>999</v>
      </c>
      <c r="I50" s="215">
        <v>-378</v>
      </c>
      <c r="J50" s="223">
        <v>45891</v>
      </c>
      <c r="K50" s="223">
        <v>46265</v>
      </c>
      <c r="L50" s="223">
        <v>45891</v>
      </c>
      <c r="M50" s="223"/>
      <c r="N50" s="215">
        <v>-1121</v>
      </c>
      <c r="O50" s="222">
        <v>0</v>
      </c>
      <c r="P50" s="222">
        <v>0</v>
      </c>
    </row>
    <row r="51" spans="1:16" ht="15.5" x14ac:dyDescent="0.35">
      <c r="A51" s="214" t="s">
        <v>824</v>
      </c>
      <c r="B51" s="214" t="s">
        <v>740</v>
      </c>
      <c r="C51" s="222">
        <v>850</v>
      </c>
      <c r="D51" s="214" t="s">
        <v>825</v>
      </c>
      <c r="E51" s="214" t="s">
        <v>750</v>
      </c>
      <c r="F51" s="214" t="s">
        <v>289</v>
      </c>
      <c r="G51" s="215">
        <v>1149</v>
      </c>
      <c r="H51" s="215">
        <v>1000</v>
      </c>
      <c r="I51" s="215">
        <v>106.5</v>
      </c>
      <c r="J51" s="223">
        <v>42620</v>
      </c>
      <c r="K51" s="223">
        <v>46326</v>
      </c>
      <c r="L51" s="223">
        <v>42620</v>
      </c>
      <c r="M51" s="223"/>
      <c r="N51" s="215">
        <v>-1136.5</v>
      </c>
      <c r="O51" s="222">
        <v>0</v>
      </c>
      <c r="P51" s="222">
        <v>0</v>
      </c>
    </row>
    <row r="52" spans="1:16" ht="15.5" x14ac:dyDescent="0.35">
      <c r="A52" s="214" t="s">
        <v>826</v>
      </c>
      <c r="B52" s="214" t="s">
        <v>798</v>
      </c>
      <c r="C52" s="222">
        <v>800</v>
      </c>
      <c r="D52" s="214" t="s">
        <v>827</v>
      </c>
      <c r="E52" s="214" t="s">
        <v>750</v>
      </c>
      <c r="F52" s="214" t="s">
        <v>289</v>
      </c>
      <c r="G52" s="215">
        <v>1049</v>
      </c>
      <c r="H52" s="215">
        <v>1000</v>
      </c>
      <c r="I52" s="215">
        <v>158.5</v>
      </c>
      <c r="J52" s="223">
        <v>45055</v>
      </c>
      <c r="K52" s="223">
        <v>45777</v>
      </c>
      <c r="L52" s="223">
        <v>45055</v>
      </c>
      <c r="M52" s="223"/>
      <c r="N52" s="215">
        <v>0</v>
      </c>
      <c r="O52" s="222">
        <v>0</v>
      </c>
      <c r="P52" s="222">
        <v>0</v>
      </c>
    </row>
    <row r="53" spans="1:16" ht="15.5" x14ac:dyDescent="0.35">
      <c r="A53" s="214" t="s">
        <v>828</v>
      </c>
      <c r="B53" s="214" t="s">
        <v>745</v>
      </c>
      <c r="C53" s="222">
        <v>650</v>
      </c>
      <c r="D53" s="214" t="s">
        <v>829</v>
      </c>
      <c r="E53" s="214" t="s">
        <v>750</v>
      </c>
      <c r="F53" s="214" t="s">
        <v>289</v>
      </c>
      <c r="G53" s="215">
        <v>1029</v>
      </c>
      <c r="H53" s="215">
        <v>1040</v>
      </c>
      <c r="I53" s="215">
        <v>133.5</v>
      </c>
      <c r="J53" s="223">
        <v>44968</v>
      </c>
      <c r="K53" s="223">
        <v>45747</v>
      </c>
      <c r="L53" s="223">
        <v>44968</v>
      </c>
      <c r="M53" s="223"/>
      <c r="N53" s="215">
        <v>-1173.5</v>
      </c>
      <c r="O53" s="222">
        <v>0</v>
      </c>
      <c r="P53" s="222">
        <v>2</v>
      </c>
    </row>
    <row r="54" spans="1:16" ht="15.5" x14ac:dyDescent="0.35">
      <c r="A54" s="214" t="s">
        <v>830</v>
      </c>
      <c r="B54" s="214" t="s">
        <v>745</v>
      </c>
      <c r="C54" s="222">
        <v>650</v>
      </c>
      <c r="D54" s="214" t="s">
        <v>831</v>
      </c>
      <c r="E54" s="214" t="s">
        <v>750</v>
      </c>
      <c r="F54" s="214" t="s">
        <v>289</v>
      </c>
      <c r="G54" s="215">
        <v>1029</v>
      </c>
      <c r="H54" s="215">
        <v>1045</v>
      </c>
      <c r="I54" s="215">
        <v>153</v>
      </c>
      <c r="J54" s="223">
        <v>45313</v>
      </c>
      <c r="K54" s="223">
        <v>46053</v>
      </c>
      <c r="L54" s="223">
        <v>45313</v>
      </c>
      <c r="M54" s="223"/>
      <c r="N54" s="215">
        <v>-1198</v>
      </c>
      <c r="O54" s="222">
        <v>0</v>
      </c>
      <c r="P54" s="222">
        <v>2</v>
      </c>
    </row>
    <row r="55" spans="1:16" ht="15.5" x14ac:dyDescent="0.35">
      <c r="A55" s="214" t="s">
        <v>832</v>
      </c>
      <c r="B55" s="214" t="s">
        <v>740</v>
      </c>
      <c r="C55" s="222">
        <v>850</v>
      </c>
      <c r="D55" s="214" t="s">
        <v>833</v>
      </c>
      <c r="E55" s="214" t="s">
        <v>750</v>
      </c>
      <c r="F55" s="214" t="s">
        <v>289</v>
      </c>
      <c r="G55" s="215">
        <v>1149</v>
      </c>
      <c r="H55" s="215">
        <v>1049</v>
      </c>
      <c r="I55" s="215">
        <v>-1049</v>
      </c>
      <c r="J55" s="223">
        <v>45930</v>
      </c>
      <c r="K55" s="223">
        <v>46295</v>
      </c>
      <c r="L55" s="223">
        <v>45930</v>
      </c>
      <c r="M55" s="223"/>
      <c r="N55" s="215">
        <v>0</v>
      </c>
      <c r="O55" s="222">
        <v>0</v>
      </c>
      <c r="P55" s="222">
        <v>0</v>
      </c>
    </row>
    <row r="56" spans="1:16" ht="15.5" x14ac:dyDescent="0.35">
      <c r="A56" s="214" t="s">
        <v>834</v>
      </c>
      <c r="B56" s="214" t="s">
        <v>740</v>
      </c>
      <c r="C56" s="222">
        <v>850</v>
      </c>
      <c r="D56" s="214" t="s">
        <v>835</v>
      </c>
      <c r="E56" s="214" t="s">
        <v>750</v>
      </c>
      <c r="F56" s="214" t="s">
        <v>289</v>
      </c>
      <c r="G56" s="215">
        <v>1149</v>
      </c>
      <c r="H56" s="215">
        <v>1049</v>
      </c>
      <c r="I56" s="215">
        <v>121.5</v>
      </c>
      <c r="J56" s="223">
        <v>45947</v>
      </c>
      <c r="K56" s="223">
        <v>46326</v>
      </c>
      <c r="L56" s="223">
        <v>45947</v>
      </c>
      <c r="M56" s="223"/>
      <c r="N56" s="215">
        <v>0</v>
      </c>
      <c r="O56" s="222">
        <v>0</v>
      </c>
      <c r="P56" s="222">
        <v>0</v>
      </c>
    </row>
    <row r="57" spans="1:16" ht="15.5" x14ac:dyDescent="0.35">
      <c r="A57" s="214" t="s">
        <v>836</v>
      </c>
      <c r="B57" s="214" t="s">
        <v>740</v>
      </c>
      <c r="C57" s="222">
        <v>850</v>
      </c>
      <c r="D57" s="214" t="s">
        <v>837</v>
      </c>
      <c r="E57" s="214" t="s">
        <v>750</v>
      </c>
      <c r="F57" s="214" t="s">
        <v>289</v>
      </c>
      <c r="G57" s="215">
        <v>1149</v>
      </c>
      <c r="H57" s="215">
        <v>1049</v>
      </c>
      <c r="I57" s="215">
        <v>121.5</v>
      </c>
      <c r="J57" s="223">
        <v>45902</v>
      </c>
      <c r="K57" s="223">
        <v>46266</v>
      </c>
      <c r="L57" s="223">
        <v>45902</v>
      </c>
      <c r="M57" s="223"/>
      <c r="N57" s="215">
        <v>0</v>
      </c>
      <c r="O57" s="222">
        <v>0</v>
      </c>
      <c r="P57" s="222">
        <v>0</v>
      </c>
    </row>
    <row r="58" spans="1:16" ht="15.5" x14ac:dyDescent="0.35">
      <c r="A58" s="214" t="s">
        <v>838</v>
      </c>
      <c r="B58" s="214" t="s">
        <v>798</v>
      </c>
      <c r="C58" s="222">
        <v>800</v>
      </c>
      <c r="D58" s="214" t="s">
        <v>839</v>
      </c>
      <c r="E58" s="214" t="s">
        <v>750</v>
      </c>
      <c r="F58" s="214" t="s">
        <v>289</v>
      </c>
      <c r="G58" s="215">
        <v>1049</v>
      </c>
      <c r="H58" s="215">
        <v>1049</v>
      </c>
      <c r="I58" s="215">
        <v>-378.5</v>
      </c>
      <c r="J58" s="223">
        <v>45899</v>
      </c>
      <c r="K58" s="223">
        <v>46263</v>
      </c>
      <c r="L58" s="223">
        <v>45899</v>
      </c>
      <c r="M58" s="223"/>
      <c r="N58" s="215">
        <v>0</v>
      </c>
      <c r="O58" s="222">
        <v>0</v>
      </c>
      <c r="P58" s="222">
        <v>0</v>
      </c>
    </row>
    <row r="59" spans="1:16" ht="15.5" x14ac:dyDescent="0.35">
      <c r="A59" s="214" t="s">
        <v>840</v>
      </c>
      <c r="B59" s="214" t="s">
        <v>745</v>
      </c>
      <c r="C59" s="222">
        <v>650</v>
      </c>
      <c r="D59" s="214" t="s">
        <v>841</v>
      </c>
      <c r="E59" s="214" t="s">
        <v>750</v>
      </c>
      <c r="F59" s="214" t="s">
        <v>289</v>
      </c>
      <c r="G59" s="215">
        <v>1029</v>
      </c>
      <c r="H59" s="215">
        <v>1049</v>
      </c>
      <c r="I59" s="215">
        <v>133.5</v>
      </c>
      <c r="J59" s="223">
        <v>45065</v>
      </c>
      <c r="K59" s="223">
        <v>45748</v>
      </c>
      <c r="L59" s="223">
        <v>45065</v>
      </c>
      <c r="M59" s="223"/>
      <c r="N59" s="215">
        <v>-1182.5</v>
      </c>
      <c r="O59" s="222">
        <v>0</v>
      </c>
      <c r="P59" s="222">
        <v>2</v>
      </c>
    </row>
    <row r="60" spans="1:16" ht="15.5" x14ac:dyDescent="0.35">
      <c r="A60" s="214" t="s">
        <v>842</v>
      </c>
      <c r="B60" s="214" t="s">
        <v>740</v>
      </c>
      <c r="C60" s="222">
        <v>850</v>
      </c>
      <c r="D60" s="214" t="s">
        <v>843</v>
      </c>
      <c r="E60" s="214" t="s">
        <v>750</v>
      </c>
      <c r="F60" s="214" t="s">
        <v>289</v>
      </c>
      <c r="G60" s="215">
        <v>1149</v>
      </c>
      <c r="H60" s="215">
        <v>1049</v>
      </c>
      <c r="I60" s="215">
        <v>121.5</v>
      </c>
      <c r="J60" s="223">
        <v>45897</v>
      </c>
      <c r="K60" s="223">
        <v>46261</v>
      </c>
      <c r="L60" s="223">
        <v>45897</v>
      </c>
      <c r="M60" s="223"/>
      <c r="N60" s="215">
        <v>0</v>
      </c>
      <c r="O60" s="222">
        <v>0</v>
      </c>
      <c r="P60" s="222">
        <v>0</v>
      </c>
    </row>
    <row r="61" spans="1:16" ht="15.5" x14ac:dyDescent="0.35">
      <c r="A61" s="214" t="s">
        <v>844</v>
      </c>
      <c r="B61" s="214" t="s">
        <v>740</v>
      </c>
      <c r="C61" s="222">
        <v>850</v>
      </c>
      <c r="D61" s="214" t="s">
        <v>845</v>
      </c>
      <c r="E61" s="214" t="s">
        <v>750</v>
      </c>
      <c r="F61" s="214" t="s">
        <v>289</v>
      </c>
      <c r="G61" s="215">
        <v>1149</v>
      </c>
      <c r="H61" s="215">
        <v>1049</v>
      </c>
      <c r="I61" s="215">
        <v>-378.5</v>
      </c>
      <c r="J61" s="223">
        <v>45897</v>
      </c>
      <c r="K61" s="223">
        <v>46265</v>
      </c>
      <c r="L61" s="223">
        <v>45897</v>
      </c>
      <c r="M61" s="223"/>
      <c r="N61" s="215">
        <v>-1233</v>
      </c>
      <c r="O61" s="222">
        <v>0</v>
      </c>
      <c r="P61" s="222">
        <v>1</v>
      </c>
    </row>
    <row r="62" spans="1:16" ht="15.5" x14ac:dyDescent="0.35">
      <c r="A62" s="214" t="s">
        <v>846</v>
      </c>
      <c r="B62" s="214" t="s">
        <v>740</v>
      </c>
      <c r="C62" s="222">
        <v>850</v>
      </c>
      <c r="D62" s="214" t="s">
        <v>847</v>
      </c>
      <c r="E62" s="214" t="s">
        <v>750</v>
      </c>
      <c r="F62" s="214" t="s">
        <v>289</v>
      </c>
      <c r="G62" s="215">
        <v>1149</v>
      </c>
      <c r="H62" s="215">
        <v>1049</v>
      </c>
      <c r="I62" s="215">
        <v>106.5</v>
      </c>
      <c r="J62" s="223">
        <v>45931</v>
      </c>
      <c r="K62" s="223">
        <v>46295</v>
      </c>
      <c r="L62" s="223">
        <v>41508</v>
      </c>
      <c r="M62" s="223"/>
      <c r="N62" s="215">
        <v>0</v>
      </c>
      <c r="O62" s="222">
        <v>0</v>
      </c>
      <c r="P62" s="222">
        <v>0</v>
      </c>
    </row>
    <row r="63" spans="1:16" ht="15.5" x14ac:dyDescent="0.35">
      <c r="A63" s="214" t="s">
        <v>848</v>
      </c>
      <c r="B63" s="214" t="s">
        <v>740</v>
      </c>
      <c r="C63" s="222">
        <v>850</v>
      </c>
      <c r="D63" s="214" t="s">
        <v>849</v>
      </c>
      <c r="E63" s="214" t="s">
        <v>750</v>
      </c>
      <c r="F63" s="214" t="s">
        <v>289</v>
      </c>
      <c r="G63" s="215">
        <v>1149</v>
      </c>
      <c r="H63" s="215">
        <v>1049</v>
      </c>
      <c r="I63" s="215">
        <v>121.5</v>
      </c>
      <c r="J63" s="223">
        <v>45931</v>
      </c>
      <c r="K63" s="223">
        <v>46295</v>
      </c>
      <c r="L63" s="223">
        <v>45931</v>
      </c>
      <c r="M63" s="223"/>
      <c r="N63" s="215">
        <v>0</v>
      </c>
      <c r="O63" s="222">
        <v>0</v>
      </c>
      <c r="P63" s="222">
        <v>0</v>
      </c>
    </row>
    <row r="64" spans="1:16" ht="15.5" x14ac:dyDescent="0.35">
      <c r="A64" s="214" t="s">
        <v>850</v>
      </c>
      <c r="B64" s="214" t="s">
        <v>740</v>
      </c>
      <c r="C64" s="222">
        <v>850</v>
      </c>
      <c r="D64" s="214" t="s">
        <v>851</v>
      </c>
      <c r="E64" s="214" t="s">
        <v>750</v>
      </c>
      <c r="F64" s="214" t="s">
        <v>289</v>
      </c>
      <c r="G64" s="215">
        <v>1149</v>
      </c>
      <c r="H64" s="215">
        <v>1049</v>
      </c>
      <c r="I64" s="215">
        <v>-1049</v>
      </c>
      <c r="J64" s="223">
        <v>45926</v>
      </c>
      <c r="K64" s="223">
        <v>46295</v>
      </c>
      <c r="L64" s="223">
        <v>45926</v>
      </c>
      <c r="M64" s="223"/>
      <c r="N64" s="215">
        <v>0</v>
      </c>
      <c r="O64" s="222">
        <v>0</v>
      </c>
      <c r="P64" s="222">
        <v>0</v>
      </c>
    </row>
    <row r="65" spans="1:16" ht="15.5" x14ac:dyDescent="0.35">
      <c r="A65" s="214" t="s">
        <v>852</v>
      </c>
      <c r="B65" s="214" t="s">
        <v>740</v>
      </c>
      <c r="C65" s="222">
        <v>850</v>
      </c>
      <c r="D65" s="214" t="s">
        <v>853</v>
      </c>
      <c r="E65" s="214" t="s">
        <v>750</v>
      </c>
      <c r="F65" s="214" t="s">
        <v>289</v>
      </c>
      <c r="G65" s="215">
        <v>1149</v>
      </c>
      <c r="H65" s="215">
        <v>1049</v>
      </c>
      <c r="I65" s="215">
        <v>-1049</v>
      </c>
      <c r="J65" s="223">
        <v>45920</v>
      </c>
      <c r="K65" s="223">
        <v>46295</v>
      </c>
      <c r="L65" s="223">
        <v>45920</v>
      </c>
      <c r="M65" s="223"/>
      <c r="N65" s="215">
        <v>0</v>
      </c>
      <c r="O65" s="222">
        <v>0</v>
      </c>
      <c r="P65" s="222">
        <v>0</v>
      </c>
    </row>
    <row r="66" spans="1:16" ht="15.5" x14ac:dyDescent="0.35">
      <c r="A66" s="214" t="s">
        <v>854</v>
      </c>
      <c r="B66" s="214" t="s">
        <v>798</v>
      </c>
      <c r="C66" s="222">
        <v>800</v>
      </c>
      <c r="D66" s="214" t="s">
        <v>855</v>
      </c>
      <c r="E66" s="214" t="s">
        <v>750</v>
      </c>
      <c r="F66" s="214" t="s">
        <v>289</v>
      </c>
      <c r="G66" s="215">
        <v>1049</v>
      </c>
      <c r="H66" s="215">
        <v>1049</v>
      </c>
      <c r="I66" s="215">
        <v>130.5</v>
      </c>
      <c r="J66" s="223">
        <v>45432</v>
      </c>
      <c r="K66" s="223">
        <v>46203</v>
      </c>
      <c r="L66" s="223">
        <v>45432</v>
      </c>
      <c r="M66" s="223"/>
      <c r="N66" s="215">
        <v>786.5</v>
      </c>
      <c r="O66" s="222">
        <v>0</v>
      </c>
      <c r="P66" s="222">
        <v>2</v>
      </c>
    </row>
    <row r="67" spans="1:16" ht="15.5" x14ac:dyDescent="0.35">
      <c r="A67" s="214" t="s">
        <v>856</v>
      </c>
      <c r="B67" s="214" t="s">
        <v>798</v>
      </c>
      <c r="C67" s="222">
        <v>800</v>
      </c>
      <c r="D67" s="214" t="s">
        <v>857</v>
      </c>
      <c r="E67" s="214" t="s">
        <v>750</v>
      </c>
      <c r="F67" s="214" t="s">
        <v>289</v>
      </c>
      <c r="G67" s="215">
        <v>1049</v>
      </c>
      <c r="H67" s="215">
        <v>1050</v>
      </c>
      <c r="I67" s="215">
        <v>153.5</v>
      </c>
      <c r="J67" s="223">
        <v>45708</v>
      </c>
      <c r="K67" s="223">
        <v>46072</v>
      </c>
      <c r="L67" s="223">
        <v>45708</v>
      </c>
      <c r="M67" s="223"/>
      <c r="N67" s="215">
        <v>0</v>
      </c>
      <c r="O67" s="222">
        <v>1</v>
      </c>
      <c r="P67" s="222">
        <v>1</v>
      </c>
    </row>
    <row r="68" spans="1:16" ht="15.5" x14ac:dyDescent="0.35">
      <c r="A68" s="214" t="s">
        <v>858</v>
      </c>
      <c r="B68" s="214" t="s">
        <v>798</v>
      </c>
      <c r="C68" s="222">
        <v>800</v>
      </c>
      <c r="D68" s="214" t="s">
        <v>859</v>
      </c>
      <c r="E68" s="214" t="s">
        <v>750</v>
      </c>
      <c r="F68" s="214" t="s">
        <v>289</v>
      </c>
      <c r="G68" s="215">
        <v>1049</v>
      </c>
      <c r="H68" s="215">
        <v>1050</v>
      </c>
      <c r="I68" s="215">
        <v>123.5</v>
      </c>
      <c r="J68" s="223">
        <v>45778</v>
      </c>
      <c r="K68" s="223">
        <v>46142</v>
      </c>
      <c r="L68" s="223">
        <v>45778</v>
      </c>
      <c r="M68" s="223"/>
      <c r="N68" s="215">
        <v>0</v>
      </c>
      <c r="O68" s="222">
        <v>0</v>
      </c>
      <c r="P68" s="222">
        <v>0</v>
      </c>
    </row>
    <row r="69" spans="1:16" ht="15.5" x14ac:dyDescent="0.35">
      <c r="A69" s="214" t="s">
        <v>860</v>
      </c>
      <c r="B69" s="214" t="s">
        <v>798</v>
      </c>
      <c r="C69" s="222">
        <v>800</v>
      </c>
      <c r="D69" s="214" t="s">
        <v>861</v>
      </c>
      <c r="E69" s="214" t="s">
        <v>750</v>
      </c>
      <c r="F69" s="214" t="s">
        <v>289</v>
      </c>
      <c r="G69" s="215">
        <v>1049</v>
      </c>
      <c r="H69" s="215">
        <v>1050</v>
      </c>
      <c r="I69" s="215">
        <v>123.5</v>
      </c>
      <c r="J69" s="223">
        <v>45839</v>
      </c>
      <c r="K69" s="223">
        <v>46203</v>
      </c>
      <c r="L69" s="223">
        <v>45839</v>
      </c>
      <c r="M69" s="223"/>
      <c r="N69" s="215">
        <v>0</v>
      </c>
      <c r="O69" s="222">
        <v>0</v>
      </c>
      <c r="P69" s="222">
        <v>0</v>
      </c>
    </row>
    <row r="70" spans="1:16" ht="15.5" x14ac:dyDescent="0.35">
      <c r="A70" s="214" t="s">
        <v>862</v>
      </c>
      <c r="B70" s="214" t="s">
        <v>740</v>
      </c>
      <c r="C70" s="222">
        <v>850</v>
      </c>
      <c r="D70" s="214" t="s">
        <v>863</v>
      </c>
      <c r="E70" s="214" t="s">
        <v>750</v>
      </c>
      <c r="F70" s="214" t="s">
        <v>289</v>
      </c>
      <c r="G70" s="215">
        <v>1149</v>
      </c>
      <c r="H70" s="215">
        <v>1050</v>
      </c>
      <c r="I70" s="215">
        <v>134.5</v>
      </c>
      <c r="J70" s="223">
        <v>44510</v>
      </c>
      <c r="K70" s="223">
        <v>45991</v>
      </c>
      <c r="L70" s="223">
        <v>44510</v>
      </c>
      <c r="M70" s="223"/>
      <c r="N70" s="215">
        <v>0</v>
      </c>
      <c r="O70" s="222">
        <v>0</v>
      </c>
      <c r="P70" s="222">
        <v>0</v>
      </c>
    </row>
    <row r="71" spans="1:16" ht="15.5" x14ac:dyDescent="0.35">
      <c r="A71" s="214" t="s">
        <v>864</v>
      </c>
      <c r="B71" s="214" t="s">
        <v>798</v>
      </c>
      <c r="C71" s="222">
        <v>800</v>
      </c>
      <c r="D71" s="214" t="s">
        <v>865</v>
      </c>
      <c r="E71" s="214" t="s">
        <v>750</v>
      </c>
      <c r="F71" s="214" t="s">
        <v>289</v>
      </c>
      <c r="G71" s="215">
        <v>1049</v>
      </c>
      <c r="H71" s="215">
        <v>1050</v>
      </c>
      <c r="I71" s="215">
        <v>106.5</v>
      </c>
      <c r="J71" s="223">
        <v>42987</v>
      </c>
      <c r="K71" s="223">
        <v>46295</v>
      </c>
      <c r="L71" s="223">
        <v>42987</v>
      </c>
      <c r="M71" s="223"/>
      <c r="N71" s="215">
        <v>0</v>
      </c>
      <c r="O71" s="222">
        <v>0</v>
      </c>
      <c r="P71" s="222">
        <v>2</v>
      </c>
    </row>
    <row r="72" spans="1:16" ht="15.5" x14ac:dyDescent="0.35">
      <c r="A72" s="214" t="s">
        <v>866</v>
      </c>
      <c r="B72" s="214" t="s">
        <v>798</v>
      </c>
      <c r="C72" s="222">
        <v>800</v>
      </c>
      <c r="D72" s="214" t="s">
        <v>867</v>
      </c>
      <c r="E72" s="214" t="s">
        <v>750</v>
      </c>
      <c r="F72" s="214" t="s">
        <v>289</v>
      </c>
      <c r="G72" s="215">
        <v>1049</v>
      </c>
      <c r="H72" s="215">
        <v>1050</v>
      </c>
      <c r="I72" s="215">
        <v>121.5</v>
      </c>
      <c r="J72" s="223">
        <v>45536</v>
      </c>
      <c r="K72" s="223">
        <v>46264</v>
      </c>
      <c r="L72" s="223">
        <v>45536</v>
      </c>
      <c r="M72" s="223"/>
      <c r="N72" s="215">
        <v>-1171.5</v>
      </c>
      <c r="O72" s="222">
        <v>0</v>
      </c>
      <c r="P72" s="222">
        <v>0</v>
      </c>
    </row>
    <row r="73" spans="1:16" ht="15.5" x14ac:dyDescent="0.35">
      <c r="A73" s="214" t="s">
        <v>868</v>
      </c>
      <c r="B73" s="214" t="s">
        <v>798</v>
      </c>
      <c r="C73" s="222">
        <v>800</v>
      </c>
      <c r="D73" s="214" t="s">
        <v>869</v>
      </c>
      <c r="E73" s="214" t="s">
        <v>750</v>
      </c>
      <c r="F73" s="214" t="s">
        <v>289</v>
      </c>
      <c r="G73" s="215">
        <v>1049</v>
      </c>
      <c r="H73" s="215">
        <v>1050</v>
      </c>
      <c r="I73" s="215">
        <v>-158.5</v>
      </c>
      <c r="J73" s="223">
        <v>45383</v>
      </c>
      <c r="K73" s="223">
        <v>46142</v>
      </c>
      <c r="L73" s="223">
        <v>45383</v>
      </c>
      <c r="M73" s="223"/>
      <c r="N73" s="215">
        <v>0</v>
      </c>
      <c r="O73" s="222">
        <v>0</v>
      </c>
      <c r="P73" s="222">
        <v>0</v>
      </c>
    </row>
    <row r="74" spans="1:16" ht="15.5" x14ac:dyDescent="0.35">
      <c r="A74" s="214" t="s">
        <v>870</v>
      </c>
      <c r="B74" s="214" t="s">
        <v>798</v>
      </c>
      <c r="C74" s="222">
        <v>800</v>
      </c>
      <c r="D74" s="214" t="s">
        <v>871</v>
      </c>
      <c r="E74" s="214" t="s">
        <v>750</v>
      </c>
      <c r="F74" s="214" t="s">
        <v>289</v>
      </c>
      <c r="G74" s="215">
        <v>1049</v>
      </c>
      <c r="H74" s="215">
        <v>1050</v>
      </c>
      <c r="I74" s="215">
        <v>114</v>
      </c>
      <c r="J74" s="223">
        <v>44550</v>
      </c>
      <c r="K74" s="223">
        <v>46022</v>
      </c>
      <c r="L74" s="223">
        <v>44550</v>
      </c>
      <c r="M74" s="223"/>
      <c r="N74" s="215">
        <v>0</v>
      </c>
      <c r="O74" s="222">
        <v>0</v>
      </c>
      <c r="P74" s="222">
        <v>0</v>
      </c>
    </row>
    <row r="75" spans="1:16" ht="15.5" x14ac:dyDescent="0.35">
      <c r="A75" s="214" t="s">
        <v>872</v>
      </c>
      <c r="B75" s="214" t="s">
        <v>740</v>
      </c>
      <c r="C75" s="222">
        <v>850</v>
      </c>
      <c r="D75" s="214" t="s">
        <v>873</v>
      </c>
      <c r="E75" s="214" t="s">
        <v>750</v>
      </c>
      <c r="F75" s="214" t="s">
        <v>289</v>
      </c>
      <c r="G75" s="215">
        <v>1149</v>
      </c>
      <c r="H75" s="215">
        <v>1055</v>
      </c>
      <c r="I75" s="215">
        <v>106.5</v>
      </c>
      <c r="J75" s="223">
        <v>43859</v>
      </c>
      <c r="K75" s="223">
        <v>46326</v>
      </c>
      <c r="L75" s="223">
        <v>43859</v>
      </c>
      <c r="M75" s="223"/>
      <c r="N75" s="215">
        <v>0</v>
      </c>
      <c r="O75" s="222">
        <v>0</v>
      </c>
      <c r="P75" s="222">
        <v>4</v>
      </c>
    </row>
    <row r="76" spans="1:16" ht="15.5" x14ac:dyDescent="0.35">
      <c r="A76" s="214" t="s">
        <v>874</v>
      </c>
      <c r="B76" s="214" t="s">
        <v>798</v>
      </c>
      <c r="C76" s="222">
        <v>800</v>
      </c>
      <c r="D76" s="214" t="s">
        <v>875</v>
      </c>
      <c r="E76" s="214" t="s">
        <v>750</v>
      </c>
      <c r="F76" s="214" t="s">
        <v>289</v>
      </c>
      <c r="G76" s="215">
        <v>1049</v>
      </c>
      <c r="H76" s="215">
        <v>1074</v>
      </c>
      <c r="I76" s="215">
        <v>121.5</v>
      </c>
      <c r="J76" s="223">
        <v>45391</v>
      </c>
      <c r="K76" s="223">
        <v>46112</v>
      </c>
      <c r="L76" s="223">
        <v>45391</v>
      </c>
      <c r="M76" s="223"/>
      <c r="N76" s="215">
        <v>0</v>
      </c>
      <c r="O76" s="222">
        <v>1</v>
      </c>
      <c r="P76" s="222">
        <v>4</v>
      </c>
    </row>
    <row r="77" spans="1:16" ht="15.5" x14ac:dyDescent="0.35">
      <c r="A77" s="214" t="s">
        <v>876</v>
      </c>
      <c r="B77" s="214" t="s">
        <v>798</v>
      </c>
      <c r="C77" s="222">
        <v>800</v>
      </c>
      <c r="D77" s="214" t="s">
        <v>877</v>
      </c>
      <c r="E77" s="214" t="s">
        <v>750</v>
      </c>
      <c r="F77" s="214" t="s">
        <v>289</v>
      </c>
      <c r="G77" s="215">
        <v>1049</v>
      </c>
      <c r="H77" s="215">
        <v>1075</v>
      </c>
      <c r="I77" s="215">
        <v>149.5</v>
      </c>
      <c r="J77" s="223">
        <v>45124</v>
      </c>
      <c r="K77" s="223">
        <v>46326</v>
      </c>
      <c r="L77" s="223">
        <v>45124</v>
      </c>
      <c r="M77" s="223"/>
      <c r="N77" s="215">
        <v>-1224.5</v>
      </c>
      <c r="O77" s="222">
        <v>0</v>
      </c>
      <c r="P77" s="222">
        <v>0</v>
      </c>
    </row>
    <row r="78" spans="1:16" ht="15.5" x14ac:dyDescent="0.35">
      <c r="A78" s="214" t="s">
        <v>878</v>
      </c>
      <c r="B78" s="214" t="s">
        <v>798</v>
      </c>
      <c r="C78" s="222">
        <v>800</v>
      </c>
      <c r="D78" s="214" t="s">
        <v>879</v>
      </c>
      <c r="E78" s="214" t="s">
        <v>750</v>
      </c>
      <c r="F78" s="214" t="s">
        <v>289</v>
      </c>
      <c r="G78" s="215">
        <v>1049</v>
      </c>
      <c r="H78" s="215">
        <v>1075</v>
      </c>
      <c r="I78" s="215">
        <v>158.5</v>
      </c>
      <c r="J78" s="223">
        <v>45064</v>
      </c>
      <c r="K78" s="223">
        <v>46203</v>
      </c>
      <c r="L78" s="223">
        <v>45064</v>
      </c>
      <c r="M78" s="223"/>
      <c r="N78" s="215">
        <v>-1233.5</v>
      </c>
      <c r="O78" s="222">
        <v>0</v>
      </c>
      <c r="P78" s="222">
        <v>1</v>
      </c>
    </row>
    <row r="79" spans="1:16" ht="15.5" x14ac:dyDescent="0.35">
      <c r="A79" s="214" t="s">
        <v>880</v>
      </c>
      <c r="B79" s="214" t="s">
        <v>740</v>
      </c>
      <c r="C79" s="222">
        <v>850</v>
      </c>
      <c r="D79" s="214" t="s">
        <v>881</v>
      </c>
      <c r="E79" s="214" t="s">
        <v>750</v>
      </c>
      <c r="F79" s="214" t="s">
        <v>289</v>
      </c>
      <c r="G79" s="215">
        <v>1149</v>
      </c>
      <c r="H79" s="215">
        <v>1085</v>
      </c>
      <c r="I79" s="215">
        <v>91</v>
      </c>
      <c r="J79" s="223">
        <v>42765</v>
      </c>
      <c r="K79" s="223">
        <v>46022</v>
      </c>
      <c r="L79" s="223">
        <v>42765</v>
      </c>
      <c r="M79" s="223"/>
      <c r="N79" s="215">
        <v>0</v>
      </c>
      <c r="O79" s="222">
        <v>0</v>
      </c>
      <c r="P79" s="222">
        <v>0</v>
      </c>
    </row>
    <row r="80" spans="1:16" ht="15.5" x14ac:dyDescent="0.35">
      <c r="A80" s="214" t="s">
        <v>882</v>
      </c>
      <c r="B80" s="214" t="s">
        <v>740</v>
      </c>
      <c r="C80" s="222">
        <v>850</v>
      </c>
      <c r="D80" s="214" t="s">
        <v>883</v>
      </c>
      <c r="E80" s="214" t="s">
        <v>750</v>
      </c>
      <c r="F80" s="214" t="s">
        <v>289</v>
      </c>
      <c r="G80" s="215">
        <v>1199</v>
      </c>
      <c r="H80" s="215">
        <v>1099</v>
      </c>
      <c r="I80" s="215">
        <v>-378.5</v>
      </c>
      <c r="J80" s="223">
        <v>45899</v>
      </c>
      <c r="K80" s="223">
        <v>46265</v>
      </c>
      <c r="L80" s="223">
        <v>45899</v>
      </c>
      <c r="M80" s="223"/>
      <c r="N80" s="215">
        <v>-1220.5</v>
      </c>
      <c r="O80" s="222">
        <v>0</v>
      </c>
      <c r="P80" s="222">
        <v>0</v>
      </c>
    </row>
    <row r="81" spans="1:16" ht="15.5" x14ac:dyDescent="0.35">
      <c r="A81" s="214" t="s">
        <v>884</v>
      </c>
      <c r="B81" s="214" t="s">
        <v>740</v>
      </c>
      <c r="C81" s="222">
        <v>850</v>
      </c>
      <c r="D81" s="214" t="s">
        <v>885</v>
      </c>
      <c r="E81" s="214" t="s">
        <v>750</v>
      </c>
      <c r="F81" s="214" t="s">
        <v>289</v>
      </c>
      <c r="G81" s="215">
        <v>1149</v>
      </c>
      <c r="H81" s="215">
        <v>1099</v>
      </c>
      <c r="I81" s="215">
        <v>121.5</v>
      </c>
      <c r="J81" s="223">
        <v>45943</v>
      </c>
      <c r="K81" s="223">
        <v>46326</v>
      </c>
      <c r="L81" s="223">
        <v>45943</v>
      </c>
      <c r="M81" s="223"/>
      <c r="N81" s="215">
        <v>113.72</v>
      </c>
      <c r="O81" s="222">
        <v>0</v>
      </c>
      <c r="P81" s="222">
        <v>1</v>
      </c>
    </row>
    <row r="82" spans="1:16" ht="15.5" x14ac:dyDescent="0.35">
      <c r="A82" s="214" t="s">
        <v>886</v>
      </c>
      <c r="B82" s="214" t="s">
        <v>740</v>
      </c>
      <c r="C82" s="222">
        <v>850</v>
      </c>
      <c r="D82" s="214" t="s">
        <v>887</v>
      </c>
      <c r="E82" s="214" t="s">
        <v>750</v>
      </c>
      <c r="F82" s="214" t="s">
        <v>289</v>
      </c>
      <c r="G82" s="215">
        <v>1199</v>
      </c>
      <c r="H82" s="215">
        <v>1099</v>
      </c>
      <c r="I82" s="215">
        <v>121.5</v>
      </c>
      <c r="J82" s="223">
        <v>45898</v>
      </c>
      <c r="K82" s="223">
        <v>46262</v>
      </c>
      <c r="L82" s="223">
        <v>45898</v>
      </c>
      <c r="M82" s="223"/>
      <c r="N82" s="215">
        <v>0</v>
      </c>
      <c r="O82" s="222">
        <v>0</v>
      </c>
      <c r="P82" s="222">
        <v>0</v>
      </c>
    </row>
    <row r="83" spans="1:16" ht="15.5" x14ac:dyDescent="0.35">
      <c r="A83" s="214" t="s">
        <v>888</v>
      </c>
      <c r="B83" s="214" t="s">
        <v>740</v>
      </c>
      <c r="C83" s="222">
        <v>850</v>
      </c>
      <c r="D83" s="214" t="s">
        <v>889</v>
      </c>
      <c r="E83" s="214" t="s">
        <v>750</v>
      </c>
      <c r="F83" s="214" t="s">
        <v>289</v>
      </c>
      <c r="G83" s="215">
        <v>1149</v>
      </c>
      <c r="H83" s="215">
        <v>1099</v>
      </c>
      <c r="I83" s="215">
        <v>121.5</v>
      </c>
      <c r="J83" s="223">
        <v>45938</v>
      </c>
      <c r="K83" s="223">
        <v>46326</v>
      </c>
      <c r="L83" s="223">
        <v>45938</v>
      </c>
      <c r="M83" s="223"/>
      <c r="N83" s="215">
        <v>0</v>
      </c>
      <c r="O83" s="222">
        <v>0</v>
      </c>
      <c r="P83" s="222">
        <v>0</v>
      </c>
    </row>
    <row r="84" spans="1:16" ht="15.5" x14ac:dyDescent="0.35">
      <c r="A84" s="214" t="s">
        <v>890</v>
      </c>
      <c r="B84" s="214" t="s">
        <v>740</v>
      </c>
      <c r="C84" s="222">
        <v>850</v>
      </c>
      <c r="D84" s="214" t="s">
        <v>891</v>
      </c>
      <c r="E84" s="214" t="s">
        <v>750</v>
      </c>
      <c r="F84" s="214" t="s">
        <v>289</v>
      </c>
      <c r="G84" s="215">
        <v>1199</v>
      </c>
      <c r="H84" s="215">
        <v>1099</v>
      </c>
      <c r="I84" s="215">
        <v>121.5</v>
      </c>
      <c r="J84" s="223">
        <v>45898</v>
      </c>
      <c r="K84" s="223">
        <v>46263</v>
      </c>
      <c r="L84" s="223">
        <v>45898</v>
      </c>
      <c r="M84" s="223"/>
      <c r="N84" s="215">
        <v>0</v>
      </c>
      <c r="O84" s="222">
        <v>1</v>
      </c>
      <c r="P84" s="222">
        <v>0</v>
      </c>
    </row>
    <row r="85" spans="1:16" ht="15.5" x14ac:dyDescent="0.35">
      <c r="A85" s="214" t="s">
        <v>892</v>
      </c>
      <c r="B85" s="214" t="s">
        <v>740</v>
      </c>
      <c r="C85" s="222">
        <v>850</v>
      </c>
      <c r="D85" s="214" t="s">
        <v>893</v>
      </c>
      <c r="E85" s="214" t="s">
        <v>750</v>
      </c>
      <c r="F85" s="214" t="s">
        <v>289</v>
      </c>
      <c r="G85" s="215">
        <v>1199</v>
      </c>
      <c r="H85" s="215">
        <v>1099</v>
      </c>
      <c r="I85" s="215">
        <v>121.5</v>
      </c>
      <c r="J85" s="223">
        <v>45889</v>
      </c>
      <c r="K85" s="223">
        <v>46255</v>
      </c>
      <c r="L85" s="223">
        <v>45889</v>
      </c>
      <c r="M85" s="223"/>
      <c r="N85" s="215">
        <v>-1220.5</v>
      </c>
      <c r="O85" s="222">
        <v>0</v>
      </c>
      <c r="P85" s="222">
        <v>0</v>
      </c>
    </row>
    <row r="86" spans="1:16" ht="15.5" x14ac:dyDescent="0.35">
      <c r="A86" s="214" t="s">
        <v>894</v>
      </c>
      <c r="B86" s="214" t="s">
        <v>740</v>
      </c>
      <c r="C86" s="222">
        <v>850</v>
      </c>
      <c r="D86" s="214" t="s">
        <v>895</v>
      </c>
      <c r="E86" s="214" t="s">
        <v>750</v>
      </c>
      <c r="F86" s="214" t="s">
        <v>289</v>
      </c>
      <c r="G86" s="215">
        <v>1199</v>
      </c>
      <c r="H86" s="215">
        <v>1099</v>
      </c>
      <c r="I86" s="215">
        <v>-1099</v>
      </c>
      <c r="J86" s="223">
        <v>45920</v>
      </c>
      <c r="K86" s="223">
        <v>46295</v>
      </c>
      <c r="L86" s="223">
        <v>45920</v>
      </c>
      <c r="M86" s="223"/>
      <c r="N86" s="215">
        <v>0</v>
      </c>
      <c r="O86" s="222">
        <v>0</v>
      </c>
      <c r="P86" s="222">
        <v>0</v>
      </c>
    </row>
    <row r="87" spans="1:16" ht="15.5" x14ac:dyDescent="0.35">
      <c r="A87" s="214" t="s">
        <v>896</v>
      </c>
      <c r="B87" s="214" t="s">
        <v>798</v>
      </c>
      <c r="C87" s="222">
        <v>800</v>
      </c>
      <c r="D87" s="214" t="s">
        <v>897</v>
      </c>
      <c r="E87" s="214" t="s">
        <v>750</v>
      </c>
      <c r="F87" s="214" t="s">
        <v>289</v>
      </c>
      <c r="G87" s="215">
        <v>1049</v>
      </c>
      <c r="H87" s="215">
        <v>1099</v>
      </c>
      <c r="I87" s="215">
        <v>124</v>
      </c>
      <c r="J87" s="223">
        <v>45516</v>
      </c>
      <c r="K87" s="223">
        <v>46245</v>
      </c>
      <c r="L87" s="223">
        <v>45516</v>
      </c>
      <c r="M87" s="223"/>
      <c r="N87" s="215">
        <v>0</v>
      </c>
      <c r="O87" s="222">
        <v>0</v>
      </c>
      <c r="P87" s="222">
        <v>0</v>
      </c>
    </row>
    <row r="88" spans="1:16" ht="15.5" x14ac:dyDescent="0.35">
      <c r="A88" s="214" t="s">
        <v>898</v>
      </c>
      <c r="B88" s="214" t="s">
        <v>740</v>
      </c>
      <c r="C88" s="222">
        <v>850</v>
      </c>
      <c r="D88" s="214" t="s">
        <v>899</v>
      </c>
      <c r="E88" s="214" t="s">
        <v>750</v>
      </c>
      <c r="F88" s="214" t="s">
        <v>289</v>
      </c>
      <c r="G88" s="215">
        <v>1199</v>
      </c>
      <c r="H88" s="215">
        <v>1099</v>
      </c>
      <c r="I88" s="215">
        <v>121.5</v>
      </c>
      <c r="J88" s="223">
        <v>45891</v>
      </c>
      <c r="K88" s="223">
        <v>46265</v>
      </c>
      <c r="L88" s="223">
        <v>45891</v>
      </c>
      <c r="M88" s="223"/>
      <c r="N88" s="215">
        <v>-1220.5</v>
      </c>
      <c r="O88" s="222">
        <v>0</v>
      </c>
      <c r="P88" s="222">
        <v>1</v>
      </c>
    </row>
    <row r="89" spans="1:16" ht="15.5" x14ac:dyDescent="0.35">
      <c r="A89" s="214" t="s">
        <v>900</v>
      </c>
      <c r="B89" s="214" t="s">
        <v>740</v>
      </c>
      <c r="C89" s="222">
        <v>850</v>
      </c>
      <c r="D89" s="214" t="s">
        <v>901</v>
      </c>
      <c r="E89" s="214" t="s">
        <v>750</v>
      </c>
      <c r="F89" s="214" t="s">
        <v>289</v>
      </c>
      <c r="G89" s="215">
        <v>1199</v>
      </c>
      <c r="H89" s="215">
        <v>1099</v>
      </c>
      <c r="I89" s="215">
        <v>121.5</v>
      </c>
      <c r="J89" s="223">
        <v>45897</v>
      </c>
      <c r="K89" s="223">
        <v>46261</v>
      </c>
      <c r="L89" s="223">
        <v>45897</v>
      </c>
      <c r="M89" s="223"/>
      <c r="N89" s="215">
        <v>-1500</v>
      </c>
      <c r="O89" s="222">
        <v>0</v>
      </c>
      <c r="P89" s="222">
        <v>0</v>
      </c>
    </row>
    <row r="90" spans="1:16" ht="15.5" x14ac:dyDescent="0.35">
      <c r="A90" s="214" t="s">
        <v>902</v>
      </c>
      <c r="B90" s="214" t="s">
        <v>740</v>
      </c>
      <c r="C90" s="222">
        <v>850</v>
      </c>
      <c r="D90" s="214" t="s">
        <v>903</v>
      </c>
      <c r="E90" s="214" t="s">
        <v>750</v>
      </c>
      <c r="F90" s="214" t="s">
        <v>289</v>
      </c>
      <c r="G90" s="215">
        <v>1199</v>
      </c>
      <c r="H90" s="215">
        <v>1099</v>
      </c>
      <c r="I90" s="215">
        <v>121.5</v>
      </c>
      <c r="J90" s="223">
        <v>45899</v>
      </c>
      <c r="K90" s="223">
        <v>46265</v>
      </c>
      <c r="L90" s="223">
        <v>45899</v>
      </c>
      <c r="M90" s="223"/>
      <c r="N90" s="215">
        <v>-337.76</v>
      </c>
      <c r="O90" s="222">
        <v>0</v>
      </c>
      <c r="P90" s="222">
        <v>0</v>
      </c>
    </row>
    <row r="91" spans="1:16" ht="15.5" x14ac:dyDescent="0.35">
      <c r="A91" s="214" t="s">
        <v>904</v>
      </c>
      <c r="B91" s="214" t="s">
        <v>740</v>
      </c>
      <c r="C91" s="222">
        <v>850</v>
      </c>
      <c r="D91" s="214" t="s">
        <v>905</v>
      </c>
      <c r="E91" s="214" t="s">
        <v>750</v>
      </c>
      <c r="F91" s="214" t="s">
        <v>289</v>
      </c>
      <c r="G91" s="215">
        <v>1199</v>
      </c>
      <c r="H91" s="215">
        <v>1099</v>
      </c>
      <c r="I91" s="215">
        <v>121.5</v>
      </c>
      <c r="J91" s="223">
        <v>45898</v>
      </c>
      <c r="K91" s="223">
        <v>46262</v>
      </c>
      <c r="L91" s="223">
        <v>45898</v>
      </c>
      <c r="M91" s="223"/>
      <c r="N91" s="215">
        <v>-1220.5</v>
      </c>
      <c r="O91" s="222">
        <v>0</v>
      </c>
      <c r="P91" s="222">
        <v>0</v>
      </c>
    </row>
    <row r="92" spans="1:16" ht="15.5" x14ac:dyDescent="0.35">
      <c r="A92" s="214" t="s">
        <v>906</v>
      </c>
      <c r="B92" s="214" t="s">
        <v>740</v>
      </c>
      <c r="C92" s="222">
        <v>850</v>
      </c>
      <c r="D92" s="214" t="s">
        <v>907</v>
      </c>
      <c r="E92" s="214" t="s">
        <v>750</v>
      </c>
      <c r="F92" s="214" t="s">
        <v>289</v>
      </c>
      <c r="G92" s="215">
        <v>1199</v>
      </c>
      <c r="H92" s="215">
        <v>1099</v>
      </c>
      <c r="I92" s="215">
        <v>-1099</v>
      </c>
      <c r="J92" s="223">
        <v>45910</v>
      </c>
      <c r="K92" s="223">
        <v>46295</v>
      </c>
      <c r="L92" s="223">
        <v>45919</v>
      </c>
      <c r="M92" s="223"/>
      <c r="N92" s="215">
        <v>-0.65</v>
      </c>
      <c r="O92" s="222">
        <v>0</v>
      </c>
      <c r="P92" s="222">
        <v>0</v>
      </c>
    </row>
    <row r="93" spans="1:16" ht="15.5" x14ac:dyDescent="0.35">
      <c r="A93" s="214" t="s">
        <v>908</v>
      </c>
      <c r="B93" s="214" t="s">
        <v>740</v>
      </c>
      <c r="C93" s="222">
        <v>850</v>
      </c>
      <c r="D93" s="214" t="s">
        <v>909</v>
      </c>
      <c r="E93" s="214" t="s">
        <v>750</v>
      </c>
      <c r="F93" s="214" t="s">
        <v>289</v>
      </c>
      <c r="G93" s="215">
        <v>1149</v>
      </c>
      <c r="H93" s="215">
        <v>1100</v>
      </c>
      <c r="I93" s="215">
        <v>130.5</v>
      </c>
      <c r="J93" s="223">
        <v>45383</v>
      </c>
      <c r="K93" s="223">
        <v>45737</v>
      </c>
      <c r="L93" s="223">
        <v>45383</v>
      </c>
      <c r="M93" s="223"/>
      <c r="N93" s="215">
        <v>-1230.5</v>
      </c>
      <c r="O93" s="222">
        <v>0</v>
      </c>
      <c r="P93" s="222">
        <v>0</v>
      </c>
    </row>
    <row r="94" spans="1:16" ht="15.5" x14ac:dyDescent="0.35">
      <c r="A94" s="214" t="s">
        <v>910</v>
      </c>
      <c r="B94" s="214" t="s">
        <v>740</v>
      </c>
      <c r="C94" s="222">
        <v>850</v>
      </c>
      <c r="D94" s="214" t="s">
        <v>911</v>
      </c>
      <c r="E94" s="214" t="s">
        <v>912</v>
      </c>
      <c r="F94" s="214" t="s">
        <v>289</v>
      </c>
      <c r="G94" s="215">
        <v>1149</v>
      </c>
      <c r="H94" s="215">
        <v>1100</v>
      </c>
      <c r="I94" s="215">
        <v>119</v>
      </c>
      <c r="J94" s="223">
        <v>45272</v>
      </c>
      <c r="K94" s="223">
        <v>46022</v>
      </c>
      <c r="L94" s="223">
        <v>45272</v>
      </c>
      <c r="M94" s="223">
        <v>46022</v>
      </c>
      <c r="N94" s="215">
        <v>-1219</v>
      </c>
      <c r="O94" s="222">
        <v>0</v>
      </c>
      <c r="P94" s="222">
        <v>0</v>
      </c>
    </row>
    <row r="95" spans="1:16" ht="15.5" x14ac:dyDescent="0.35">
      <c r="A95" s="214" t="s">
        <v>913</v>
      </c>
      <c r="B95" s="214" t="s">
        <v>745</v>
      </c>
      <c r="C95" s="222">
        <v>650</v>
      </c>
      <c r="D95" s="214" t="s">
        <v>914</v>
      </c>
      <c r="E95" s="214" t="s">
        <v>750</v>
      </c>
      <c r="F95" s="214" t="s">
        <v>289</v>
      </c>
      <c r="G95" s="215">
        <v>1029</v>
      </c>
      <c r="H95" s="215">
        <v>1101</v>
      </c>
      <c r="I95" s="215">
        <v>91</v>
      </c>
      <c r="J95" s="223">
        <v>43686</v>
      </c>
      <c r="K95" s="223">
        <v>46265</v>
      </c>
      <c r="L95" s="223">
        <v>43686</v>
      </c>
      <c r="M95" s="223"/>
      <c r="N95" s="215">
        <v>0</v>
      </c>
      <c r="O95" s="222">
        <v>0</v>
      </c>
      <c r="P95" s="222">
        <v>0</v>
      </c>
    </row>
    <row r="96" spans="1:16" ht="15.5" x14ac:dyDescent="0.35">
      <c r="A96" s="214" t="s">
        <v>915</v>
      </c>
      <c r="B96" s="214" t="s">
        <v>745</v>
      </c>
      <c r="C96" s="222">
        <v>650</v>
      </c>
      <c r="D96" s="214" t="s">
        <v>916</v>
      </c>
      <c r="E96" s="214" t="s">
        <v>750</v>
      </c>
      <c r="F96" s="214" t="s">
        <v>289</v>
      </c>
      <c r="G96" s="215">
        <v>1029</v>
      </c>
      <c r="H96" s="215">
        <v>1108</v>
      </c>
      <c r="I96" s="215">
        <v>-1</v>
      </c>
      <c r="J96" s="223">
        <v>45809</v>
      </c>
      <c r="K96" s="223">
        <v>46173</v>
      </c>
      <c r="L96" s="223">
        <v>45809</v>
      </c>
      <c r="M96" s="223"/>
      <c r="N96" s="215">
        <v>0</v>
      </c>
      <c r="O96" s="222">
        <v>0</v>
      </c>
      <c r="P96" s="222">
        <v>2</v>
      </c>
    </row>
    <row r="97" spans="1:16" ht="15.5" x14ac:dyDescent="0.35">
      <c r="A97" s="214" t="s">
        <v>917</v>
      </c>
      <c r="B97" s="214" t="s">
        <v>740</v>
      </c>
      <c r="C97" s="222">
        <v>850</v>
      </c>
      <c r="D97" s="214" t="s">
        <v>918</v>
      </c>
      <c r="E97" s="214" t="s">
        <v>750</v>
      </c>
      <c r="F97" s="214" t="s">
        <v>289</v>
      </c>
      <c r="G97" s="215">
        <v>1149</v>
      </c>
      <c r="H97" s="215">
        <v>1128</v>
      </c>
      <c r="I97" s="215">
        <v>98.5</v>
      </c>
      <c r="J97" s="223">
        <v>40634</v>
      </c>
      <c r="K97" s="223">
        <v>46044</v>
      </c>
      <c r="L97" s="223">
        <v>40634</v>
      </c>
      <c r="M97" s="223"/>
      <c r="N97" s="215">
        <v>0</v>
      </c>
      <c r="O97" s="222">
        <v>0</v>
      </c>
      <c r="P97" s="222">
        <v>0</v>
      </c>
    </row>
    <row r="98" spans="1:16" ht="15.5" x14ac:dyDescent="0.35">
      <c r="A98" s="214" t="s">
        <v>919</v>
      </c>
      <c r="B98" s="214" t="s">
        <v>740</v>
      </c>
      <c r="C98" s="222">
        <v>850</v>
      </c>
      <c r="D98" s="214" t="s">
        <v>920</v>
      </c>
      <c r="E98" s="214" t="s">
        <v>750</v>
      </c>
      <c r="F98" s="214" t="s">
        <v>289</v>
      </c>
      <c r="G98" s="215">
        <v>1149</v>
      </c>
      <c r="H98" s="215">
        <v>1130</v>
      </c>
      <c r="I98" s="215">
        <v>139.5</v>
      </c>
      <c r="J98" s="223">
        <v>45931</v>
      </c>
      <c r="K98" s="223">
        <v>46295</v>
      </c>
      <c r="L98" s="223">
        <v>45110</v>
      </c>
      <c r="M98" s="223"/>
      <c r="N98" s="215">
        <v>-1269.5</v>
      </c>
      <c r="O98" s="222">
        <v>0</v>
      </c>
      <c r="P98" s="222">
        <v>0</v>
      </c>
    </row>
    <row r="99" spans="1:16" ht="15.5" x14ac:dyDescent="0.35">
      <c r="A99" s="214" t="s">
        <v>921</v>
      </c>
      <c r="B99" s="214" t="s">
        <v>740</v>
      </c>
      <c r="C99" s="222">
        <v>850</v>
      </c>
      <c r="D99" s="214" t="s">
        <v>922</v>
      </c>
      <c r="E99" s="214" t="s">
        <v>750</v>
      </c>
      <c r="F99" s="214" t="s">
        <v>289</v>
      </c>
      <c r="G99" s="215">
        <v>1199</v>
      </c>
      <c r="H99" s="215">
        <v>1149</v>
      </c>
      <c r="I99" s="215">
        <v>-1149</v>
      </c>
      <c r="J99" s="223">
        <v>45930</v>
      </c>
      <c r="K99" s="223">
        <v>46295</v>
      </c>
      <c r="L99" s="223">
        <v>45930</v>
      </c>
      <c r="M99" s="223"/>
      <c r="N99" s="215">
        <v>0</v>
      </c>
      <c r="O99" s="222">
        <v>0</v>
      </c>
      <c r="P99" s="222">
        <v>0</v>
      </c>
    </row>
    <row r="100" spans="1:16" ht="15.5" x14ac:dyDescent="0.35">
      <c r="A100" s="214" t="s">
        <v>923</v>
      </c>
      <c r="B100" s="214" t="s">
        <v>740</v>
      </c>
      <c r="C100" s="222">
        <v>850</v>
      </c>
      <c r="D100" s="214" t="s">
        <v>924</v>
      </c>
      <c r="E100" s="214" t="s">
        <v>750</v>
      </c>
      <c r="F100" s="214" t="s">
        <v>289</v>
      </c>
      <c r="G100" s="215">
        <v>1199</v>
      </c>
      <c r="H100" s="215">
        <v>1149</v>
      </c>
      <c r="I100" s="215">
        <v>121.5</v>
      </c>
      <c r="J100" s="223">
        <v>45941</v>
      </c>
      <c r="K100" s="223">
        <v>46305</v>
      </c>
      <c r="L100" s="223">
        <v>45941</v>
      </c>
      <c r="M100" s="223"/>
      <c r="N100" s="215">
        <v>-0.01</v>
      </c>
      <c r="O100" s="222">
        <v>0</v>
      </c>
      <c r="P100" s="222">
        <v>0</v>
      </c>
    </row>
    <row r="101" spans="1:16" ht="15.5" x14ac:dyDescent="0.35">
      <c r="A101" s="214" t="s">
        <v>925</v>
      </c>
      <c r="B101" s="214" t="s">
        <v>740</v>
      </c>
      <c r="C101" s="222">
        <v>850</v>
      </c>
      <c r="D101" s="214" t="s">
        <v>926</v>
      </c>
      <c r="E101" s="214" t="s">
        <v>750</v>
      </c>
      <c r="F101" s="214" t="s">
        <v>289</v>
      </c>
      <c r="G101" s="215">
        <v>1149</v>
      </c>
      <c r="H101" s="215">
        <v>1150</v>
      </c>
      <c r="I101" s="215">
        <v>79.5</v>
      </c>
      <c r="J101" s="223">
        <v>44558</v>
      </c>
      <c r="K101" s="223">
        <v>46024</v>
      </c>
      <c r="L101" s="223">
        <v>44558</v>
      </c>
      <c r="M101" s="223"/>
      <c r="N101" s="215">
        <v>0</v>
      </c>
      <c r="O101" s="222">
        <v>0</v>
      </c>
      <c r="P101" s="222">
        <v>0</v>
      </c>
    </row>
    <row r="102" spans="1:16" ht="15.5" x14ac:dyDescent="0.35">
      <c r="A102" s="214" t="s">
        <v>927</v>
      </c>
      <c r="B102" s="214" t="s">
        <v>740</v>
      </c>
      <c r="C102" s="222">
        <v>850</v>
      </c>
      <c r="D102" s="214" t="s">
        <v>928</v>
      </c>
      <c r="E102" s="214" t="s">
        <v>750</v>
      </c>
      <c r="F102" s="214" t="s">
        <v>289</v>
      </c>
      <c r="G102" s="215">
        <v>1149</v>
      </c>
      <c r="H102" s="215">
        <v>1150</v>
      </c>
      <c r="I102" s="215">
        <v>134.5</v>
      </c>
      <c r="J102" s="223">
        <v>45164</v>
      </c>
      <c r="K102" s="223">
        <v>46259</v>
      </c>
      <c r="L102" s="223">
        <v>45164</v>
      </c>
      <c r="M102" s="223"/>
      <c r="N102" s="215">
        <v>-1284.5</v>
      </c>
      <c r="O102" s="222">
        <v>0</v>
      </c>
      <c r="P102" s="222">
        <v>0</v>
      </c>
    </row>
    <row r="103" spans="1:16" ht="15.5" x14ac:dyDescent="0.35">
      <c r="A103" s="214" t="s">
        <v>929</v>
      </c>
      <c r="B103" s="214" t="s">
        <v>740</v>
      </c>
      <c r="C103" s="222">
        <v>850</v>
      </c>
      <c r="D103" s="214" t="s">
        <v>930</v>
      </c>
      <c r="E103" s="214" t="s">
        <v>750</v>
      </c>
      <c r="F103" s="214" t="s">
        <v>289</v>
      </c>
      <c r="G103" s="215">
        <v>1149</v>
      </c>
      <c r="H103" s="215">
        <v>1150</v>
      </c>
      <c r="I103" s="215">
        <v>179.5</v>
      </c>
      <c r="J103" s="223">
        <v>45113</v>
      </c>
      <c r="K103" s="223">
        <v>45869</v>
      </c>
      <c r="L103" s="223">
        <v>45113</v>
      </c>
      <c r="M103" s="223"/>
      <c r="N103" s="215">
        <v>0</v>
      </c>
      <c r="O103" s="222">
        <v>0</v>
      </c>
      <c r="P103" s="222">
        <v>0</v>
      </c>
    </row>
    <row r="104" spans="1:16" ht="15.5" x14ac:dyDescent="0.35">
      <c r="A104" s="214" t="s">
        <v>931</v>
      </c>
      <c r="B104" s="214" t="s">
        <v>740</v>
      </c>
      <c r="C104" s="222">
        <v>850</v>
      </c>
      <c r="D104" s="214" t="s">
        <v>932</v>
      </c>
      <c r="E104" s="214" t="s">
        <v>750</v>
      </c>
      <c r="F104" s="214" t="s">
        <v>289</v>
      </c>
      <c r="G104" s="215">
        <v>1149</v>
      </c>
      <c r="H104" s="215">
        <v>1150</v>
      </c>
      <c r="I104" s="215">
        <v>134.5</v>
      </c>
      <c r="J104" s="223">
        <v>45243</v>
      </c>
      <c r="K104" s="223">
        <v>45991</v>
      </c>
      <c r="L104" s="223">
        <v>45243</v>
      </c>
      <c r="M104" s="223"/>
      <c r="N104" s="215">
        <v>-1284.5</v>
      </c>
      <c r="O104" s="222">
        <v>0</v>
      </c>
      <c r="P104" s="222">
        <v>0</v>
      </c>
    </row>
    <row r="105" spans="1:16" ht="15.5" x14ac:dyDescent="0.35">
      <c r="A105" s="214" t="s">
        <v>933</v>
      </c>
      <c r="B105" s="214" t="s">
        <v>798</v>
      </c>
      <c r="C105" s="222">
        <v>800</v>
      </c>
      <c r="D105" s="214" t="s">
        <v>934</v>
      </c>
      <c r="E105" s="214" t="s">
        <v>750</v>
      </c>
      <c r="F105" s="214" t="s">
        <v>289</v>
      </c>
      <c r="G105" s="215">
        <v>1049</v>
      </c>
      <c r="H105" s="215">
        <v>1150</v>
      </c>
      <c r="I105" s="215">
        <v>149.5</v>
      </c>
      <c r="J105" s="223">
        <v>45288</v>
      </c>
      <c r="K105" s="223">
        <v>46018</v>
      </c>
      <c r="L105" s="223">
        <v>45288</v>
      </c>
      <c r="M105" s="223"/>
      <c r="N105" s="215">
        <v>0</v>
      </c>
      <c r="O105" s="222">
        <v>0</v>
      </c>
      <c r="P105" s="222">
        <v>0</v>
      </c>
    </row>
    <row r="106" spans="1:16" ht="15.5" x14ac:dyDescent="0.35">
      <c r="A106" s="214" t="s">
        <v>935</v>
      </c>
      <c r="B106" s="214" t="s">
        <v>740</v>
      </c>
      <c r="C106" s="222">
        <v>850</v>
      </c>
      <c r="D106" s="214" t="s">
        <v>936</v>
      </c>
      <c r="E106" s="214" t="s">
        <v>750</v>
      </c>
      <c r="F106" s="214" t="s">
        <v>289</v>
      </c>
      <c r="G106" s="215">
        <v>1149</v>
      </c>
      <c r="H106" s="215">
        <v>1157</v>
      </c>
      <c r="I106" s="215">
        <v>142.5</v>
      </c>
      <c r="J106" s="223">
        <v>44938</v>
      </c>
      <c r="K106" s="223">
        <v>46033</v>
      </c>
      <c r="L106" s="223">
        <v>44938</v>
      </c>
      <c r="M106" s="223"/>
      <c r="N106" s="215">
        <v>-1299.5</v>
      </c>
      <c r="O106" s="222">
        <v>0</v>
      </c>
      <c r="P106" s="222">
        <v>0</v>
      </c>
    </row>
    <row r="107" spans="1:16" ht="15.5" x14ac:dyDescent="0.35">
      <c r="A107" s="214" t="s">
        <v>937</v>
      </c>
      <c r="B107" s="214" t="s">
        <v>740</v>
      </c>
      <c r="C107" s="222">
        <v>850</v>
      </c>
      <c r="D107" s="214" t="s">
        <v>938</v>
      </c>
      <c r="E107" s="214" t="s">
        <v>750</v>
      </c>
      <c r="F107" s="214" t="s">
        <v>289</v>
      </c>
      <c r="G107" s="215">
        <v>1149</v>
      </c>
      <c r="H107" s="215">
        <v>1175</v>
      </c>
      <c r="I107" s="215">
        <v>134.5</v>
      </c>
      <c r="J107" s="223">
        <v>45084</v>
      </c>
      <c r="K107" s="223">
        <v>46234</v>
      </c>
      <c r="L107" s="223">
        <v>45084</v>
      </c>
      <c r="M107" s="223"/>
      <c r="N107" s="215">
        <v>1559.5</v>
      </c>
      <c r="O107" s="222">
        <v>0</v>
      </c>
      <c r="P107" s="222">
        <v>2</v>
      </c>
    </row>
    <row r="108" spans="1:16" ht="15.5" x14ac:dyDescent="0.35">
      <c r="A108" s="214" t="s">
        <v>939</v>
      </c>
      <c r="B108" s="214" t="s">
        <v>740</v>
      </c>
      <c r="C108" s="222">
        <v>850</v>
      </c>
      <c r="D108" s="214" t="s">
        <v>940</v>
      </c>
      <c r="E108" s="214" t="s">
        <v>750</v>
      </c>
      <c r="F108" s="214" t="s">
        <v>289</v>
      </c>
      <c r="G108" s="215">
        <v>1149</v>
      </c>
      <c r="H108" s="215">
        <v>1199</v>
      </c>
      <c r="I108" s="215">
        <v>151.5</v>
      </c>
      <c r="J108" s="223">
        <v>45017</v>
      </c>
      <c r="K108" s="223">
        <v>45747</v>
      </c>
      <c r="L108" s="223">
        <v>45017</v>
      </c>
      <c r="M108" s="223"/>
      <c r="N108" s="215">
        <v>0</v>
      </c>
      <c r="O108" s="222">
        <v>0</v>
      </c>
      <c r="P108" s="222">
        <v>0</v>
      </c>
    </row>
    <row r="109" spans="1:16" ht="15.5" x14ac:dyDescent="0.35">
      <c r="A109" s="214" t="s">
        <v>941</v>
      </c>
      <c r="B109" s="214" t="s">
        <v>740</v>
      </c>
      <c r="C109" s="222">
        <v>850</v>
      </c>
      <c r="D109" s="214" t="s">
        <v>942</v>
      </c>
      <c r="E109" s="214" t="s">
        <v>912</v>
      </c>
      <c r="F109" s="214" t="s">
        <v>289</v>
      </c>
      <c r="G109" s="215">
        <v>1149</v>
      </c>
      <c r="H109" s="215">
        <v>1199</v>
      </c>
      <c r="I109" s="215">
        <v>134.5</v>
      </c>
      <c r="J109" s="223">
        <v>45205</v>
      </c>
      <c r="K109" s="223">
        <v>45961</v>
      </c>
      <c r="L109" s="223">
        <v>45205</v>
      </c>
      <c r="M109" s="223">
        <v>45961</v>
      </c>
      <c r="N109" s="215">
        <v>0</v>
      </c>
      <c r="O109" s="222">
        <v>0</v>
      </c>
      <c r="P109" s="222">
        <v>0</v>
      </c>
    </row>
    <row r="110" spans="1:16" ht="15.5" x14ac:dyDescent="0.35">
      <c r="A110" s="214" t="s">
        <v>943</v>
      </c>
      <c r="B110" s="214" t="s">
        <v>798</v>
      </c>
      <c r="C110" s="222">
        <v>800</v>
      </c>
      <c r="D110" s="214" t="s">
        <v>944</v>
      </c>
      <c r="E110" s="214" t="s">
        <v>750</v>
      </c>
      <c r="F110" s="214" t="s">
        <v>289</v>
      </c>
      <c r="G110" s="215">
        <v>1049</v>
      </c>
      <c r="H110" s="215">
        <v>1199</v>
      </c>
      <c r="I110" s="215">
        <v>131.5</v>
      </c>
      <c r="J110" s="223">
        <v>45562</v>
      </c>
      <c r="K110" s="223">
        <v>46295</v>
      </c>
      <c r="L110" s="223">
        <v>45562</v>
      </c>
      <c r="M110" s="223"/>
      <c r="N110" s="215">
        <v>-1430.5</v>
      </c>
      <c r="O110" s="222">
        <v>0</v>
      </c>
      <c r="P110" s="222">
        <v>3</v>
      </c>
    </row>
    <row r="111" spans="1:16" ht="15.5" x14ac:dyDescent="0.35">
      <c r="A111" s="214" t="s">
        <v>945</v>
      </c>
      <c r="B111" s="214" t="s">
        <v>740</v>
      </c>
      <c r="C111" s="222">
        <v>850</v>
      </c>
      <c r="D111" s="214" t="s">
        <v>946</v>
      </c>
      <c r="E111" s="214" t="s">
        <v>750</v>
      </c>
      <c r="F111" s="214" t="s">
        <v>289</v>
      </c>
      <c r="G111" s="215">
        <v>1149</v>
      </c>
      <c r="H111" s="215">
        <v>1199</v>
      </c>
      <c r="I111" s="215">
        <v>121.5</v>
      </c>
      <c r="J111" s="223">
        <v>42749</v>
      </c>
      <c r="K111" s="223">
        <v>46297</v>
      </c>
      <c r="L111" s="223">
        <v>42749</v>
      </c>
      <c r="M111" s="223"/>
      <c r="N111" s="215">
        <v>0</v>
      </c>
      <c r="O111" s="222">
        <v>0</v>
      </c>
      <c r="P111" s="222">
        <v>0</v>
      </c>
    </row>
    <row r="112" spans="1:16" ht="15.5" x14ac:dyDescent="0.35">
      <c r="A112" s="214" t="s">
        <v>947</v>
      </c>
      <c r="B112" s="214" t="s">
        <v>740</v>
      </c>
      <c r="C112" s="222">
        <v>850</v>
      </c>
      <c r="D112" s="214" t="s">
        <v>948</v>
      </c>
      <c r="E112" s="214" t="s">
        <v>750</v>
      </c>
      <c r="F112" s="214" t="s">
        <v>289</v>
      </c>
      <c r="G112" s="215">
        <v>1149</v>
      </c>
      <c r="H112" s="215">
        <v>1199</v>
      </c>
      <c r="I112" s="215">
        <v>158.5</v>
      </c>
      <c r="J112" s="223">
        <v>44778</v>
      </c>
      <c r="K112" s="223">
        <v>45754</v>
      </c>
      <c r="L112" s="223">
        <v>44778</v>
      </c>
      <c r="M112" s="223"/>
      <c r="N112" s="215">
        <v>0</v>
      </c>
      <c r="O112" s="222">
        <v>0</v>
      </c>
      <c r="P112" s="222">
        <v>0</v>
      </c>
    </row>
    <row r="113" spans="1:16" ht="15.5" x14ac:dyDescent="0.35">
      <c r="A113" s="214" t="s">
        <v>949</v>
      </c>
      <c r="B113" s="214" t="s">
        <v>740</v>
      </c>
      <c r="C113" s="222">
        <v>850</v>
      </c>
      <c r="D113" s="214" t="s">
        <v>950</v>
      </c>
      <c r="E113" s="214" t="s">
        <v>750</v>
      </c>
      <c r="F113" s="214" t="s">
        <v>289</v>
      </c>
      <c r="G113" s="215">
        <v>1149</v>
      </c>
      <c r="H113" s="215">
        <v>1199</v>
      </c>
      <c r="I113" s="215">
        <v>121.5</v>
      </c>
      <c r="J113" s="223">
        <v>45536</v>
      </c>
      <c r="K113" s="223">
        <v>46263</v>
      </c>
      <c r="L113" s="223">
        <v>45534</v>
      </c>
      <c r="M113" s="223"/>
      <c r="N113" s="215">
        <v>0</v>
      </c>
      <c r="O113" s="222">
        <v>0</v>
      </c>
      <c r="P113" s="222">
        <v>0</v>
      </c>
    </row>
    <row r="114" spans="1:16" ht="15.5" x14ac:dyDescent="0.35">
      <c r="A114" s="214" t="s">
        <v>951</v>
      </c>
      <c r="B114" s="214" t="s">
        <v>740</v>
      </c>
      <c r="C114" s="222">
        <v>850</v>
      </c>
      <c r="D114" s="214" t="s">
        <v>952</v>
      </c>
      <c r="E114" s="214" t="s">
        <v>750</v>
      </c>
      <c r="F114" s="214" t="s">
        <v>289</v>
      </c>
      <c r="G114" s="215">
        <v>1199</v>
      </c>
      <c r="H114" s="215">
        <v>1200</v>
      </c>
      <c r="I114" s="215">
        <v>106</v>
      </c>
      <c r="J114" s="223">
        <v>45956</v>
      </c>
      <c r="K114" s="223">
        <v>46320</v>
      </c>
      <c r="L114" s="223">
        <v>45591</v>
      </c>
      <c r="M114" s="223"/>
      <c r="N114" s="215">
        <v>-3</v>
      </c>
      <c r="O114" s="222">
        <v>0</v>
      </c>
      <c r="P114" s="222">
        <v>0</v>
      </c>
    </row>
    <row r="115" spans="1:16" ht="15.5" x14ac:dyDescent="0.35">
      <c r="A115" s="214" t="s">
        <v>953</v>
      </c>
      <c r="B115" s="214" t="s">
        <v>740</v>
      </c>
      <c r="C115" s="222">
        <v>850</v>
      </c>
      <c r="D115" s="214" t="s">
        <v>954</v>
      </c>
      <c r="E115" s="214" t="s">
        <v>750</v>
      </c>
      <c r="F115" s="214" t="s">
        <v>289</v>
      </c>
      <c r="G115" s="215">
        <v>1199</v>
      </c>
      <c r="H115" s="215">
        <v>1200</v>
      </c>
      <c r="I115" s="215">
        <v>121.5</v>
      </c>
      <c r="J115" s="223">
        <v>45579</v>
      </c>
      <c r="K115" s="223">
        <v>45961</v>
      </c>
      <c r="L115" s="223">
        <v>45579</v>
      </c>
      <c r="M115" s="223"/>
      <c r="N115" s="215">
        <v>0</v>
      </c>
      <c r="O115" s="222">
        <v>0</v>
      </c>
      <c r="P115" s="222">
        <v>0</v>
      </c>
    </row>
    <row r="116" spans="1:16" ht="15.5" x14ac:dyDescent="0.35">
      <c r="A116" s="214" t="s">
        <v>955</v>
      </c>
      <c r="B116" s="214" t="s">
        <v>740</v>
      </c>
      <c r="C116" s="222">
        <v>850</v>
      </c>
      <c r="D116" s="214" t="s">
        <v>956</v>
      </c>
      <c r="E116" s="214" t="s">
        <v>750</v>
      </c>
      <c r="F116" s="214" t="s">
        <v>289</v>
      </c>
      <c r="G116" s="215">
        <v>1149</v>
      </c>
      <c r="H116" s="215">
        <v>1200</v>
      </c>
      <c r="I116" s="215">
        <v>121.5</v>
      </c>
      <c r="J116" s="223">
        <v>45630</v>
      </c>
      <c r="K116" s="223">
        <v>45994</v>
      </c>
      <c r="L116" s="223">
        <v>45630</v>
      </c>
      <c r="M116" s="223"/>
      <c r="N116" s="215">
        <v>0</v>
      </c>
      <c r="O116" s="222">
        <v>0</v>
      </c>
      <c r="P116" s="222">
        <v>0</v>
      </c>
    </row>
    <row r="117" spans="1:16" ht="15.5" x14ac:dyDescent="0.35">
      <c r="A117" s="214" t="s">
        <v>957</v>
      </c>
      <c r="B117" s="214" t="s">
        <v>740</v>
      </c>
      <c r="C117" s="222">
        <v>850</v>
      </c>
      <c r="D117" s="214" t="s">
        <v>958</v>
      </c>
      <c r="E117" s="214" t="s">
        <v>750</v>
      </c>
      <c r="F117" s="214" t="s">
        <v>289</v>
      </c>
      <c r="G117" s="215">
        <v>1149</v>
      </c>
      <c r="H117" s="215">
        <v>1200</v>
      </c>
      <c r="I117" s="215">
        <v>149.5</v>
      </c>
      <c r="J117" s="223">
        <v>44880</v>
      </c>
      <c r="K117" s="223">
        <v>45975</v>
      </c>
      <c r="L117" s="223">
        <v>44880</v>
      </c>
      <c r="M117" s="223"/>
      <c r="N117" s="215">
        <v>-1349.5</v>
      </c>
      <c r="O117" s="222">
        <v>0</v>
      </c>
      <c r="P117" s="222">
        <v>0</v>
      </c>
    </row>
    <row r="118" spans="1:16" ht="15.5" x14ac:dyDescent="0.35">
      <c r="A118" s="214" t="s">
        <v>959</v>
      </c>
      <c r="B118" s="214" t="s">
        <v>740</v>
      </c>
      <c r="C118" s="222">
        <v>850</v>
      </c>
      <c r="D118" s="214" t="s">
        <v>960</v>
      </c>
      <c r="E118" s="214" t="s">
        <v>750</v>
      </c>
      <c r="F118" s="214" t="s">
        <v>289</v>
      </c>
      <c r="G118" s="215">
        <v>1199</v>
      </c>
      <c r="H118" s="215">
        <v>1200</v>
      </c>
      <c r="I118" s="215">
        <v>121.5</v>
      </c>
      <c r="J118" s="223">
        <v>45638</v>
      </c>
      <c r="K118" s="223">
        <v>46002</v>
      </c>
      <c r="L118" s="223">
        <v>45638</v>
      </c>
      <c r="M118" s="223"/>
      <c r="N118" s="215">
        <v>-1321.5</v>
      </c>
      <c r="O118" s="222">
        <v>0</v>
      </c>
      <c r="P118" s="222">
        <v>0</v>
      </c>
    </row>
    <row r="119" spans="1:16" ht="15.5" x14ac:dyDescent="0.35">
      <c r="A119" s="214" t="s">
        <v>961</v>
      </c>
      <c r="B119" s="214" t="s">
        <v>740</v>
      </c>
      <c r="C119" s="222">
        <v>850</v>
      </c>
      <c r="D119" s="214" t="s">
        <v>962</v>
      </c>
      <c r="E119" s="214" t="s">
        <v>750</v>
      </c>
      <c r="F119" s="214" t="s">
        <v>289</v>
      </c>
      <c r="G119" s="215">
        <v>1199</v>
      </c>
      <c r="H119" s="215">
        <v>1200</v>
      </c>
      <c r="I119" s="215">
        <v>108.5</v>
      </c>
      <c r="J119" s="223">
        <v>45681</v>
      </c>
      <c r="K119" s="223">
        <v>46045</v>
      </c>
      <c r="L119" s="223">
        <v>45681</v>
      </c>
      <c r="M119" s="223"/>
      <c r="N119" s="215">
        <v>0</v>
      </c>
      <c r="O119" s="222">
        <v>0</v>
      </c>
      <c r="P119" s="222">
        <v>0</v>
      </c>
    </row>
    <row r="120" spans="1:16" ht="15.5" x14ac:dyDescent="0.35">
      <c r="A120" s="214" t="s">
        <v>963</v>
      </c>
      <c r="B120" s="214" t="s">
        <v>740</v>
      </c>
      <c r="C120" s="222">
        <v>850</v>
      </c>
      <c r="D120" s="214" t="s">
        <v>964</v>
      </c>
      <c r="E120" s="214" t="s">
        <v>750</v>
      </c>
      <c r="F120" s="214" t="s">
        <v>289</v>
      </c>
      <c r="G120" s="215">
        <v>1199</v>
      </c>
      <c r="H120" s="215">
        <v>1200</v>
      </c>
      <c r="I120" s="215">
        <v>138.5</v>
      </c>
      <c r="J120" s="223">
        <v>45677</v>
      </c>
      <c r="K120" s="223">
        <v>46041</v>
      </c>
      <c r="L120" s="223">
        <v>45673</v>
      </c>
      <c r="M120" s="223"/>
      <c r="N120" s="215">
        <v>-1338.5</v>
      </c>
      <c r="O120" s="222">
        <v>0</v>
      </c>
      <c r="P120" s="222">
        <v>0</v>
      </c>
    </row>
    <row r="121" spans="1:16" ht="15.5" x14ac:dyDescent="0.35">
      <c r="A121" s="214" t="s">
        <v>965</v>
      </c>
      <c r="B121" s="214" t="s">
        <v>740</v>
      </c>
      <c r="C121" s="222">
        <v>850</v>
      </c>
      <c r="D121" s="214" t="s">
        <v>966</v>
      </c>
      <c r="E121" s="214" t="s">
        <v>750</v>
      </c>
      <c r="F121" s="214" t="s">
        <v>289</v>
      </c>
      <c r="G121" s="215">
        <v>1199</v>
      </c>
      <c r="H121" s="215">
        <v>1200</v>
      </c>
      <c r="I121" s="215">
        <v>121.5</v>
      </c>
      <c r="J121" s="223">
        <v>45663</v>
      </c>
      <c r="K121" s="223">
        <v>46027</v>
      </c>
      <c r="L121" s="223">
        <v>45663</v>
      </c>
      <c r="M121" s="223"/>
      <c r="N121" s="215">
        <v>-7</v>
      </c>
      <c r="O121" s="222">
        <v>0</v>
      </c>
      <c r="P121" s="222">
        <v>3</v>
      </c>
    </row>
    <row r="122" spans="1:16" ht="15.5" x14ac:dyDescent="0.35">
      <c r="A122" s="214" t="s">
        <v>967</v>
      </c>
      <c r="B122" s="214" t="s">
        <v>740</v>
      </c>
      <c r="C122" s="222">
        <v>850</v>
      </c>
      <c r="D122" s="214" t="s">
        <v>968</v>
      </c>
      <c r="E122" s="214" t="s">
        <v>912</v>
      </c>
      <c r="F122" s="214" t="s">
        <v>289</v>
      </c>
      <c r="G122" s="215">
        <v>1199</v>
      </c>
      <c r="H122" s="215">
        <v>1200</v>
      </c>
      <c r="I122" s="215">
        <v>121.5</v>
      </c>
      <c r="J122" s="223">
        <v>45595</v>
      </c>
      <c r="K122" s="223">
        <v>45958</v>
      </c>
      <c r="L122" s="223">
        <v>45595</v>
      </c>
      <c r="M122" s="223">
        <v>45961</v>
      </c>
      <c r="N122" s="215">
        <v>6</v>
      </c>
      <c r="O122" s="222">
        <v>0</v>
      </c>
      <c r="P122" s="222">
        <v>0</v>
      </c>
    </row>
    <row r="123" spans="1:16" ht="15.5" x14ac:dyDescent="0.35">
      <c r="A123" s="214" t="s">
        <v>969</v>
      </c>
      <c r="B123" s="214" t="s">
        <v>740</v>
      </c>
      <c r="C123" s="222">
        <v>850</v>
      </c>
      <c r="D123" s="214" t="s">
        <v>970</v>
      </c>
      <c r="E123" s="214" t="s">
        <v>750</v>
      </c>
      <c r="F123" s="214" t="s">
        <v>289</v>
      </c>
      <c r="G123" s="215">
        <v>1149</v>
      </c>
      <c r="H123" s="215">
        <v>1200</v>
      </c>
      <c r="I123" s="215">
        <v>106</v>
      </c>
      <c r="J123" s="223">
        <v>45643</v>
      </c>
      <c r="K123" s="223">
        <v>46007</v>
      </c>
      <c r="L123" s="223">
        <v>45643</v>
      </c>
      <c r="M123" s="223"/>
      <c r="N123" s="215">
        <v>-680.5</v>
      </c>
      <c r="O123" s="222">
        <v>0</v>
      </c>
      <c r="P123" s="222">
        <v>0</v>
      </c>
    </row>
    <row r="124" spans="1:16" ht="15.5" x14ac:dyDescent="0.35">
      <c r="A124" s="214" t="s">
        <v>971</v>
      </c>
      <c r="B124" s="214" t="s">
        <v>740</v>
      </c>
      <c r="C124" s="222">
        <v>850</v>
      </c>
      <c r="D124" s="214" t="s">
        <v>972</v>
      </c>
      <c r="E124" s="214" t="s">
        <v>750</v>
      </c>
      <c r="F124" s="214" t="s">
        <v>289</v>
      </c>
      <c r="G124" s="215">
        <v>1199</v>
      </c>
      <c r="H124" s="215">
        <v>1225</v>
      </c>
      <c r="I124" s="215">
        <v>21.5</v>
      </c>
      <c r="J124" s="223">
        <v>45584</v>
      </c>
      <c r="K124" s="223">
        <v>46325</v>
      </c>
      <c r="L124" s="223">
        <v>45584</v>
      </c>
      <c r="M124" s="223"/>
      <c r="N124" s="215">
        <v>0</v>
      </c>
      <c r="O124" s="222">
        <v>0</v>
      </c>
      <c r="P124" s="222">
        <v>4</v>
      </c>
    </row>
    <row r="125" spans="1:16" ht="15.5" x14ac:dyDescent="0.35">
      <c r="A125" s="214" t="s">
        <v>973</v>
      </c>
      <c r="B125" s="214" t="s">
        <v>743</v>
      </c>
      <c r="C125" s="222">
        <v>1150</v>
      </c>
      <c r="D125" s="214" t="s">
        <v>974</v>
      </c>
      <c r="E125" s="214" t="s">
        <v>750</v>
      </c>
      <c r="F125" s="214" t="s">
        <v>289</v>
      </c>
      <c r="G125" s="215">
        <v>1399</v>
      </c>
      <c r="H125" s="215">
        <v>1280</v>
      </c>
      <c r="I125" s="215">
        <v>149.5</v>
      </c>
      <c r="J125" s="223">
        <v>43206</v>
      </c>
      <c r="K125" s="223">
        <v>46007</v>
      </c>
      <c r="L125" s="223">
        <v>43206</v>
      </c>
      <c r="M125" s="223"/>
      <c r="N125" s="215">
        <v>-1429.5</v>
      </c>
      <c r="O125" s="222">
        <v>0</v>
      </c>
      <c r="P125" s="222">
        <v>0</v>
      </c>
    </row>
    <row r="126" spans="1:16" ht="15.5" x14ac:dyDescent="0.35">
      <c r="A126" s="214" t="s">
        <v>975</v>
      </c>
      <c r="B126" s="214" t="s">
        <v>743</v>
      </c>
      <c r="C126" s="222">
        <v>1150</v>
      </c>
      <c r="D126" s="214" t="s">
        <v>976</v>
      </c>
      <c r="E126" s="214" t="s">
        <v>750</v>
      </c>
      <c r="F126" s="214" t="s">
        <v>289</v>
      </c>
      <c r="G126" s="215">
        <v>1399</v>
      </c>
      <c r="H126" s="215">
        <v>1290</v>
      </c>
      <c r="I126" s="215">
        <v>118.5</v>
      </c>
      <c r="J126" s="223">
        <v>44136</v>
      </c>
      <c r="K126" s="223">
        <v>46053</v>
      </c>
      <c r="L126" s="223">
        <v>44136</v>
      </c>
      <c r="M126" s="223"/>
      <c r="N126" s="215">
        <v>-1408.5</v>
      </c>
      <c r="O126" s="222">
        <v>0</v>
      </c>
      <c r="P126" s="222">
        <v>0</v>
      </c>
    </row>
    <row r="127" spans="1:16" ht="15.5" x14ac:dyDescent="0.35">
      <c r="A127" s="214" t="s">
        <v>977</v>
      </c>
      <c r="B127" s="214" t="s">
        <v>740</v>
      </c>
      <c r="C127" s="222">
        <v>850</v>
      </c>
      <c r="D127" s="214" t="s">
        <v>978</v>
      </c>
      <c r="E127" s="214" t="s">
        <v>750</v>
      </c>
      <c r="F127" s="214" t="s">
        <v>289</v>
      </c>
      <c r="G127" s="215">
        <v>1199</v>
      </c>
      <c r="H127" s="215">
        <v>1300</v>
      </c>
      <c r="I127" s="215">
        <v>121.5</v>
      </c>
      <c r="J127" s="223">
        <v>45608</v>
      </c>
      <c r="K127" s="223">
        <v>45972</v>
      </c>
      <c r="L127" s="223">
        <v>45608</v>
      </c>
      <c r="M127" s="223"/>
      <c r="N127" s="215">
        <v>0</v>
      </c>
      <c r="O127" s="222">
        <v>0</v>
      </c>
      <c r="P127" s="222">
        <v>0</v>
      </c>
    </row>
    <row r="128" spans="1:16" ht="15.5" x14ac:dyDescent="0.35">
      <c r="A128" s="214" t="s">
        <v>979</v>
      </c>
      <c r="B128" s="214" t="s">
        <v>740</v>
      </c>
      <c r="C128" s="222">
        <v>850</v>
      </c>
      <c r="D128" s="214" t="s">
        <v>980</v>
      </c>
      <c r="E128" s="214" t="s">
        <v>747</v>
      </c>
      <c r="F128" s="214" t="s">
        <v>290</v>
      </c>
      <c r="G128" s="215">
        <v>1199</v>
      </c>
      <c r="H128" s="215">
        <v>1300</v>
      </c>
      <c r="I128" s="215">
        <v>123.5</v>
      </c>
      <c r="J128" s="223">
        <v>45726</v>
      </c>
      <c r="K128" s="223">
        <v>46120</v>
      </c>
      <c r="L128" s="223">
        <v>45726</v>
      </c>
      <c r="M128" s="223">
        <v>45964</v>
      </c>
      <c r="N128" s="215">
        <v>6694</v>
      </c>
      <c r="O128" s="222">
        <v>0</v>
      </c>
      <c r="P128" s="222">
        <v>4</v>
      </c>
    </row>
    <row r="129" spans="1:16" ht="15.5" x14ac:dyDescent="0.35">
      <c r="A129" s="214" t="s">
        <v>981</v>
      </c>
      <c r="B129" s="214" t="s">
        <v>740</v>
      </c>
      <c r="C129" s="222">
        <v>850</v>
      </c>
      <c r="D129" s="214" t="s">
        <v>982</v>
      </c>
      <c r="E129" s="214" t="s">
        <v>750</v>
      </c>
      <c r="F129" s="214" t="s">
        <v>289</v>
      </c>
      <c r="G129" s="215">
        <v>1199</v>
      </c>
      <c r="H129" s="215">
        <v>1300</v>
      </c>
      <c r="I129" s="215">
        <v>123.5</v>
      </c>
      <c r="J129" s="223">
        <v>45749</v>
      </c>
      <c r="K129" s="223">
        <v>46113</v>
      </c>
      <c r="L129" s="223">
        <v>45749</v>
      </c>
      <c r="M129" s="223"/>
      <c r="N129" s="215">
        <v>-1423.5</v>
      </c>
      <c r="O129" s="222">
        <v>0</v>
      </c>
      <c r="P129" s="222">
        <v>0</v>
      </c>
    </row>
    <row r="130" spans="1:16" ht="15.5" x14ac:dyDescent="0.35">
      <c r="A130" s="214" t="s">
        <v>983</v>
      </c>
      <c r="B130" s="214" t="s">
        <v>740</v>
      </c>
      <c r="C130" s="222">
        <v>850</v>
      </c>
      <c r="D130" s="214" t="s">
        <v>984</v>
      </c>
      <c r="E130" s="214" t="s">
        <v>750</v>
      </c>
      <c r="F130" s="214" t="s">
        <v>289</v>
      </c>
      <c r="G130" s="215">
        <v>1199</v>
      </c>
      <c r="H130" s="215">
        <v>1300</v>
      </c>
      <c r="I130" s="215">
        <v>121.5</v>
      </c>
      <c r="J130" s="223">
        <v>45505</v>
      </c>
      <c r="K130" s="223">
        <v>45868</v>
      </c>
      <c r="L130" s="223">
        <v>45505</v>
      </c>
      <c r="M130" s="223"/>
      <c r="N130" s="215">
        <v>0</v>
      </c>
      <c r="O130" s="222">
        <v>0</v>
      </c>
      <c r="P130" s="222">
        <v>0</v>
      </c>
    </row>
    <row r="131" spans="1:16" ht="15.5" x14ac:dyDescent="0.35">
      <c r="A131" s="214" t="s">
        <v>985</v>
      </c>
      <c r="B131" s="214" t="s">
        <v>740</v>
      </c>
      <c r="C131" s="222">
        <v>850</v>
      </c>
      <c r="D131" s="214" t="s">
        <v>986</v>
      </c>
      <c r="E131" s="214" t="s">
        <v>750</v>
      </c>
      <c r="F131" s="214" t="s">
        <v>289</v>
      </c>
      <c r="G131" s="215">
        <v>1199</v>
      </c>
      <c r="H131" s="215">
        <v>1300</v>
      </c>
      <c r="I131" s="215">
        <v>123.5</v>
      </c>
      <c r="J131" s="223">
        <v>45721</v>
      </c>
      <c r="K131" s="223">
        <v>46116</v>
      </c>
      <c r="L131" s="223">
        <v>45721</v>
      </c>
      <c r="M131" s="223"/>
      <c r="N131" s="215">
        <v>0</v>
      </c>
      <c r="O131" s="222">
        <v>0</v>
      </c>
      <c r="P131" s="222">
        <v>1</v>
      </c>
    </row>
    <row r="132" spans="1:16" ht="15.5" x14ac:dyDescent="0.35">
      <c r="A132" s="214" t="s">
        <v>987</v>
      </c>
      <c r="B132" s="214" t="s">
        <v>740</v>
      </c>
      <c r="C132" s="222">
        <v>850</v>
      </c>
      <c r="D132" s="214" t="s">
        <v>988</v>
      </c>
      <c r="E132" s="214" t="s">
        <v>750</v>
      </c>
      <c r="F132" s="214" t="s">
        <v>289</v>
      </c>
      <c r="G132" s="215">
        <v>1199</v>
      </c>
      <c r="H132" s="215">
        <v>1300</v>
      </c>
      <c r="I132" s="215">
        <v>113.5</v>
      </c>
      <c r="J132" s="223">
        <v>45717</v>
      </c>
      <c r="K132" s="223">
        <v>46081</v>
      </c>
      <c r="L132" s="223">
        <v>45717</v>
      </c>
      <c r="M132" s="223"/>
      <c r="N132" s="215">
        <v>-1051.5</v>
      </c>
      <c r="O132" s="222">
        <v>1</v>
      </c>
      <c r="P132" s="222">
        <v>3</v>
      </c>
    </row>
    <row r="133" spans="1:16" ht="15.5" x14ac:dyDescent="0.35">
      <c r="A133" s="214" t="s">
        <v>989</v>
      </c>
      <c r="B133" s="214" t="s">
        <v>740</v>
      </c>
      <c r="C133" s="222">
        <v>850</v>
      </c>
      <c r="D133" s="214" t="s">
        <v>990</v>
      </c>
      <c r="E133" s="214" t="s">
        <v>750</v>
      </c>
      <c r="F133" s="214" t="s">
        <v>289</v>
      </c>
      <c r="G133" s="215">
        <v>1199</v>
      </c>
      <c r="H133" s="215">
        <v>1300</v>
      </c>
      <c r="I133" s="215">
        <v>168.5</v>
      </c>
      <c r="J133" s="223">
        <v>45772</v>
      </c>
      <c r="K133" s="223">
        <v>46142</v>
      </c>
      <c r="L133" s="223">
        <v>45772</v>
      </c>
      <c r="M133" s="223"/>
      <c r="N133" s="215">
        <v>0</v>
      </c>
      <c r="O133" s="222">
        <v>0</v>
      </c>
      <c r="P133" s="222">
        <v>0</v>
      </c>
    </row>
    <row r="134" spans="1:16" ht="15.5" x14ac:dyDescent="0.35">
      <c r="A134" s="214" t="s">
        <v>991</v>
      </c>
      <c r="B134" s="214" t="s">
        <v>740</v>
      </c>
      <c r="C134" s="222">
        <v>850</v>
      </c>
      <c r="D134" s="214" t="s">
        <v>992</v>
      </c>
      <c r="E134" s="214" t="s">
        <v>750</v>
      </c>
      <c r="F134" s="214" t="s">
        <v>289</v>
      </c>
      <c r="G134" s="215">
        <v>1199</v>
      </c>
      <c r="H134" s="215">
        <v>1300</v>
      </c>
      <c r="I134" s="215">
        <v>123.5</v>
      </c>
      <c r="J134" s="223">
        <v>45717</v>
      </c>
      <c r="K134" s="223">
        <v>46142</v>
      </c>
      <c r="L134" s="223">
        <v>45717</v>
      </c>
      <c r="M134" s="223"/>
      <c r="N134" s="215">
        <v>620.5</v>
      </c>
      <c r="O134" s="222">
        <v>0</v>
      </c>
      <c r="P134" s="222">
        <v>3</v>
      </c>
    </row>
    <row r="135" spans="1:16" ht="15.5" x14ac:dyDescent="0.35">
      <c r="A135" s="214" t="s">
        <v>993</v>
      </c>
      <c r="B135" s="214" t="s">
        <v>743</v>
      </c>
      <c r="C135" s="222">
        <v>1150</v>
      </c>
      <c r="D135" s="214" t="s">
        <v>994</v>
      </c>
      <c r="E135" s="214" t="s">
        <v>750</v>
      </c>
      <c r="F135" s="214" t="s">
        <v>289</v>
      </c>
      <c r="G135" s="215">
        <v>1399</v>
      </c>
      <c r="H135" s="215">
        <v>1399</v>
      </c>
      <c r="I135" s="215">
        <v>-1399</v>
      </c>
      <c r="J135" s="223">
        <v>45930</v>
      </c>
      <c r="K135" s="223">
        <v>46295</v>
      </c>
      <c r="L135" s="223">
        <v>45930</v>
      </c>
      <c r="M135" s="223"/>
      <c r="N135" s="215">
        <v>0</v>
      </c>
      <c r="O135" s="222">
        <v>0</v>
      </c>
      <c r="P135" s="222">
        <v>0</v>
      </c>
    </row>
    <row r="136" spans="1:16" ht="15.5" x14ac:dyDescent="0.35">
      <c r="A136" s="214" t="s">
        <v>995</v>
      </c>
      <c r="B136" s="214" t="s">
        <v>743</v>
      </c>
      <c r="C136" s="222">
        <v>1150</v>
      </c>
      <c r="D136" s="214" t="s">
        <v>996</v>
      </c>
      <c r="E136" s="214" t="s">
        <v>747</v>
      </c>
      <c r="F136" s="214" t="s">
        <v>290</v>
      </c>
      <c r="G136" s="215">
        <v>1399</v>
      </c>
      <c r="H136" s="215">
        <v>1425</v>
      </c>
      <c r="I136" s="215">
        <v>131.5</v>
      </c>
      <c r="J136" s="223">
        <v>45536</v>
      </c>
      <c r="K136" s="223">
        <v>45900</v>
      </c>
      <c r="L136" s="223">
        <v>45536</v>
      </c>
      <c r="M136" s="223">
        <v>45964</v>
      </c>
      <c r="N136" s="215">
        <v>1799.5</v>
      </c>
      <c r="O136" s="222">
        <v>0</v>
      </c>
      <c r="P136" s="222">
        <v>5</v>
      </c>
    </row>
    <row r="137" spans="1:16" ht="15.5" x14ac:dyDescent="0.35">
      <c r="A137" s="214" t="s">
        <v>997</v>
      </c>
      <c r="B137" s="214" t="s">
        <v>743</v>
      </c>
      <c r="C137" s="222">
        <v>1150</v>
      </c>
      <c r="D137" s="214" t="s">
        <v>998</v>
      </c>
      <c r="E137" s="214" t="s">
        <v>750</v>
      </c>
      <c r="F137" s="214" t="s">
        <v>289</v>
      </c>
      <c r="G137" s="215">
        <v>1399</v>
      </c>
      <c r="H137" s="215">
        <v>1499</v>
      </c>
      <c r="I137" s="215">
        <v>131.5</v>
      </c>
      <c r="J137" s="223">
        <v>45551</v>
      </c>
      <c r="K137" s="223">
        <v>46295</v>
      </c>
      <c r="L137" s="223">
        <v>45551</v>
      </c>
      <c r="M137" s="223"/>
      <c r="N137" s="215">
        <v>-1570</v>
      </c>
      <c r="O137" s="222">
        <v>0</v>
      </c>
      <c r="P137" s="222">
        <v>2</v>
      </c>
    </row>
    <row r="138" spans="1:16" ht="15.5" x14ac:dyDescent="0.35">
      <c r="A138" s="212" t="s">
        <v>999</v>
      </c>
      <c r="B138" s="212"/>
      <c r="C138" s="224">
        <v>100950</v>
      </c>
      <c r="D138" s="212"/>
      <c r="E138" s="212" t="s">
        <v>1000</v>
      </c>
      <c r="F138" s="212"/>
      <c r="G138" s="213">
        <v>142193</v>
      </c>
      <c r="H138" s="213">
        <v>135949</v>
      </c>
      <c r="I138" s="213">
        <v>-2368.5</v>
      </c>
      <c r="J138" s="225"/>
      <c r="K138" s="225"/>
      <c r="L138" s="225"/>
      <c r="M138" s="225"/>
      <c r="N138" s="213">
        <v>-33660.910000000003</v>
      </c>
      <c r="O138" s="224">
        <v>11</v>
      </c>
      <c r="P138" s="224">
        <v>88</v>
      </c>
    </row>
    <row r="140" spans="1:16" ht="15.5" x14ac:dyDescent="0.35">
      <c r="A140" s="212" t="s">
        <v>1001</v>
      </c>
      <c r="B140" s="212"/>
      <c r="C140" s="224">
        <v>100950</v>
      </c>
      <c r="D140" s="212"/>
      <c r="E140" s="212" t="s">
        <v>1000</v>
      </c>
      <c r="F140" s="212"/>
      <c r="G140" s="213">
        <v>142193</v>
      </c>
      <c r="H140" s="213">
        <v>135949</v>
      </c>
      <c r="I140" s="213">
        <v>-2368.5</v>
      </c>
      <c r="J140" s="225"/>
      <c r="K140" s="225"/>
      <c r="L140" s="225"/>
      <c r="M140" s="225"/>
      <c r="N140" s="213">
        <v>-33660.910000000003</v>
      </c>
      <c r="O140" s="224">
        <v>11</v>
      </c>
      <c r="P140" s="224">
        <v>88</v>
      </c>
    </row>
    <row r="147" spans="6:11" x14ac:dyDescent="0.3">
      <c r="F147" s="228" t="s">
        <v>1002</v>
      </c>
    </row>
    <row r="149" spans="6:11" ht="14.5" thickBot="1" x14ac:dyDescent="0.35">
      <c r="F149" s="233" t="s">
        <v>298</v>
      </c>
      <c r="G149" s="233" t="s">
        <v>418</v>
      </c>
      <c r="H149" s="233" t="s">
        <v>1005</v>
      </c>
      <c r="I149" s="233" t="s">
        <v>450</v>
      </c>
      <c r="J149" s="233" t="s">
        <v>452</v>
      </c>
      <c r="K149" s="233" t="s">
        <v>493</v>
      </c>
    </row>
    <row r="150" spans="6:11" x14ac:dyDescent="0.3">
      <c r="F150" s="210" t="s">
        <v>289</v>
      </c>
      <c r="G150" s="226">
        <f>+COUNTIFS($F$11:$F$137,$F150)</f>
        <v>121</v>
      </c>
      <c r="H150" s="234">
        <f>+G150/$G$152</f>
        <v>0.952755905511811</v>
      </c>
      <c r="I150" s="227">
        <f>+SUMIFS(G$11:G$137,$F$11:$F$137,$F150)</f>
        <v>134939</v>
      </c>
      <c r="J150" s="232">
        <f>+SUMIFS(H$11:H$137,$F$11:$F$137,$F150)</f>
        <v>131605</v>
      </c>
      <c r="K150" s="227">
        <f>+J150</f>
        <v>131605</v>
      </c>
    </row>
    <row r="151" spans="6:11" x14ac:dyDescent="0.3">
      <c r="F151" s="210" t="s">
        <v>290</v>
      </c>
      <c r="G151" s="226">
        <f t="shared" ref="G151" si="0">+COUNTIFS($F$11:$F$137,$F151)</f>
        <v>6</v>
      </c>
      <c r="H151" s="234">
        <f t="shared" ref="H151:H152" si="1">+G151/$G$152</f>
        <v>4.7244094488188976E-2</v>
      </c>
      <c r="I151" s="232">
        <f>+SUMIFS(G$11:G$137,$F$11:$F$137,$F151)</f>
        <v>7254</v>
      </c>
      <c r="J151" s="227">
        <f>+SUMIFS(H$11:H$137,$F$11:$F$137,$F151)</f>
        <v>4344</v>
      </c>
      <c r="K151" s="227">
        <f>+I151</f>
        <v>7254</v>
      </c>
    </row>
    <row r="152" spans="6:11" x14ac:dyDescent="0.3">
      <c r="F152" s="229" t="s">
        <v>3</v>
      </c>
      <c r="G152" s="230">
        <f>+SUM(G150:G151)</f>
        <v>127</v>
      </c>
      <c r="H152" s="235">
        <f t="shared" si="1"/>
        <v>1</v>
      </c>
      <c r="I152" s="231">
        <f>+SUM(I150:I151)</f>
        <v>142193</v>
      </c>
      <c r="J152" s="231">
        <f>+SUM(J150:J151)</f>
        <v>135949</v>
      </c>
      <c r="K152" s="231">
        <f>+SUM(K150:K151)</f>
        <v>138859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e767a3e-36d8-4341-a9b3-8a01d66037db}" enabled="1" method="Privileged" siteId="{0159e9d0-09a0-4edf-96ba-a3deea363c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4</vt:i4>
      </vt:variant>
    </vt:vector>
  </HeadingPairs>
  <TitlesOfParts>
    <vt:vector size="18" baseType="lpstr">
      <vt:lpstr>COMPARISON</vt:lpstr>
      <vt:lpstr>PROFORMA</vt:lpstr>
      <vt:lpstr>Sources &amp; Uses</vt:lpstr>
      <vt:lpstr>CapEx</vt:lpstr>
      <vt:lpstr>Unit Mix</vt:lpstr>
      <vt:lpstr>Sales Comps</vt:lpstr>
      <vt:lpstr>Rent Comps</vt:lpstr>
      <vt:lpstr>TTM Nov-25</vt:lpstr>
      <vt:lpstr>TTM Oct-25</vt:lpstr>
      <vt:lpstr>IS 2024</vt:lpstr>
      <vt:lpstr>IS 2023</vt:lpstr>
      <vt:lpstr>IS 2022</vt:lpstr>
      <vt:lpstr>RR 12-16-25</vt:lpstr>
      <vt:lpstr>RR 11-4-25</vt:lpstr>
      <vt:lpstr>CapEx!Print_Area</vt:lpstr>
      <vt:lpstr>COMPARISON!Print_Area</vt:lpstr>
      <vt:lpstr>PROFORMA!Print_Area</vt:lpstr>
      <vt:lpstr>'Sources &amp; Uses'!Print_Area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Simmons, John @ Jacksonville</dc:creator>
  <cp:lastModifiedBy>Simmons, John @ Jacksonville</cp:lastModifiedBy>
  <cp:lastPrinted>2025-12-17T14:41:11Z</cp:lastPrinted>
  <dcterms:created xsi:type="dcterms:W3CDTF">2025-09-17T21:35:17Z</dcterms:created>
  <dcterms:modified xsi:type="dcterms:W3CDTF">2025-12-17T15:11:20Z</dcterms:modified>
</cp:coreProperties>
</file>